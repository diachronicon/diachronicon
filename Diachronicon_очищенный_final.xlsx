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dasha\Downloads\"/>
    </mc:Choice>
  </mc:AlternateContent>
  <xr:revisionPtr revIDLastSave="0" documentId="8_{64A2472D-29A4-4A44-ACAE-69699DDF614B}" xr6:coauthVersionLast="47" xr6:coauthVersionMax="47" xr10:uidLastSave="{00000000-0000-0000-0000-000000000000}"/>
  <bookViews>
    <workbookView xWindow="-120" yWindow="-120" windowWidth="29040" windowHeight="15720" activeTab="2" xr2:uid="{00000000-000D-0000-FFFF-FFFF00000000}"/>
  </bookViews>
  <sheets>
    <sheet name="gen_inf" sheetId="1" r:id="rId1"/>
    <sheet name="cnstruct" sheetId="2" r:id="rId2"/>
    <sheet name="ch" sheetId="3" r:id="rId3"/>
    <sheet name="alginstr" sheetId="6" state="hidden" r:id="rId4"/>
    <sheet name="taginstr" sheetId="7" state="hidden" r:id="rId5"/>
    <sheet name="chinstr" sheetId="8" state="hidden" r:id="rId6"/>
    <sheet name="tag x constr" sheetId="11" state="hidden" r:id="rId7"/>
  </sheets>
  <definedNames>
    <definedName name="_xlnm._FilterDatabase" localSheetId="2" hidden="1">ch!$A$1:$L$721</definedName>
    <definedName name="_xlnm._FilterDatabase" localSheetId="1" hidden="1">cnstruct!$A$1:$J$168</definedName>
    <definedName name="Z_10BF8C84_0B89_4645_BCA4_68129A03D2EF_.wvu.FilterData" localSheetId="2" hidden="1">ch!$B$1:$L$424</definedName>
    <definedName name="Z_9FE0E3E1_7409_4A9F_B61A_4A52A4CA8FDA_.wvu.FilterData" localSheetId="2" hidden="1">ch!#REF!</definedName>
    <definedName name="Z_9FE0E3E1_7409_4A9F_B61A_4A52A4CA8FDA_.wvu.FilterData" localSheetId="0" hidden="1">gen_inf!$G$1:$G$951</definedName>
  </definedNames>
  <calcPr calcId="191029"/>
  <customWorkbookViews>
    <customWorkbookView name="новый фильтр" guid="{10BF8C84-0B89-4645-BCA4-68129A03D2EF}" maximized="1" windowWidth="0" windowHeight="0" activeSheetId="0"/>
    <customWorkbookView name="Filter 1" guid="{9FE0E3E1-7409-4A9F-B61A-4A52A4CA8FDA}" maximized="1" windowWidth="0" windowHeight="0" activeSheetId="0"/>
  </customWorkbookViews>
  <pivotCaches>
    <pivotCache cacheId="4"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652" i="3" l="1"/>
  <c r="C651" i="3"/>
  <c r="C362" i="3"/>
  <c r="C361" i="3"/>
  <c r="C360" i="3"/>
  <c r="C359" i="3"/>
  <c r="C358" i="3"/>
  <c r="C357" i="3"/>
  <c r="C356" i="3"/>
  <c r="C74" i="3"/>
  <c r="C73" i="3"/>
  <c r="C72" i="3"/>
  <c r="C587" i="3"/>
  <c r="C586" i="3"/>
  <c r="C528" i="3"/>
  <c r="C527" i="3"/>
  <c r="C526" i="3"/>
  <c r="C377" i="3"/>
  <c r="C376" i="3"/>
  <c r="C375" i="3"/>
  <c r="C168" i="3"/>
  <c r="C167" i="3"/>
  <c r="C166" i="3"/>
  <c r="C165" i="3"/>
  <c r="C458" i="3"/>
  <c r="C457" i="3"/>
  <c r="C456" i="3"/>
  <c r="C455" i="3"/>
  <c r="C454" i="3"/>
  <c r="C463" i="3"/>
  <c r="C462" i="3"/>
  <c r="C461" i="3"/>
  <c r="C472" i="3"/>
  <c r="C471" i="3"/>
  <c r="C299" i="3"/>
  <c r="C298" i="3"/>
  <c r="C297" i="3"/>
  <c r="C296" i="3"/>
  <c r="C295" i="3"/>
  <c r="C244" i="3"/>
  <c r="C243" i="3"/>
  <c r="C242" i="3"/>
  <c r="C260" i="3"/>
  <c r="C259" i="3"/>
  <c r="C258" i="3"/>
  <c r="C257" i="3"/>
  <c r="C256" i="3"/>
  <c r="C255" i="3"/>
  <c r="C475" i="3"/>
  <c r="C474" i="3"/>
  <c r="C147" i="3"/>
  <c r="C146" i="3"/>
  <c r="C193" i="3"/>
  <c r="C192" i="3"/>
  <c r="C696" i="3"/>
  <c r="C695" i="3"/>
  <c r="C114" i="3"/>
  <c r="C113" i="3"/>
  <c r="C112" i="3"/>
  <c r="C478" i="3"/>
  <c r="C477" i="3"/>
  <c r="C53" i="3"/>
  <c r="C52" i="3"/>
  <c r="C51" i="3"/>
  <c r="C49" i="3"/>
  <c r="C48" i="3"/>
  <c r="C47" i="3"/>
  <c r="C46" i="3"/>
  <c r="C58" i="3"/>
  <c r="C57" i="3"/>
  <c r="C56" i="3"/>
  <c r="C55" i="3"/>
  <c r="C44" i="3"/>
  <c r="C43" i="3"/>
  <c r="C42" i="3"/>
  <c r="C41" i="3"/>
  <c r="C40" i="3"/>
  <c r="C39" i="3"/>
  <c r="C38" i="3"/>
  <c r="C37" i="3"/>
  <c r="C35" i="3"/>
  <c r="C34" i="3"/>
  <c r="C32" i="3"/>
  <c r="C31" i="3"/>
  <c r="C29" i="3"/>
  <c r="C28" i="3"/>
  <c r="C27" i="3"/>
  <c r="C25" i="3"/>
  <c r="C24" i="3"/>
  <c r="C23" i="3"/>
  <c r="C22" i="3"/>
  <c r="C20" i="3"/>
  <c r="C19" i="3"/>
  <c r="C18" i="3"/>
  <c r="C16" i="3"/>
  <c r="C15" i="3"/>
  <c r="C13" i="3"/>
  <c r="C12" i="3"/>
  <c r="C11" i="3"/>
  <c r="C221" i="3"/>
  <c r="C220" i="3"/>
  <c r="C219" i="3"/>
  <c r="C218" i="3"/>
  <c r="C70" i="3"/>
  <c r="C69" i="3"/>
  <c r="C68" i="3"/>
  <c r="C67" i="3"/>
  <c r="C66" i="3"/>
  <c r="C65" i="3"/>
  <c r="C64" i="3"/>
  <c r="C202" i="3"/>
  <c r="C201" i="3"/>
  <c r="C200" i="3"/>
  <c r="C183" i="3"/>
  <c r="C182" i="3"/>
  <c r="C427" i="3"/>
  <c r="C426" i="3"/>
  <c r="C405" i="3"/>
  <c r="C404" i="3"/>
  <c r="C403" i="3"/>
  <c r="C158" i="3"/>
  <c r="C157" i="3"/>
  <c r="C156" i="3"/>
  <c r="C155" i="3"/>
  <c r="C154" i="3"/>
  <c r="C153" i="3"/>
  <c r="C131" i="3"/>
  <c r="C130" i="3"/>
  <c r="C330" i="3"/>
  <c r="C329" i="3"/>
  <c r="C151" i="3"/>
  <c r="C150" i="3"/>
  <c r="C149" i="3"/>
  <c r="C721" i="3"/>
  <c r="C720" i="3"/>
  <c r="C719" i="3"/>
  <c r="C718" i="3"/>
  <c r="C717" i="3"/>
  <c r="C302" i="3"/>
  <c r="C301" i="3"/>
  <c r="C604" i="3"/>
  <c r="C603" i="3"/>
  <c r="C602" i="3"/>
  <c r="C601" i="3"/>
  <c r="C600" i="3"/>
  <c r="C599" i="3"/>
  <c r="C128" i="3"/>
  <c r="C127" i="3"/>
  <c r="C126" i="3"/>
  <c r="C715" i="3"/>
  <c r="C714" i="3"/>
  <c r="C673" i="3"/>
  <c r="C672" i="3"/>
  <c r="C671" i="3"/>
  <c r="C670" i="3"/>
  <c r="C264" i="3"/>
  <c r="C263" i="3"/>
  <c r="C262" i="3"/>
  <c r="C216" i="3"/>
  <c r="C215" i="3"/>
  <c r="C198" i="3"/>
  <c r="C197" i="3"/>
  <c r="C196" i="3"/>
  <c r="C195" i="3"/>
  <c r="C699" i="3"/>
  <c r="C698" i="3"/>
  <c r="C679" i="3"/>
  <c r="C678" i="3"/>
  <c r="C677" i="3"/>
  <c r="C676" i="3"/>
  <c r="C675" i="3"/>
  <c r="C649" i="3"/>
  <c r="C648" i="3"/>
  <c r="C647" i="3"/>
  <c r="C646" i="3"/>
  <c r="C645" i="3"/>
  <c r="C644" i="3"/>
  <c r="C180" i="3"/>
  <c r="C179" i="3"/>
  <c r="C178" i="3"/>
  <c r="C177" i="3"/>
  <c r="C176" i="3"/>
  <c r="C175" i="3"/>
  <c r="C174" i="3"/>
  <c r="C173" i="3"/>
  <c r="C172" i="3"/>
  <c r="C171" i="3"/>
  <c r="C170" i="3"/>
  <c r="C581" i="3"/>
  <c r="C580" i="3"/>
  <c r="C579" i="3"/>
  <c r="C541" i="3"/>
  <c r="C540" i="3"/>
  <c r="C539" i="3"/>
  <c r="C584" i="3"/>
  <c r="C583" i="3"/>
  <c r="C124" i="3"/>
  <c r="C123" i="3"/>
  <c r="C122" i="3"/>
  <c r="C121" i="3"/>
  <c r="C120" i="3"/>
  <c r="C119" i="3"/>
  <c r="C118" i="3"/>
  <c r="C117" i="3"/>
  <c r="C116" i="3"/>
  <c r="C519" i="3"/>
  <c r="C518" i="3"/>
  <c r="C517" i="3"/>
  <c r="C516" i="3"/>
  <c r="C515" i="3"/>
  <c r="C544" i="3"/>
  <c r="C543" i="3"/>
  <c r="C373" i="3"/>
  <c r="C372" i="3"/>
  <c r="C371" i="3"/>
  <c r="C370" i="3"/>
  <c r="C369" i="3"/>
  <c r="C367" i="3"/>
  <c r="C366" i="3"/>
  <c r="C365" i="3"/>
  <c r="C364" i="3"/>
  <c r="C668" i="3"/>
  <c r="C667" i="3"/>
  <c r="C666" i="3"/>
  <c r="C665" i="3"/>
  <c r="C664" i="3"/>
  <c r="C99" i="3"/>
  <c r="C98" i="3"/>
  <c r="C97" i="3"/>
  <c r="C96" i="3"/>
  <c r="C95" i="3"/>
  <c r="C94" i="3"/>
  <c r="C92" i="3"/>
  <c r="C91" i="3"/>
  <c r="C90" i="3"/>
  <c r="C89" i="3"/>
  <c r="C88" i="3"/>
  <c r="C87" i="3"/>
  <c r="C642" i="3"/>
  <c r="C641" i="3"/>
  <c r="C640" i="3"/>
  <c r="C639" i="3"/>
  <c r="C577" i="3"/>
  <c r="C576" i="3"/>
  <c r="C575" i="3"/>
  <c r="C574" i="3"/>
  <c r="C573" i="3"/>
  <c r="C537" i="3"/>
  <c r="C536" i="3"/>
  <c r="C535" i="3"/>
  <c r="C534" i="3"/>
  <c r="C533" i="3"/>
  <c r="C532" i="3"/>
  <c r="C531" i="3"/>
  <c r="C530" i="3"/>
  <c r="C616" i="3"/>
  <c r="C615" i="3"/>
  <c r="C614" i="3"/>
  <c r="C613" i="3"/>
  <c r="C612" i="3"/>
  <c r="C611" i="3"/>
  <c r="C610" i="3"/>
  <c r="C609" i="3"/>
  <c r="C608" i="3"/>
  <c r="C607" i="3"/>
  <c r="C606" i="3"/>
  <c r="C597" i="3"/>
  <c r="C596" i="3"/>
  <c r="C595" i="3"/>
  <c r="C594" i="3"/>
  <c r="C593" i="3"/>
  <c r="C592" i="3"/>
  <c r="C591" i="3"/>
  <c r="C590" i="3"/>
  <c r="C589" i="3"/>
  <c r="C441" i="3"/>
  <c r="C440" i="3"/>
  <c r="C439" i="3"/>
  <c r="C438" i="3"/>
  <c r="C240" i="3"/>
  <c r="C239" i="3"/>
  <c r="C238" i="3"/>
  <c r="C237" i="3"/>
  <c r="C236" i="3"/>
  <c r="C235" i="3"/>
  <c r="C524" i="3"/>
  <c r="C523" i="3"/>
  <c r="C522" i="3"/>
  <c r="C521" i="3"/>
  <c r="C85" i="3"/>
  <c r="C84" i="3"/>
  <c r="C83" i="3"/>
  <c r="C82" i="3"/>
  <c r="C81" i="3"/>
  <c r="C80" i="3"/>
  <c r="C79" i="3"/>
  <c r="C327" i="3"/>
  <c r="C326" i="3"/>
  <c r="C325" i="3"/>
  <c r="C324" i="3"/>
  <c r="C323" i="3"/>
  <c r="C322" i="3"/>
  <c r="C321" i="3"/>
  <c r="C320" i="3"/>
  <c r="C390" i="3"/>
  <c r="C389" i="3"/>
  <c r="C388" i="3"/>
  <c r="C387" i="3"/>
  <c r="C386" i="3"/>
  <c r="C385" i="3"/>
  <c r="C384" i="3"/>
  <c r="C383" i="3"/>
  <c r="C571" i="3"/>
  <c r="C570" i="3"/>
  <c r="C381" i="3"/>
  <c r="C380" i="3"/>
  <c r="C379" i="3"/>
  <c r="C469" i="3"/>
  <c r="C468" i="3"/>
  <c r="C467" i="3"/>
  <c r="C466" i="3"/>
  <c r="C465" i="3"/>
  <c r="C318" i="3"/>
  <c r="C317" i="3"/>
  <c r="C316" i="3"/>
  <c r="C315" i="3"/>
  <c r="C314" i="3"/>
  <c r="C313" i="3"/>
  <c r="C293" i="3"/>
  <c r="C292" i="3"/>
  <c r="C291" i="3"/>
  <c r="C290" i="3"/>
  <c r="C289" i="3"/>
  <c r="C273" i="3"/>
  <c r="C272" i="3"/>
  <c r="C271" i="3"/>
  <c r="C270" i="3"/>
  <c r="C269" i="3"/>
  <c r="C268" i="3"/>
  <c r="C213" i="3"/>
  <c r="C212" i="3"/>
  <c r="C211" i="3"/>
  <c r="C210" i="3"/>
  <c r="C209" i="3"/>
  <c r="C208" i="3"/>
  <c r="C207" i="3"/>
  <c r="C206" i="3"/>
  <c r="C205" i="3"/>
  <c r="C204" i="3"/>
  <c r="C77" i="3"/>
  <c r="C76" i="3"/>
  <c r="C190" i="3"/>
  <c r="C189" i="3"/>
  <c r="C188" i="3"/>
  <c r="C187" i="3"/>
  <c r="C186" i="3"/>
  <c r="C185" i="3"/>
  <c r="C163" i="3"/>
  <c r="C162" i="3"/>
  <c r="C161" i="3"/>
  <c r="C160" i="3"/>
  <c r="C104" i="3"/>
  <c r="C103" i="3"/>
  <c r="C102" i="3"/>
  <c r="C101" i="3"/>
  <c r="C396" i="3"/>
  <c r="C395" i="3"/>
  <c r="C394" i="3"/>
  <c r="C393" i="3"/>
  <c r="C392" i="3"/>
  <c r="C287" i="3"/>
  <c r="C286" i="3"/>
  <c r="C285" i="3"/>
  <c r="C283" i="3"/>
  <c r="C282" i="3"/>
  <c r="C281" i="3"/>
  <c r="C280" i="3"/>
  <c r="C279" i="3"/>
  <c r="C278" i="3"/>
  <c r="C62" i="3"/>
  <c r="C61" i="3"/>
  <c r="C60" i="3"/>
  <c r="C637" i="3"/>
  <c r="C636" i="3"/>
  <c r="C635" i="3"/>
  <c r="C634" i="3"/>
  <c r="C633" i="3"/>
  <c r="C568" i="3"/>
  <c r="C567" i="3"/>
  <c r="C566" i="3"/>
  <c r="C565" i="3"/>
  <c r="C564" i="3"/>
  <c r="C563" i="3"/>
  <c r="C562" i="3"/>
  <c r="C490" i="3"/>
  <c r="C489" i="3"/>
  <c r="C488" i="3"/>
  <c r="C487" i="3"/>
  <c r="C486" i="3"/>
  <c r="C485" i="3"/>
  <c r="C484" i="3"/>
  <c r="C483" i="3"/>
  <c r="C482" i="3"/>
  <c r="C481" i="3"/>
  <c r="C480" i="3"/>
  <c r="C345" i="3"/>
  <c r="C344" i="3"/>
  <c r="C343" i="3"/>
  <c r="C342" i="3"/>
  <c r="C501" i="3"/>
  <c r="C500" i="3"/>
  <c r="C499" i="3"/>
  <c r="C513" i="3"/>
  <c r="C512" i="3"/>
  <c r="C511" i="3"/>
  <c r="C401" i="3"/>
  <c r="C400" i="3"/>
  <c r="C399" i="3"/>
  <c r="C656" i="3"/>
  <c r="C655" i="3"/>
  <c r="C654" i="3"/>
  <c r="C497" i="3"/>
  <c r="C496" i="3"/>
  <c r="C495" i="3"/>
  <c r="C494" i="3"/>
  <c r="C493" i="3"/>
  <c r="C492" i="3"/>
  <c r="C424" i="3"/>
  <c r="C423" i="3"/>
  <c r="C422" i="3"/>
  <c r="C421" i="3"/>
  <c r="C446" i="3"/>
  <c r="C445" i="3"/>
  <c r="C444" i="3"/>
  <c r="C436" i="3"/>
  <c r="C435" i="3"/>
  <c r="C434" i="3"/>
  <c r="C419" i="3"/>
  <c r="C418" i="3"/>
  <c r="C417" i="3"/>
  <c r="C416" i="3"/>
  <c r="C276" i="3"/>
  <c r="C275" i="3"/>
  <c r="C340" i="3"/>
  <c r="C339" i="3"/>
  <c r="C338" i="3"/>
  <c r="C337" i="3"/>
  <c r="C336" i="3"/>
  <c r="C335" i="3"/>
  <c r="C334" i="3"/>
  <c r="C333" i="3"/>
  <c r="C332" i="3"/>
  <c r="C705" i="3"/>
  <c r="C704" i="3"/>
  <c r="C703" i="3"/>
  <c r="C702" i="3"/>
  <c r="C701" i="3"/>
  <c r="C250" i="3"/>
  <c r="C249" i="3"/>
  <c r="C248" i="3"/>
  <c r="C247" i="3"/>
  <c r="C246" i="3"/>
  <c r="C228" i="3"/>
  <c r="C227" i="3"/>
  <c r="C226" i="3"/>
  <c r="C225" i="3"/>
  <c r="C224" i="3"/>
  <c r="C223" i="3"/>
  <c r="C138" i="3"/>
  <c r="C137" i="3"/>
  <c r="C136" i="3"/>
  <c r="C135" i="3"/>
  <c r="C134" i="3"/>
  <c r="C686" i="3"/>
  <c r="C685" i="3"/>
  <c r="C684" i="3"/>
  <c r="C683" i="3"/>
  <c r="C682" i="3"/>
  <c r="C681" i="3"/>
  <c r="C662" i="3"/>
  <c r="C661" i="3"/>
  <c r="C660" i="3"/>
  <c r="C659" i="3"/>
  <c r="C658" i="3"/>
  <c r="C625" i="3"/>
  <c r="C624" i="3"/>
  <c r="C623" i="3"/>
  <c r="C622" i="3"/>
  <c r="C621" i="3"/>
  <c r="C620" i="3"/>
  <c r="C619" i="3"/>
  <c r="C618" i="3"/>
  <c r="C253" i="3"/>
  <c r="C252" i="3"/>
  <c r="C233" i="3"/>
  <c r="C232" i="3"/>
  <c r="C231" i="3"/>
  <c r="C230" i="3"/>
  <c r="C554" i="3"/>
  <c r="C553" i="3"/>
  <c r="C552" i="3"/>
  <c r="C551" i="3"/>
  <c r="C550" i="3"/>
  <c r="C549" i="3"/>
  <c r="C504" i="3"/>
  <c r="C503" i="3"/>
  <c r="C144" i="3"/>
  <c r="C143" i="3"/>
  <c r="C142" i="3"/>
  <c r="C141" i="3"/>
  <c r="C140" i="3"/>
  <c r="C110" i="3"/>
  <c r="C109" i="3"/>
  <c r="C108" i="3"/>
  <c r="C107" i="3"/>
  <c r="C106" i="3"/>
  <c r="C693" i="3"/>
  <c r="C692" i="3"/>
  <c r="C691" i="3"/>
  <c r="C690" i="3"/>
  <c r="C689" i="3"/>
  <c r="C688" i="3"/>
  <c r="C631" i="3"/>
  <c r="C630" i="3"/>
  <c r="C629" i="3"/>
  <c r="C628" i="3"/>
  <c r="C627" i="3"/>
  <c r="C560" i="3"/>
  <c r="C559" i="3"/>
  <c r="C558" i="3"/>
  <c r="C557" i="3"/>
  <c r="C556" i="3"/>
  <c r="C509" i="3"/>
  <c r="C508" i="3"/>
  <c r="C507" i="3"/>
  <c r="C506" i="3"/>
  <c r="C354" i="3"/>
  <c r="C353" i="3"/>
  <c r="C352" i="3"/>
  <c r="C351" i="3"/>
  <c r="C350" i="3"/>
  <c r="C349" i="3"/>
  <c r="C348" i="3"/>
  <c r="C347" i="3"/>
  <c r="C712" i="3"/>
  <c r="C711" i="3"/>
  <c r="C710" i="3"/>
  <c r="C709" i="3"/>
  <c r="C708" i="3"/>
  <c r="C707" i="3"/>
  <c r="C547" i="3"/>
  <c r="C546" i="3"/>
  <c r="C450" i="3"/>
  <c r="C449" i="3"/>
  <c r="C448" i="3"/>
  <c r="C432" i="3"/>
  <c r="C431" i="3"/>
  <c r="C430" i="3"/>
  <c r="C429" i="3"/>
  <c r="C311" i="3"/>
  <c r="C310" i="3"/>
  <c r="C309" i="3"/>
  <c r="C308" i="3"/>
  <c r="C307" i="3"/>
  <c r="C306" i="3"/>
  <c r="C305" i="3"/>
  <c r="C304" i="3"/>
  <c r="C413" i="3"/>
  <c r="C412" i="3"/>
  <c r="C411" i="3"/>
  <c r="C410" i="3"/>
  <c r="C409" i="3"/>
  <c r="C408" i="3"/>
  <c r="C407" i="3"/>
  <c r="C9" i="3"/>
  <c r="C8" i="3"/>
  <c r="C7" i="3"/>
  <c r="C6" i="3"/>
  <c r="C5" i="3"/>
  <c r="C4" i="3"/>
  <c r="C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2000000}">
      <text>
        <r>
          <rPr>
            <sz val="10"/>
            <color rgb="FF000000"/>
            <rFont val="Arial"/>
            <scheme val="minor"/>
          </rPr>
          <t>выделены дублирующиеся id
	-Maxim</t>
        </r>
      </text>
    </comment>
    <comment ref="B30" authorId="0" shapeId="0" xr:uid="{00000000-0006-0000-0000-000004000000}">
      <text>
        <r>
          <rPr>
            <sz val="10"/>
            <color rgb="FF000000"/>
            <rFont val="Arial"/>
            <scheme val="minor"/>
          </rPr>
          <t>дубль с 19(221)
	-Maxim
https://docs.google.com/spreadsheets/d/1MTEf_kMREUvsrGGYhQxeILI9a5hlJcdmGF1Vz1cLjCE/edit#gid=0&amp;range=D128
	-Maxim
повыделял потенциальные дубликаты
	-Maxim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H124" authorId="0" shapeId="0" xr:uid="{00000000-0006-0000-0100-000003000000}">
      <text>
        <r>
          <rPr>
            <sz val="10"/>
            <color rgb="FF000000"/>
            <rFont val="Arial"/>
            <scheme val="minor"/>
          </rPr>
          <t>а почему здесь CCONJ, а не PART?
	-Jane Budennaya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200-000008000000}">
      <text>
        <r>
          <rPr>
            <sz val="10"/>
            <color rgb="FF000000"/>
            <rFont val="Arial"/>
            <scheme val="minor"/>
          </rPr>
          <t>жёлтым выделены ячейки где на расстояния &gt; 20 change_id совпадает id конструкции. Это скорее всего СОВПАДЕНИЕ id конструкции у разных конструкций. Требует исправления
	-Maxim</t>
        </r>
      </text>
    </comment>
    <comment ref="B1" authorId="0" shapeId="0" xr:uid="{00000000-0006-0000-0200-000007000000}">
      <text>
        <r>
          <rPr>
            <sz val="10"/>
            <color rgb="FF000000"/>
            <rFont val="Arial"/>
            <scheme val="minor"/>
          </rPr>
          <t>красным выделены дублирующиеся ячейки
	-Maxim</t>
        </r>
      </text>
    </comment>
    <comment ref="D1" authorId="0" shapeId="0" xr:uid="{00000000-0006-0000-0200-000003000000}">
      <text>
        <r>
          <rPr>
            <sz val="10"/>
            <color rgb="FF000000"/>
            <rFont val="Arial"/>
            <scheme val="minor"/>
          </rPr>
          <t>при вариативности:
для слова — слэш без пробела
(
фиг / кукиш NP-Dat
)
для нескольких слов или всей конструкции — слэш с пробелами вокруг
(
VP не по-детски / не по-детски Adj
)
	-Maxim</t>
        </r>
      </text>
    </comment>
    <comment ref="F1" authorId="0" shapeId="0" xr:uid="{00000000-0006-0000-0200-00001D000000}">
      <text>
        <r>
          <rPr>
            <sz val="10"/>
            <color rgb="FF000000"/>
            <rFont val="Arial"/>
            <scheme val="minor"/>
          </rPr>
          <t>Оставить только синтаксические формулы, которые характеризуют результат изменения / семантические теги для измененного семантического значения
	-Jane Budennaya</t>
        </r>
      </text>
    </comment>
    <comment ref="D170" authorId="0" shapeId="0" xr:uid="{00000000-0006-0000-0200-00000D000000}">
      <text>
        <r>
          <rPr>
            <sz val="10"/>
            <color rgb="FF000000"/>
            <rFont val="Arial"/>
            <scheme val="minor"/>
          </rPr>
          <t>возможна и другая изменяемая часть (Adj-Cmp) , у которой есть ограничения. Нужно ли это отмечать здесь (но как будто бы нашего инструментария недостаточно)? Или отмечать это ограничение только как следующий этап?
	-Jane Budennaya</t>
        </r>
      </text>
    </comment>
    <comment ref="C172" authorId="0" shapeId="0" xr:uid="{00000000-0006-0000-0200-00000B000000}">
      <text>
        <r>
          <rPr>
            <sz val="10"/>
            <color rgb="FF000000"/>
            <rFont val="Arial"/>
            <scheme val="minor"/>
          </rPr>
          <t>нужен ли этот номер? И вообще, для изменений, которые формально разделяет менее 50 лет
	-Jane Budennaya</t>
        </r>
      </text>
    </comment>
    <comment ref="D172" authorId="0" shapeId="0" xr:uid="{00000000-0006-0000-0200-00000F000000}">
      <text>
        <r>
          <rPr>
            <sz val="10"/>
            <color rgb="FF000000"/>
            <rFont val="Arial"/>
            <scheme val="minor"/>
          </rPr>
          <t>Не нужно ли обозначение для нулевой глагольной связки?
	-Jane Budennaya</t>
        </r>
      </text>
    </comment>
    <comment ref="F172" authorId="0" shapeId="0" xr:uid="{00000000-0006-0000-0200-000002000000}">
      <text>
        <r>
          <rPr>
            <sz val="10"/>
            <color rgb="FF000000"/>
            <rFont val="Arial"/>
            <scheme val="minor"/>
          </rPr>
          <t>Почему это semantic compatibility? Изменение же на уровне синтаксиса. Это change in inner syntax, нет?
	-Maxim
точно так же  следующие два изменения
	-Maxim</t>
        </r>
      </text>
    </comment>
    <comment ref="G176" authorId="0" shapeId="0" xr:uid="{00000000-0006-0000-0200-00000C000000}">
      <text>
        <r>
          <rPr>
            <sz val="10"/>
            <color rgb="FF000000"/>
            <rFont val="Arial"/>
            <scheme val="minor"/>
          </rPr>
          <t>вообще говоря, как будто это влияние "день ото дня" и "время от времени"...
	-Jane Budennaya
Прописать контаминацию? Сначала разметить день ото дня, время от времени, а потом соединить
	-Jane Budennaya</t>
        </r>
      </text>
    </comment>
    <comment ref="B367" authorId="0" shapeId="0" xr:uid="{00000000-0006-0000-0200-000001000000}">
      <text>
        <r>
          <rPr>
            <sz val="10"/>
            <color rgb="FF000000"/>
            <rFont val="Arial"/>
            <scheme val="minor"/>
          </rPr>
          <t>потеряли пару номеров
	-akhmed</t>
        </r>
      </text>
    </comment>
    <comment ref="A383" authorId="0" shapeId="0" xr:uid="{00000000-0006-0000-0200-000019000000}">
      <text>
        <r>
          <rPr>
            <sz val="10"/>
            <color rgb="FF000000"/>
            <rFont val="Arial"/>
            <scheme val="minor"/>
          </rPr>
          <t>смёрджить с 16(203)
	-akhmed
А сюда разметить не то что
	-Дарья Харламова</t>
        </r>
      </text>
    </comment>
    <comment ref="A385" authorId="0" shapeId="0" xr:uid="{00000000-0006-0000-0200-000018000000}">
      <text>
        <r>
          <rPr>
            <sz val="10"/>
            <color rgb="FF000000"/>
            <rFont val="Arial"/>
            <scheme val="minor"/>
          </rPr>
          <t>а что мы тут хотели
	-Дарья Харламова</t>
        </r>
      </text>
    </comment>
    <comment ref="G392" authorId="0" shapeId="0" xr:uid="{00000000-0006-0000-0200-000013000000}">
      <text>
        <r>
          <rPr>
            <sz val="10"/>
            <color rgb="FF000000"/>
            <rFont val="Arial"/>
            <scheme val="minor"/>
          </rPr>
          <t>Есть некоторые сомнения, поскольку конкретно здесь синтаксис вроде бы не затрагивается, но импликатура присутствует
	-Jane Budennaya</t>
        </r>
      </text>
    </comment>
    <comment ref="K408" authorId="0" shapeId="0" xr:uid="{00000000-0006-0000-0200-00001A000000}">
      <text>
        <r>
          <rPr>
            <sz val="10"/>
            <color rgb="FF000000"/>
            <rFont val="Arial"/>
            <scheme val="minor"/>
          </rPr>
          <t>не могу понять этот пример политкорректный или всё-таки экстремистский
	-akhmed</t>
        </r>
      </text>
    </comment>
    <comment ref="D486" authorId="0" shapeId="0" xr:uid="{00000000-0006-0000-0200-000014000000}">
      <text>
        <r>
          <rPr>
            <sz val="10"/>
            <color rgb="FF000000"/>
            <rFont val="Arial"/>
            <scheme val="minor"/>
          </rPr>
          <t>этот вариант отличается от того, который в строке 183, тем, что аналогичное семантическое изменение происходит с другим вариантом якоря, который отстает во времени. Учитывая, что у нас диахронический корпус, хорошо бы эти варианты разграничивать, кмк
	-Jane Budennaya</t>
        </r>
      </text>
    </comment>
    <comment ref="B698" authorId="0" shapeId="0" xr:uid="{00000000-0006-0000-0200-00000A000000}">
      <text>
        <r>
          <rPr>
            <sz val="10"/>
            <color rgb="FF000000"/>
            <rFont val="Arial"/>
            <scheme val="minor"/>
          </rPr>
          <t>дублируется
	-Maxim</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C14" authorId="0" shapeId="0" xr:uid="{00000000-0006-0000-0700-000001000000}">
      <text>
        <r>
          <rPr>
            <sz val="10"/>
            <color rgb="FF000000"/>
            <rFont val="Arial"/>
            <scheme val="minor"/>
          </rPr>
          <t>Пример про семантику, надо переместить эти строки про constraint
	-Анастасия Андреева</t>
        </r>
      </text>
    </comment>
    <comment ref="C23" authorId="0" shapeId="0" xr:uid="{00000000-0006-0000-0700-000002000000}">
      <text>
        <r>
          <rPr>
            <sz val="10"/>
            <color rgb="FF000000"/>
            <rFont val="Arial"/>
            <scheme val="minor"/>
          </rPr>
          <t>бывший extension
	-Jane Budennaya</t>
        </r>
      </text>
    </comment>
    <comment ref="C24" authorId="0" shapeId="0" xr:uid="{00000000-0006-0000-0700-000003000000}">
      <text>
        <r>
          <rPr>
            <sz val="10"/>
            <color rgb="FF000000"/>
            <rFont val="Arial"/>
            <scheme val="minor"/>
          </rPr>
          <t>бывший substraction
	-Jane Budennaya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C19" authorId="0" shapeId="0" xr:uid="{00000000-0006-0000-0A00-000006000000}">
      <text>
        <r>
          <rPr>
            <sz val="10"/>
            <color rgb="FF000000"/>
            <rFont val="Arial"/>
            <scheme val="minor"/>
          </rPr>
          <t>чекнуть
	-Баркова Любовь</t>
        </r>
      </text>
    </comment>
    <comment ref="E34" authorId="0" shapeId="0" xr:uid="{00000000-0006-0000-0A00-000005000000}">
      <text>
        <r>
          <rPr>
            <sz val="10"/>
            <color rgb="FF000000"/>
            <rFont val="Arial"/>
            <scheme val="minor"/>
          </rPr>
          <t>помониторить
	-Баркова Любовь</t>
        </r>
      </text>
    </comment>
    <comment ref="A35" authorId="0" shapeId="0" xr:uid="{00000000-0006-0000-0A00-000004000000}">
      <text>
        <r>
          <rPr>
            <sz val="10"/>
            <color rgb="FF000000"/>
            <rFont val="Arial"/>
            <scheme val="minor"/>
          </rPr>
          <t>посмотреть
	-Баркова Любовь</t>
        </r>
      </text>
    </comment>
    <comment ref="A38" authorId="0" shapeId="0" xr:uid="{00000000-0006-0000-0A00-000003000000}">
      <text>
        <r>
          <rPr>
            <sz val="10"/>
            <color rgb="FF000000"/>
            <rFont val="Arial"/>
            <scheme val="minor"/>
          </rPr>
          <t>название не как в конструктиконе
	-Баркова Любовь</t>
        </r>
      </text>
    </comment>
    <comment ref="B38" authorId="0" shapeId="0" xr:uid="{00000000-0006-0000-0A00-000002000000}">
      <text>
        <r>
          <rPr>
            <sz val="10"/>
            <color rgb="FF000000"/>
            <rFont val="Arial"/>
            <scheme val="minor"/>
          </rPr>
          <t>название не как в конструктиконе
	-Баркова Любовь</t>
        </r>
      </text>
    </comment>
    <comment ref="C38" authorId="0" shapeId="0" xr:uid="{00000000-0006-0000-0A00-000001000000}">
      <text>
        <r>
          <rPr>
            <sz val="10"/>
            <color rgb="FF000000"/>
            <rFont val="Arial"/>
            <scheme val="minor"/>
          </rPr>
          <t>название не как в конструктиконе
	-Баркова Любовь</t>
        </r>
      </text>
    </comment>
  </commentList>
</comments>
</file>

<file path=xl/sharedStrings.xml><?xml version="1.0" encoding="utf-8"?>
<sst xmlns="http://schemas.openxmlformats.org/spreadsheetml/2006/main" count="8234" uniqueCount="4313">
  <si>
    <t>construction_id</t>
  </si>
  <si>
    <t>construction name</t>
  </si>
  <si>
    <t>group_number</t>
  </si>
  <si>
    <t>annotated_sample</t>
  </si>
  <si>
    <t>term_paper</t>
  </si>
  <si>
    <t>status</t>
  </si>
  <si>
    <t>4(203)</t>
  </si>
  <si>
    <t>draft</t>
  </si>
  <si>
    <t>9(203)</t>
  </si>
  <si>
    <t>link</t>
  </si>
  <si>
    <t>17(203)</t>
  </si>
  <si>
    <t>не очень</t>
  </si>
  <si>
    <t>COUNTA of status</t>
  </si>
  <si>
    <t>22(202)</t>
  </si>
  <si>
    <t>ни в зуб</t>
  </si>
  <si>
    <t>https://docs.google.com/spreadsheets/d/1Kbi_5AJovVAQce78ohU3IZWKJuV5cK39kUTFgsCcJ-o/edit?usp=sharing</t>
  </si>
  <si>
    <t>https://docs.google.com/document/d/1J-5B6RCzw6n2VEWWlqFhm0R0O2EQqzPtEBt4ogGxXG4/edit?usp=sharing</t>
  </si>
  <si>
    <t>18(203)</t>
  </si>
  <si>
    <t>не V-inf ли</t>
  </si>
  <si>
    <t>20(203)</t>
  </si>
  <si>
    <t>Adj-Cmp/Adv-Cmp некуда</t>
  </si>
  <si>
    <t>ready</t>
  </si>
  <si>
    <t>нет</t>
  </si>
  <si>
    <t>12(212)</t>
  </si>
  <si>
    <t>каждая собака VP</t>
  </si>
  <si>
    <t>24(212)</t>
  </si>
  <si>
    <t>тут как тут</t>
  </si>
  <si>
    <t>28(201)</t>
  </si>
  <si>
    <t>как (будто) (и) не было/бывалоин</t>
  </si>
  <si>
    <t>https://docs.google.com/spreadsheets/d/1ijqJ3ftXhQmSNP4Q_uh1A0RDGkB4ky3Bt2Kqnu_UD1E/edit?usp=sharing</t>
  </si>
  <si>
    <t>https://docs.google.com/document/d/1xXYguOl8lysfWz1VWNu1tc9STk_yYf6EZaK6OUMxXPI/edit</t>
  </si>
  <si>
    <t>6(201)</t>
  </si>
  <si>
    <t>8(201)</t>
  </si>
  <si>
    <t>даром не надо</t>
  </si>
  <si>
    <t>52(221)</t>
  </si>
  <si>
    <t>без году неделя</t>
  </si>
  <si>
    <t>53(221)</t>
  </si>
  <si>
    <t>на заре</t>
  </si>
  <si>
    <t>11(221)</t>
  </si>
  <si>
    <t>12(221)</t>
  </si>
  <si>
    <t>час от часу</t>
  </si>
  <si>
    <t>https://docs.google.com/spreadsheets/d/1TCic9Nr9-DAF6mvzO-aC7Co0I9o1mqYPyfKf3LYeNO0/edit#gid=1067619043</t>
  </si>
  <si>
    <t>https://docs.google.com/document/d/1oHS8CcEY78bf90G94rL4rdqV1eUHRlZkwM3ZxfHbZ0o/edit</t>
  </si>
  <si>
    <t>иметь место (быть)</t>
  </si>
  <si>
    <t>пруд пруди</t>
  </si>
  <si>
    <t>19(101)</t>
  </si>
  <si>
    <t>не по адресу</t>
  </si>
  <si>
    <t>20(211)</t>
  </si>
  <si>
    <t>куда надо</t>
  </si>
  <si>
    <t>https://docs.google.com/spreadsheets/d/1tkfi-eqh3V1dYEPvbxeCzSLioNPqUX1bjyGGNMY8RnU/edit?usp=sharing</t>
  </si>
  <si>
    <t>https://docs.google.com/document/d/1xDG7vaAK6P7sJuerwipFto2o_PYvV-WD/edit?usp=sharing&amp;ouid=101078185672813336682&amp;rtpof=true&amp;sd=true</t>
  </si>
  <si>
    <t>21(101)</t>
  </si>
  <si>
    <t>в точности</t>
  </si>
  <si>
    <t>22(101)</t>
  </si>
  <si>
    <t>с гаком</t>
  </si>
  <si>
    <t>24(101)</t>
  </si>
  <si>
    <t>не*густо</t>
  </si>
  <si>
    <t>25(101)</t>
  </si>
  <si>
    <t>все до одного / все до единого</t>
  </si>
  <si>
    <t>2(203)</t>
  </si>
  <si>
    <t>не ахти</t>
  </si>
  <si>
    <t>3(203)</t>
  </si>
  <si>
    <t>без понятия</t>
  </si>
  <si>
    <t>5(203)</t>
  </si>
  <si>
    <t>фиг тебе</t>
  </si>
  <si>
    <t>6(203)</t>
  </si>
  <si>
    <t>ни рыба ни мясо</t>
  </si>
  <si>
    <t>7(203)</t>
  </si>
  <si>
    <t>8(203)</t>
  </si>
  <si>
    <t>не дай бог</t>
  </si>
  <si>
    <t>10(203)</t>
  </si>
  <si>
    <t>глагольные конструкции с частицей «айда» {айда купаться!, айда погреемся!}</t>
  </si>
  <si>
    <t>11(203)</t>
  </si>
  <si>
    <t>без царя в голове</t>
  </si>
  <si>
    <t>3(202)</t>
  </si>
  <si>
    <t>ни капли</t>
  </si>
  <si>
    <t>https://drive.google.com/file/d/1pGbcPJr03yrwgKv3uT88POULNN09hATk/view?usp=sharing</t>
  </si>
  <si>
    <t>https://drive.google.com/file/d/1WY8l_faAT5IAIwTObMkYK2nAE0JnbWZD/view?usp=sharing</t>
  </si>
  <si>
    <t>5(202)</t>
  </si>
  <si>
    <t>руки не доходят</t>
  </si>
  <si>
    <t>https://drive.google.com/file/d/1OpCENCBXSPDvPphA7J4d-NSn73wX8bBs/view?usp=sharing</t>
  </si>
  <si>
    <t>https://drive.google.com/file/d/14noRFwDF9iiyZtIQGWrycgskyKBN4-B2/view?usp=sharing</t>
  </si>
  <si>
    <t>15(203)</t>
  </si>
  <si>
    <t>ни-ни</t>
  </si>
  <si>
    <t>https://docs.google.com/spreadsheets/d/1spaN4SNhqJPavCuchXBkNCyH-3jKw-9ncV1U2JbXf74/edit?usp=sharing</t>
  </si>
  <si>
    <t>https://docs.google.com/document/d/1bFGgKAVe7huoYK3YJ9WcJSp2M-HvU50apvmwylm1zhw/edit?usp=sharing</t>
  </si>
  <si>
    <t>6(202)</t>
  </si>
  <si>
    <t>на кой сдался</t>
  </si>
  <si>
    <t>https://docs.google.com/spreadsheets/d/1wV0T7ztwUuqVMba4vfOTdxuBDn1iFYRP8OD2zKa4Np8/edit?usp=sharing</t>
  </si>
  <si>
    <t>https://docs.google.com/document/d/1hV1waLu-WoAFvri1EqMyF83Vz0PFnq7V1ahO91Ntxzw/edit?usp=sharing</t>
  </si>
  <si>
    <t>16(203)</t>
  </si>
  <si>
    <t>не то чтобы</t>
  </si>
  <si>
    <t>https://docs.google.com/spreadsheets/d/1m7DreHl2kDW3wXBvvKTG1LK4316qupiNCFBPv2-FzmI/edit?usp=sharing</t>
  </si>
  <si>
    <t>https://docs.google.com/document/d/15BLqgfTNE66nBXcO3CbD6msk1F46KI2CFM_6zOKZmWc/edit?usp=sharing</t>
  </si>
  <si>
    <t>7(202)</t>
  </si>
  <si>
    <t>до лампочки</t>
  </si>
  <si>
    <t>https://docs.google.com/spreadsheets/d/1gqP6PptIFvW4yC6GG0-mPmmqeXaOovPPu8nNiuS9N_Y/edit?usp=sharing</t>
  </si>
  <si>
    <t>https://drive.google.com/file/d/10wXX1c4x2Ii5WELlF72kpdljwXcjCfET/view?usp=sharing</t>
  </si>
  <si>
    <t>8(202)</t>
  </si>
  <si>
    <t>V-Imp не хочу</t>
  </si>
  <si>
    <t>https://drive.google.com/drive/folders/1kz5CZJxoYIu0RG4_56zU3_8GFyfK5_WD?usp=sharing</t>
  </si>
  <si>
    <t>9(202)</t>
  </si>
  <si>
    <t>не улыбается</t>
  </si>
  <si>
    <t>https://docs.google.com/spreadsheets/d/19O6zAa3k6cPUDxDi2_rIUqXKZv4AdQ9Y2sG2MKU3RCg/edit?usp=sharing</t>
  </si>
  <si>
    <t>https://docs.google.com/document/d/1kuBhp3uWs0Vk8xpD1d_VMqT3tKRCz2bPKvQxuSLZaLg/edit?usp=sharing</t>
  </si>
  <si>
    <t>10(202)</t>
  </si>
  <si>
    <t>ни сном ни духом</t>
  </si>
  <si>
    <t>https://docs.google.com/spreadsheets/d/1uvadGo5IE4_A7rAajjnvmLPoSzYJLN-43ysq7G8EMdI/edit?usp=sharing</t>
  </si>
  <si>
    <t>11(202)</t>
  </si>
  <si>
    <t>не до того</t>
  </si>
  <si>
    <t>https://drive.google.com/file/d/1Da1lL7nKDovp063Of4yw6udHJmgYBF_8/view?usp=sharing</t>
  </si>
  <si>
    <t>https://drive.google.com/file/d/1zqMo7KxWaGJ2JApSM4AGDLEzq63KJsli/view?usp=sharing</t>
  </si>
  <si>
    <t>1(19?)</t>
  </si>
  <si>
    <t>большая половина</t>
  </si>
  <si>
    <t>19?</t>
  </si>
  <si>
    <t>-</t>
  </si>
  <si>
    <t>12(202)</t>
  </si>
  <si>
    <t>не чета</t>
  </si>
  <si>
    <t>13(202)</t>
  </si>
  <si>
    <t>ни разу</t>
  </si>
  <si>
    <t>14(202)</t>
  </si>
  <si>
    <t>ни души</t>
  </si>
  <si>
    <t>15(202)</t>
  </si>
  <si>
    <t>не суть (важно)</t>
  </si>
  <si>
    <t>https://drive.google.com/file/d/1rnwxlQL8Lxh_aKk8SC7SQ_WIcAvAa5sy/view?usp=sharing</t>
  </si>
  <si>
    <t>https://drive.google.com/file/d/1qD3wB9-Ddeuk1UkSM7ZTw1bwcVirLmL_/view?usp=sharing</t>
  </si>
  <si>
    <t>16(202)</t>
  </si>
  <si>
    <t>не пахнет</t>
  </si>
  <si>
    <t>https://drive.google.com/drive/folders/1sMN0Ak6iZBJxU2Kyz0xUTGdXq-XTBdZf?usp=sharing</t>
  </si>
  <si>
    <t>17(202)</t>
  </si>
  <si>
    <t>не занимать</t>
  </si>
  <si>
    <t>https://docs.google.com/spreadsheets/d/1HgJBZVjRR0V2VtO2RzsJuk4XgrgCMDws_IEH5uoCs4M/edit?usp=sharing</t>
  </si>
  <si>
    <t>https://drive.google.com/drive/u/0/my-drive</t>
  </si>
  <si>
    <t>18(202)</t>
  </si>
  <si>
    <t>ни к селу ни к городу</t>
  </si>
  <si>
    <t>19(202)</t>
  </si>
  <si>
    <t>ни о чём</t>
  </si>
  <si>
    <t>https://drive.google.com/file/d/1BPU_HPFA4IkowjPe4xRhd5EvqTy6DtQD/view?usp=sharing</t>
  </si>
  <si>
    <t>https://drive.google.com/file/d/1iLjsmDqiWXjwu4bG_pCMIHAZtHo_VwJD/view?usp=sharing</t>
  </si>
  <si>
    <t>20(202)</t>
  </si>
  <si>
    <t>(не) в своем уме</t>
  </si>
  <si>
    <t>https://drive.google.com/file/d/1U5cX-Ja6D3pQ_qaOCQq2oXUpqGg6p1uZ/view?usp=sharing</t>
  </si>
  <si>
    <t>https://drive.google.com/file/d/1dN3pX2sKyl49BVriLhAQDZIrQ5ieVW8c/view?usp=sharing</t>
  </si>
  <si>
    <t>2(19?)</t>
  </si>
  <si>
    <t>по уши</t>
  </si>
  <si>
    <t>21(202)</t>
  </si>
  <si>
    <t>не напасёшься</t>
  </si>
  <si>
    <t>https://docs.google.com/spreadsheets/d/1LaqIMX-vQOe0gKmq-UISsXWw3eWrq1Z_5DWIDcr_PKg/edit?usp=sharing</t>
  </si>
  <si>
    <t>https://docs.google.com/document/d/18znWbnCGtPNQiXdRtfzq-WVyLCjKbnXnEwhHVAdsdJo/edit?usp=sharing</t>
  </si>
  <si>
    <t>23(202)</t>
  </si>
  <si>
    <t>каши не сваришь</t>
  </si>
  <si>
    <t>https://docs.google.com/spreadsheets/d/10Mi-2dAUrvuGPf_XdxkXdYRA7DfYz35p7_jdosRvsm0/edit?usp=sharing</t>
  </si>
  <si>
    <t>https://docs.google.com/document/d/1zS5ZVVVcoMQjtVPYm_Getvh0t5eXrAOXqrnJPyLh-u4/edit?usp=sharing</t>
  </si>
  <si>
    <t>24(202)</t>
  </si>
  <si>
    <t>не ах, не ах какой, не ах как</t>
  </si>
  <si>
    <t>https://docs.google.com/spreadsheets/d/1_ax5KaAIM24DpzIlZaT7Sm37oHier-erxJqfFeafuU4/edit?usp=sharing</t>
  </si>
  <si>
    <t>https://drive.google.com/file/d/1u36TgR2QDv7b_0jPC8jrcVM2MPYAEF86/view?usp=sharing</t>
  </si>
  <si>
    <t>19(203)</t>
  </si>
  <si>
    <t>не то что</t>
  </si>
  <si>
    <t>https://drive.google.com/file/d/1og8uFOmGNG3LNTRhWeOYogCUPvS2efLl/view?usp=sharing</t>
  </si>
  <si>
    <t>21(203)</t>
  </si>
  <si>
    <t>не V-inf бы</t>
  </si>
  <si>
    <t>3(19?)</t>
  </si>
  <si>
    <t>от корки до корки</t>
  </si>
  <si>
    <t>7(201)</t>
  </si>
  <si>
    <t>не кто/что (иной), как NP</t>
  </si>
  <si>
    <t>https://docs.google.com/document/d/1zBgsPyuaPcElC0VW6iaJX9X4al69XzmdN9eNwjsGn4M/edit</t>
  </si>
  <si>
    <t>2(201)</t>
  </si>
  <si>
    <t>язык не поворачивается</t>
  </si>
  <si>
    <t>https://drive.google.com/file/d/1KYUJt7CUvPhdZN2j275KAwkBbd41Dcmd/view?usp=sharing</t>
  </si>
  <si>
    <t>https://docs.google.com/document/d/1ZFpX30r8ZQsnxzv_1rpfHbwAjscrQNWUtZrPMPHkfkw/edit?usp=sharing</t>
  </si>
  <si>
    <t>2(212)</t>
  </si>
  <si>
    <t>(не) бог знает/весть</t>
  </si>
  <si>
    <t>https://docs.google.com/spreadsheets/d/1p9S4cHU2W4RcRsu4MA1tgcKZo-nVVxy51iEW_WeZJkA/edit?usp=sharing</t>
  </si>
  <si>
    <t>https://drive.google.com/file/d/1bPqSR8cxQzwh3XnePtcC5CNASdyFwmNF/view?usp=sharing</t>
  </si>
  <si>
    <t>3(212)</t>
  </si>
  <si>
    <t>а то / а то нет</t>
  </si>
  <si>
    <t>3(201)</t>
  </si>
  <si>
    <t>ни на йоту не VP</t>
  </si>
  <si>
    <t>https://drive.google.com/file/d/1GgUBwj1vW7PQKV1EIYs8tywffU5HsQXr/view?usp=sharing</t>
  </si>
  <si>
    <t>https://drive.google.com/file/d/1K4vb2z8Fjy7Es-d35O8lrw1zGdfGlZs9/view?usp=sharing</t>
  </si>
  <si>
    <t>5(204)</t>
  </si>
  <si>
    <t>ни черта</t>
  </si>
  <si>
    <t>https://docs.google.com/document/d/1a4GsayLLPRS-uFafuP4Z23k2cfzJDT95XfoZN3f-iZU/edit?usp=sharing</t>
  </si>
  <si>
    <t>https://docs.google.com/document/d/1IcIpm7HjGnaCP4f3aE91YzMfCj4QAdggPezPSUHwxi0/edit?usp=sharing</t>
  </si>
  <si>
    <t>6(204)</t>
  </si>
  <si>
    <t>ни гугу</t>
  </si>
  <si>
    <t>https://docs.google.com/spreadsheets/d/1xD421J20gZyNw8RNrZDIZoo4xDDYe2H0v8zrmlzki5w/edit?usp=sharing</t>
  </si>
  <si>
    <t>https://drive.google.com/file/d/1xkMxqDTvKoSPKauSNPG4kkWuRzEmwFTi/view?usp=sharing</t>
  </si>
  <si>
    <t>13(212)</t>
  </si>
  <si>
    <t>где-то NUM/NP</t>
  </si>
  <si>
    <t>5(201)</t>
  </si>
  <si>
    <t>VP не по-детски/не по-детски Adj</t>
  </si>
  <si>
    <t>https://drive.google.com/file/d/10oU9lEGj_vZEiaSlDBAoR-OGA6J54z_g/view?usp=sharing</t>
  </si>
  <si>
    <t>17(212)-1</t>
  </si>
  <si>
    <t>куда/как ни кинь</t>
  </si>
  <si>
    <t>17(212)-2</t>
  </si>
  <si>
    <t>куда ни кинь NP-Instr/NP-Acc</t>
  </si>
  <si>
    <t>5(212)</t>
  </si>
  <si>
    <t>PronInt (PronPers-Dat/NP-Dat) угодно</t>
  </si>
  <si>
    <t>7(212)</t>
  </si>
  <si>
    <t>да и только</t>
  </si>
  <si>
    <t>8(212)</t>
  </si>
  <si>
    <t>из другой оперы / не из той оперы / другая опера</t>
  </si>
  <si>
    <t>9(212)</t>
  </si>
  <si>
    <t>в (самую) точку</t>
  </si>
  <si>
    <t>10(212)</t>
  </si>
  <si>
    <t>не в бровь, а (прямо) в (самый) глаз</t>
  </si>
  <si>
    <t>11(212)</t>
  </si>
  <si>
    <t>как две капли (воды)</t>
  </si>
  <si>
    <t>15(212)</t>
  </si>
  <si>
    <t>тютелька в тютельку</t>
  </si>
  <si>
    <t>16(212)</t>
  </si>
  <si>
    <t>без дураков</t>
  </si>
  <si>
    <t>18(212)</t>
  </si>
  <si>
    <t>вроде того</t>
  </si>
  <si>
    <t>19(212)</t>
  </si>
  <si>
    <t>20(212)</t>
  </si>
  <si>
    <t>там и сям</t>
  </si>
  <si>
    <t>22(212)</t>
  </si>
  <si>
    <t>PronInt (ни) попало</t>
  </si>
  <si>
    <t>25(212)</t>
  </si>
  <si>
    <t>PronInt хочешь</t>
  </si>
  <si>
    <t>26(212)</t>
  </si>
  <si>
    <t>тут и там</t>
  </si>
  <si>
    <t>27(212)-1</t>
  </si>
  <si>
    <t>где NP-Dat VP-Inf</t>
  </si>
  <si>
    <t>27(212)-2</t>
  </si>
  <si>
    <t>где там</t>
  </si>
  <si>
    <t>чуть свет</t>
  </si>
  <si>
    <t>12(204)</t>
  </si>
  <si>
    <t>не в пример1</t>
  </si>
  <si>
    <t>1(221)</t>
  </si>
  <si>
    <t>Cl, покамест (не) Cl</t>
  </si>
  <si>
    <t>2(221)</t>
  </si>
  <si>
    <t>3(223)</t>
  </si>
  <si>
    <t>на ночь глядя</t>
  </si>
  <si>
    <t>https://docs.google.com/spreadsheets/d/18DKFy52j7ySX8dYYPHlTSFFVEDGntm9t/edit?usp=drive_link&amp;ouid=107505088657043855546&amp;rtpof=true&amp;sd=true</t>
  </si>
  <si>
    <t>https://drive.google.com/file/d/1H8uI4yf-O_7ikAJ6lUZOC-V8VNC5zzLr/view?usp=drive_link</t>
  </si>
  <si>
    <t>51(221)</t>
  </si>
  <si>
    <t>54(221)</t>
  </si>
  <si>
    <t>до упора</t>
  </si>
  <si>
    <t>4(221)</t>
  </si>
  <si>
    <t>NP-Nom - вчерашний день</t>
  </si>
  <si>
    <t>5(221)</t>
  </si>
  <si>
    <t>VP сию (же) минуту / VP сию (же) секунду</t>
  </si>
  <si>
    <t>6(221)</t>
  </si>
  <si>
    <t>эпизодически</t>
  </si>
  <si>
    <t>https://docs.google.com/spreadsheets/d/1QPKn9OPTnaQLdAxjYXc8jgUwZB79e5csWeKef8NWPHw/edit?usp=sharing</t>
  </si>
  <si>
    <t>https://docs.google.com/document/d/1QLeLFMo9e-EYbI4GCuJBLXVrZWQ-2u08Sw_bx0Sq9IE/edit?usp=sharing</t>
  </si>
  <si>
    <t>1(222)</t>
  </si>
  <si>
    <t>не за горами</t>
  </si>
  <si>
    <t>1(223)</t>
  </si>
  <si>
    <t>до победного (конца)</t>
  </si>
  <si>
    <t>https://docs.google.com/spreadsheets/d/1DwgykeqlkCa6JHrUl1iDnEZccMBW5ScM-ABWhb_d8Ew/edit?usp=sharing</t>
  </si>
  <si>
    <t>https://docs.google.com/document/d/1aXHMGDVOIsSIuRdvvobt8kGVH8GnbRQyt5Bu33rMb1Q/edit?usp=sharing</t>
  </si>
  <si>
    <t>7(221)</t>
  </si>
  <si>
    <t>случалось</t>
  </si>
  <si>
    <t>https://drive.google.com/file/d/1t_wUpD9x4B7pYKeYJP8wzcsL6Mu2Xs5O/view?usp=sharing</t>
  </si>
  <si>
    <t>https://drive.google.com/file/d/1MYauLy29rzyFaE_TZzUPNiGcXqqTXyPG/view?usp=sharing</t>
  </si>
  <si>
    <t>8(221)</t>
  </si>
  <si>
    <t>9(221)</t>
  </si>
  <si>
    <t>2(222)</t>
  </si>
  <si>
    <t>на носу</t>
  </si>
  <si>
    <t>2(223)</t>
  </si>
  <si>
    <t>без продыха</t>
  </si>
  <si>
    <t>https://docs.google.com/spreadsheets/d/1smNA3VXmcSBwj_xt6RY1oUHQRqT3L6FSU3exAwqqVXw/edit?usp=sharing</t>
  </si>
  <si>
    <t>https://docs.google.com/document/d/12P9GpKYBHZnxatDU1Zfu2TPS8fQt-By_/edit?usp=sharing&amp;ouid=108067062046513429349&amp;rtpof=true&amp;sd=true</t>
  </si>
  <si>
    <t>4(223)</t>
  </si>
  <si>
    <t>переминаться с ноги на ногу</t>
  </si>
  <si>
    <t>3(222)</t>
  </si>
  <si>
    <t xml:space="preserve">Кануть в </t>
  </si>
  <si>
    <t>10(221)</t>
  </si>
  <si>
    <t>как водится</t>
  </si>
  <si>
    <t>https://docs.google.com/spreadsheets/d/1ThwAv1YaO3PDNARaugFPTZ_UYEH0wLpsGFzrrqb-We0/edit?usp=sharing</t>
  </si>
  <si>
    <t>https://docs.google.com/document/d/13TOot3klj3dQ5VFcnEcRRxFwAm-cAVuT2-mcj0b2834/edit?usp=sharing</t>
  </si>
  <si>
    <t>5(223)</t>
  </si>
  <si>
    <t>в то время как</t>
  </si>
  <si>
    <t>https://docs.google.com/document/d/1RuC5974DoF7BoZz2GKC7uQ-rcMnWxJ7jBqeC4otYA98/edit?usp=sharing</t>
  </si>
  <si>
    <t>4(222)</t>
  </si>
  <si>
    <t>бородатый / с бородой</t>
  </si>
  <si>
    <t>https://drive.google.com/file/d/1OeD2S3qewbc1gxsK3OFAw8S_VKo-NNok/view?usp=drive_link</t>
  </si>
  <si>
    <t>5(222)</t>
  </si>
  <si>
    <t>хронически</t>
  </si>
  <si>
    <t>https://docs.google.com/spreadsheets/d/1h88LdZWyBScJp7e-RAp9uCUPtMP40Tme/edit?usp=sharing&amp;ouid=101523672450776755127&amp;rtpof=true&amp;sd=true</t>
  </si>
  <si>
    <t>https://docs.google.com/document/d/1QIBIMHc0_thucTyQOp8AXmCDjbOvwukp/edit?usp=sharing&amp;ouid=101523672450776755127&amp;rtpof=true&amp;sd=true</t>
  </si>
  <si>
    <t>6(223)</t>
  </si>
  <si>
    <t>Откладывать в долгий ящик</t>
  </si>
  <si>
    <t>https://disk.yandex.ru/i/cOsKX0GuFa135A</t>
  </si>
  <si>
    <t>https://disk.yandex.ru/i/0tbOCQjYQSiolQ</t>
  </si>
  <si>
    <t>7(223)</t>
  </si>
  <si>
    <t>год от года</t>
  </si>
  <si>
    <t>https://docs.google.com/spreadsheets/d/16XCrJJ_PaZEuJWulGT9MXMOqyMEXV7Az6BZKT967wck/edit?usp=sharing</t>
  </si>
  <si>
    <t>https://docs.google.com/document/d/1PXIZ0TlRtXSqLiFcznuYFmY78SZ1dEvD/edit?usp=drive_link&amp;ouid=100858586463664673812&amp;rtpof=true&amp;sd=true</t>
  </si>
  <si>
    <t>8(223)</t>
  </si>
  <si>
    <t>не по дням, а по часам</t>
  </si>
  <si>
    <t>13(221)</t>
  </si>
  <si>
    <t>со дня на день</t>
  </si>
  <si>
    <t>14(221)</t>
  </si>
  <si>
    <t>поживём – увидим</t>
  </si>
  <si>
    <t>15(221)</t>
  </si>
  <si>
    <t>16(221)</t>
  </si>
  <si>
    <t>под занавес</t>
  </si>
  <si>
    <t>https://docs.google.com/spreadsheets/d/1FMFSMvAlM4CqUO9S_huv0q9C1IM1tZAl/edit?usp=sharing&amp;ouid=110306721958136206341&amp;rtpof=true&amp;sd=true</t>
  </si>
  <si>
    <t>https://docs.google.com/document/d/1jcJa-F6lMc0-kmUzahZSyGR2NJQwyWA5/edit?usp=sharing&amp;ouid=110306721958136206341&amp;rtpof=true&amp;sd=true</t>
  </si>
  <si>
    <t>6(222)</t>
  </si>
  <si>
    <t>7(222)</t>
  </si>
  <si>
    <t>до гроба</t>
  </si>
  <si>
    <t>9(222)</t>
  </si>
  <si>
    <t>с пеленок</t>
  </si>
  <si>
    <t>https://docs.google.com/spreadsheets/d/1OZNXPj_hMmFWVZGYqORsHwJNOgfmeZPO/edit#gid=1234901686</t>
  </si>
  <si>
    <t>https://docs.google.com/document/d/1PfXZ6L_TuJZp0zCzuBxwgQwvxJvS7LHVU58jjZ_EyPA/edit</t>
  </si>
  <si>
    <t>10(222)</t>
  </si>
  <si>
    <t>ждать у моря погоды</t>
  </si>
  <si>
    <t>https://docs.google.com/spreadsheets/d/127XP336sPKx9eFd5cEPrj7aLTcr3KooU7MbZFzAl8zE/edit#gid=1534343026</t>
  </si>
  <si>
    <t>18(221)</t>
  </si>
  <si>
    <t>к шапочному разбору</t>
  </si>
  <si>
    <t>9(223)</t>
  </si>
  <si>
    <t>нет-нет да и</t>
  </si>
  <si>
    <t>https://docs.google.com/spreadsheets/d/1kgI3nyTy70oxKAK9l_1o5JMigCk6N7MmHWC_8iP7xPE/edit#gid=0</t>
  </si>
  <si>
    <t>https://docs.google.com/document/d/1LBgRw1TvlCBA9ur87MJjo3G1ERoJ3Q7HIy0F6HFhVuc/edit</t>
  </si>
  <si>
    <t>11(222)</t>
  </si>
  <si>
    <t>между тем</t>
  </si>
  <si>
    <t>19(221)</t>
  </si>
  <si>
    <t>с часу на час</t>
  </si>
  <si>
    <t>10(223)</t>
  </si>
  <si>
    <t>не к спеху</t>
  </si>
  <si>
    <t>https://docs.google.com/spreadsheets/d/1FHaXiDtp3OT1C3WsKGn1L41JDVseuJVs9MkFO_klkR8/edit#gid=0</t>
  </si>
  <si>
    <t>https://docs.google.com/document/d/1XCz1PIpkLIj7XEFbr70iozgfPJlknRvtsz3k3pSmBEs/edit</t>
  </si>
  <si>
    <t>11(223)</t>
  </si>
  <si>
    <t>не по годам</t>
  </si>
  <si>
    <t>20(221)</t>
  </si>
  <si>
    <t>новоиспечённый</t>
  </si>
  <si>
    <t>21(221)</t>
  </si>
  <si>
    <t>свежеиспечённый</t>
  </si>
  <si>
    <t>12(222)</t>
  </si>
  <si>
    <t>на первых порах</t>
  </si>
  <si>
    <t>13(222)</t>
  </si>
  <si>
    <t>с полуслова</t>
  </si>
  <si>
    <t>https://docs.google.com/spreadsheets/d/1RsgLEIe09JOAwzcHa4fILTM8orhotOlOsEem8h55zEc/edit?usp=sharing</t>
  </si>
  <si>
    <t>https://docs.google.com/document/d/1M3yyvMwI98lhFs1A1cPEWvT9-Zm_CZZ7Oyimp_rlQSs/edit</t>
  </si>
  <si>
    <t>14(223)</t>
  </si>
  <si>
    <t>изо дня в день</t>
  </si>
  <si>
    <t>https://docs.google.com/spreadsheets/d/10sNL4P1IGggjiYLFI80UtwHP5PPDoYCywJOBU9ok66E/edit?usp=sharing</t>
  </si>
  <si>
    <t>https://docs.google.com/document/d/1AN68sO_yp0aTopWIF5nwKAxumpOf-d2bQaowa9r2BTA/edit?usp=sharing</t>
  </si>
  <si>
    <t>рука не поднимается</t>
  </si>
  <si>
    <t>стоять на (одном) месте</t>
  </si>
  <si>
    <t>https://docs.google.com/spreadsheets/d/1Q4neMbuEeSJuKmhfKPq51sCiI2co8cKIorRR1NiWqE0/edit?usp=sharing</t>
  </si>
  <si>
    <t>https://docs.google.com/document/d/1ppw-KrsFTmdh4SJp8Oh-cLqnmpkzLCfQl8V5v_Iw4ns/edit</t>
  </si>
  <si>
    <t>конь не валялся</t>
  </si>
  <si>
    <t>как не бывало</t>
  </si>
  <si>
    <t>в ус не дуть</t>
  </si>
  <si>
    <t>к лицу</t>
  </si>
  <si>
    <t>не по пути</t>
  </si>
  <si>
    <t>(NP-Dat) и N-Gen V-Inf нельзя</t>
  </si>
  <si>
    <t>пальцем не пошевелить</t>
  </si>
  <si>
    <t>далеко ходить не надо</t>
  </si>
  <si>
    <t>суд да дело</t>
  </si>
  <si>
    <t>https://disk.yandex.ru/i/UIGl8QSNkH37-Q</t>
  </si>
  <si>
    <t>недалеко ходить</t>
  </si>
  <si>
    <t>15(223)</t>
  </si>
  <si>
    <t>в то же время</t>
  </si>
  <si>
    <t>https://docs.google.com/spreadsheets/d/1LY-wLzoF0i9Y2Bns1TC0dzfowQ0LkBcQV6XhRS2ZT8c/edit?usp=sharing</t>
  </si>
  <si>
    <t>https://drive.google.com/file/d/1-RbujWHgExfURPLIHH6MeBMGyt-g6BW7/view?usp=sharing</t>
  </si>
  <si>
    <t>22(221)</t>
  </si>
  <si>
    <t>через время</t>
  </si>
  <si>
    <t>2(232)</t>
  </si>
  <si>
    <t>(только) через PrnPoss труп</t>
  </si>
  <si>
    <t>3(232)</t>
  </si>
  <si>
    <t>на пороге X-a</t>
  </si>
  <si>
    <t>4(232)</t>
  </si>
  <si>
    <t>5(232)</t>
  </si>
  <si>
    <t>ставить во главу угла</t>
  </si>
  <si>
    <t>VP в курсе</t>
  </si>
  <si>
    <t>1(231)</t>
  </si>
  <si>
    <t>место под солнцем</t>
  </si>
  <si>
    <t>2(231)</t>
  </si>
  <si>
    <t>VP над душой</t>
  </si>
  <si>
    <t>VP к праотцам</t>
  </si>
  <si>
    <t>6(232)</t>
  </si>
  <si>
    <t>перед NP-Acc</t>
  </si>
  <si>
    <t>7(232)</t>
  </si>
  <si>
    <t>8(232)</t>
  </si>
  <si>
    <t>откуда ни возьмись</t>
  </si>
  <si>
    <t>9(232)</t>
  </si>
  <si>
    <t>NP-Dat под хвост</t>
  </si>
  <si>
    <t>день ото дня</t>
  </si>
  <si>
    <t>formula</t>
  </si>
  <si>
    <t>contemporary meaning</t>
  </si>
  <si>
    <t>variation</t>
  </si>
  <si>
    <t>in Russian Constructicon</t>
  </si>
  <si>
    <t>number in Russian Constructicon</t>
  </si>
  <si>
    <t>synt_function_of_anchor</t>
  </si>
  <si>
    <t>anchor_schema</t>
  </si>
  <si>
    <t>anchor_ru</t>
  </si>
  <si>
    <t>anchor_eng</t>
  </si>
  <si>
    <t>large quantity</t>
  </si>
  <si>
    <t>Praedicative Expression</t>
  </si>
  <si>
    <t>хоть пруд-Acc прудить-Imper.Sg</t>
  </si>
  <si>
    <t>even pond-Acc pond-Imper.Sg</t>
  </si>
  <si>
    <t>negative assessment</t>
  </si>
  <si>
    <t>по адрес-Dat.Sg</t>
  </si>
  <si>
    <t>(VP) в точности (PronDem)</t>
  </si>
  <si>
    <t>booster</t>
  </si>
  <si>
    <t xml:space="preserve"> 
в точности как</t>
  </si>
  <si>
    <t>Matrix Predicate</t>
  </si>
  <si>
    <t>Prep N-Ins</t>
  </si>
  <si>
    <t>в точность-Ins</t>
  </si>
  <si>
    <t>in accuracy-Ins</t>
  </si>
  <si>
    <t>NumCrd N с гаком</t>
  </si>
  <si>
    <t>additive</t>
  </si>
  <si>
    <t>NumCrd с гаком N-Gen.Pl
N c гаком</t>
  </si>
  <si>
    <t>Modifier</t>
  </si>
  <si>
    <t>с гак-Ins</t>
  </si>
  <si>
    <t>with hook-Ins</t>
  </si>
  <si>
    <t>NP-Gen не*густо</t>
  </si>
  <si>
    <t>diminisher</t>
  </si>
  <si>
    <t xml:space="preserve">с NP-Ins не*густо 
насчёт NP-Gen не*густо </t>
  </si>
  <si>
    <t>PART Adv</t>
  </si>
  <si>
    <t>not dense</t>
  </si>
  <si>
    <t>(NP) все (NP) до одного (NP-Gen)</t>
  </si>
  <si>
    <t>maximizer</t>
  </si>
  <si>
    <t>(NP) все (NP) до единого (NP-Gen)
(NP) все (NP) до едина 
(NP) весь (NP) до одного (NP-Gen)
+ NP может быть и постпозитивной по отношению к "все"</t>
  </si>
  <si>
    <t>Nominal Quantifier</t>
  </si>
  <si>
    <t>Adj Prep Num-Gen.Sg</t>
  </si>
  <si>
    <t>все до один-Gen.Sg</t>
  </si>
  <si>
    <t>everyone till one-Gen.Sg</t>
  </si>
  <si>
    <t>не ахти ((PronInt) NP) / не ахти ((PronInt) AdvP)</t>
  </si>
  <si>
    <t xml:space="preserve">General Assessment </t>
  </si>
  <si>
    <t>Argument</t>
  </si>
  <si>
    <t>Part Intj</t>
  </si>
  <si>
    <t>not achti</t>
  </si>
  <si>
    <t>((N-Nom) Cop) без понятия</t>
  </si>
  <si>
    <t>assessment in relation to knowledge</t>
  </si>
  <si>
    <t>PREP N-Gen.Sg</t>
  </si>
  <si>
    <t>без понятие-Gen.Sg</t>
  </si>
  <si>
    <t>without understanding-Gen.Sg</t>
  </si>
  <si>
    <t>N-Nom знает ((PronInt) (NP))</t>
  </si>
  <si>
    <t>N-Nom: дьявол, бес, ляд, бог, х*й, хрен, х*р, пес, шут, кто, фиг
Pron-Nom знает ((PronInt) (NP))</t>
  </si>
  <si>
    <t>Noun-Nom.Sg Verb-Prs.3Sg</t>
  </si>
  <si>
    <t>Черт-Nom.Sg Знать-Prs.3Sg</t>
  </si>
  <si>
    <t>heck-Nom.Sg know-Prs.3Sg</t>
  </si>
  <si>
    <t>Фиг NP-Dat</t>
  </si>
  <si>
    <t>Refusal</t>
  </si>
  <si>
    <t>Шиш NP-Dat/Кукиш NP-Dat/Дуля NP-Dat/Хуй NP-Dat/Хер NP-Dat</t>
  </si>
  <si>
    <t>N-Acc.Sg N-Dat.Sg</t>
  </si>
  <si>
    <t>Фиг-Acc.Sg N-Dat.Sg</t>
  </si>
  <si>
    <t>Fig-Acc.Sg N-Dat.Sg</t>
  </si>
  <si>
    <t>(у NP-Gen | в NP-Loc | не Cop) ни стыда ни совести</t>
  </si>
  <si>
    <t>(у NP-Gen | в NP-Loc | не Cop) ни совести ни стыда</t>
  </si>
  <si>
    <t>ни стыд-Gen.Sg ни совесть-Gen.Sg</t>
  </si>
  <si>
    <t>не дай бог (NP-Dat) VP-Pfv.Inf</t>
  </si>
  <si>
    <t>Apprehensive</t>
  </si>
  <si>
    <t>не дай бог (NP-Nom) VP-Pfv.Fut
не дай бог NP-Dat (PronDem) NP-Acc
не дай бог NP-Dat (PronDem) NP-Acc
не дай бог, чтобы | если Cl
не дай бог PronInt Adj/NP/VP</t>
  </si>
  <si>
    <t>Verb Predicate</t>
  </si>
  <si>
    <t>не дать-Imper.3Sg бог-Nom.Sg</t>
  </si>
  <si>
    <t>not give-Imper.3Sg god-Nom.Sg</t>
  </si>
  <si>
    <t>V-Pst</t>
  </si>
  <si>
    <t>Causation</t>
  </si>
  <si>
    <t>айда V-Fut.1Sg/V-Inf</t>
  </si>
  <si>
    <t>Pred</t>
  </si>
  <si>
    <t>айда</t>
  </si>
  <si>
    <t>aida</t>
  </si>
  <si>
    <t>Cop без царя в голове</t>
  </si>
  <si>
    <t>Minimizer: Absence</t>
  </si>
  <si>
    <t xml:space="preserve"> нет царя в голове, без царька в голове</t>
  </si>
  <si>
    <t>PART N-Gen PART N-Loc</t>
  </si>
  <si>
    <t>без царь-Gen.Sg в голова-Loc.Sg</t>
  </si>
  <si>
    <t>without tsar-Gen.Sg in head-Loc.Sg</t>
  </si>
  <si>
    <t>ни капли (N-Gen|VP)</t>
  </si>
  <si>
    <t>ни капля N-Gen, ни капельки N-Gen, ни одной капли N-Gen, ни единой капли N-Gen, ни единственной капли N-Gen</t>
  </si>
  <si>
    <t>ни капля-Gen.Sg</t>
  </si>
  <si>
    <t>not drop-Gen.Sg</t>
  </si>
  <si>
    <t>(у NP-Gen) руки не доходят / дойдут / дошли / дойдут (Inf / до NP-Gen)</t>
  </si>
  <si>
    <t>(у NP-Gen) не доходят/доходили/дошли/дойдут руки (Inf / до NP-Gen / чтобы Inf / для NP-Gen / на NP-Acc)</t>
  </si>
  <si>
    <t>N-Nom.Pl NEG V-3Pl</t>
  </si>
  <si>
    <t>рука-Nom.Pl не доходить-3Pl</t>
  </si>
  <si>
    <t>hand-Nom.Pl not reach-3Pl</t>
  </si>
  <si>
    <t>NP XP ни-ни!</t>
  </si>
  <si>
    <t>Prohibition; denial of the fact; rejection</t>
  </si>
  <si>
    <t>ни-ни-ни</t>
  </si>
  <si>
    <t>PART PART</t>
  </si>
  <si>
    <t>ni-ni</t>
  </si>
  <si>
    <t>на кой NP-Nom (NP-Dat) сдаться-Pst</t>
  </si>
  <si>
    <t>Attitude</t>
  </si>
  <si>
    <t>на кой грец / дьявол / леший / ляд / пёс / прах / проляд / фиг / хрен / черт / шут NP-Nom NP-Dat сдаться-Pst; на кой NP-Nom (NP-Dat) нужен, на кой NP-Nom (NP-Dat) даться-Pst, на кой NP-Nom (NP-Dat) надо, на кой NP-Nom (NP-Dat) понадобиться-Pst</t>
  </si>
  <si>
    <t>PR PronInt-Nom NP-Nom Verb-Pst</t>
  </si>
  <si>
    <t>на кой-Nom NP-Nom сдаться-Pst</t>
  </si>
  <si>
    <t>on which-Nom NP-Nom to give up-Pst</t>
  </si>
  <si>
    <t>не то чтобы (CCONJ) XP</t>
  </si>
  <si>
    <t>Specification on a scale</t>
  </si>
  <si>
    <t>не то чтоб XP</t>
  </si>
  <si>
    <t>PART PART CCONJ</t>
  </si>
  <si>
    <t>not that for</t>
  </si>
  <si>
    <t>NP-Dat Cop до лампочки (NP-Nom)</t>
  </si>
  <si>
    <t>Subjectivity: Attitude</t>
  </si>
  <si>
    <t>NP-Dat Cop до балды / банки / барабана / груши / жердочки / жопы / звезды / зонтика / коряги / лампады / лампы / мушки / пизды / потолка / фени / феньки / фонаря / форточки (NP-Nom)</t>
  </si>
  <si>
    <t>Prep NP-Gen</t>
  </si>
  <si>
    <t>до лампочка-Gen</t>
  </si>
  <si>
    <t>to lightbulb-Gen</t>
  </si>
  <si>
    <t>Verb-Imp не хочу</t>
  </si>
  <si>
    <t>Booster</t>
  </si>
  <si>
    <t>NEG Verb-Prs.1Sg</t>
  </si>
  <si>
    <t>не хотеть-Prs.1Sg</t>
  </si>
  <si>
    <t>not want-Prs.1Sg</t>
  </si>
  <si>
    <t>(NP-Dat) (Cop) не до того (Cl)</t>
  </si>
  <si>
    <t>(NP-Dat) (Cop) не до этого</t>
  </si>
  <si>
    <t>не до то-Gen.Sg</t>
  </si>
  <si>
    <t>not to that-Gen.Sg</t>
  </si>
  <si>
    <t>большая половина (NP-Gen)</t>
  </si>
  <si>
    <t>из PronInt-Gen/NP-Gen большая половина</t>
  </si>
  <si>
    <t>ADJ N</t>
  </si>
  <si>
    <t>larger half</t>
  </si>
  <si>
    <t>NP-Dat не улыбается VP/NP</t>
  </si>
  <si>
    <t>NP-Dat не улыбалось VP/NP</t>
  </si>
  <si>
    <t>NEG Verb-Prs.3Sg</t>
  </si>
  <si>
    <t>не улыбаться-Prs.3Sg</t>
  </si>
  <si>
    <t>not smile-Prs.3Sg</t>
  </si>
  <si>
    <t>NP ни сном ни духом</t>
  </si>
  <si>
    <t>NEG N-Ins.Sg NEG N-Ins.Sg</t>
  </si>
  <si>
    <t>NEG сон-Ins.Sg NEG дух-Ins.Sg</t>
  </si>
  <si>
    <t>NEG sleep-Ins.Sg NEG soul-Ins.Sg</t>
  </si>
  <si>
    <t>(NP-Nom) Cop не чета NP-Dat</t>
  </si>
  <si>
    <t>Comparison</t>
  </si>
  <si>
    <t>NEG N-Nom</t>
  </si>
  <si>
    <t>не чета-Nom.Sg</t>
  </si>
  <si>
    <t>not couple-Nom.Sg</t>
  </si>
  <si>
    <t>ни разу не VP/NP/AP</t>
  </si>
  <si>
    <t>ни одного разу не VP</t>
  </si>
  <si>
    <t>NEG N-Dat.Sg NEG</t>
  </si>
  <si>
    <t>ни раз-Dat.Sg не</t>
  </si>
  <si>
    <t>ни души (NP-Gen/не VP)</t>
  </si>
  <si>
    <t>NEG N-Gen.Sg</t>
  </si>
  <si>
    <t>ни душа-Gen.Sg</t>
  </si>
  <si>
    <t>not soul-Gen.Sg</t>
  </si>
  <si>
    <t>(NP-Nom.Sg) (Cop) не суть (важно)</t>
  </si>
  <si>
    <t>Importance</t>
  </si>
  <si>
    <t>Cl (Cop) не суть важно /  не суть важно Cl</t>
  </si>
  <si>
    <t>NEG Verb-Prs.3Pl Adj-Short.Sg.N</t>
  </si>
  <si>
    <t>не быть-Prs.3pl важный-Short.Sg.N</t>
  </si>
  <si>
    <t>not be-Prs.3Pl important-Short.Sg.N</t>
  </si>
  <si>
    <t>NP-Ins не пахнет</t>
  </si>
  <si>
    <t>Minimizer: Low</t>
  </si>
  <si>
    <t>NP-Ins и не пахнет, NP-Ins не пахло</t>
  </si>
  <si>
    <t>не пахнуть-Prs.3Sg</t>
  </si>
  <si>
    <t>not smell-Prs.3Sg</t>
  </si>
  <si>
    <t>NP ни о чём</t>
  </si>
  <si>
    <t>NP вообще / совсем / абсолютно ни о чём</t>
  </si>
  <si>
    <t>NEG PR SPRO-Loc</t>
  </si>
  <si>
    <t>ни о что-Loc</t>
  </si>
  <si>
    <t>not about what-Loc</t>
  </si>
  <si>
    <t>VP ни о чём</t>
  </si>
  <si>
    <t>VP вообще / совсем / абсолютно ни о чём</t>
  </si>
  <si>
    <t>NP (VP) (не) в своем уме</t>
  </si>
  <si>
    <t>Cop не в своем разуме / рассудке</t>
  </si>
  <si>
    <t>Prep PronPoss-Loc N-Loc</t>
  </si>
  <si>
    <t>в свой-Loc ум-Loc</t>
  </si>
  <si>
    <t>in self-Loc mind-Loc</t>
  </si>
  <si>
    <t>VP по (самые) уши (в NP-Acc)</t>
  </si>
  <si>
    <t>Booster/Maximizer</t>
  </si>
  <si>
    <t>NP (NP-Dat) по уши</t>
  </si>
  <si>
    <t>по уши-Acc.Pl</t>
  </si>
  <si>
    <t>(NP-Gen) не напасёшься (на NP-Acc)</t>
  </si>
  <si>
    <t>(NP-Gen) Сop не напастись/Cop не напасти/ не напасать/ не напасти/ не напастись(на NP-Acc/NP-Dat)</t>
  </si>
  <si>
    <t>NEG V-Fut.2Sg</t>
  </si>
  <si>
    <t xml:space="preserve">не напастись-Fut.2Sg </t>
  </si>
  <si>
    <t>not stock_up-Fut.2Sg</t>
  </si>
  <si>
    <t>(NP-Nom) Cop не очень</t>
  </si>
  <si>
    <t>Negative asessment</t>
  </si>
  <si>
    <t>не оч, неоч</t>
  </si>
  <si>
    <t>PART ADV</t>
  </si>
  <si>
    <t>not really</t>
  </si>
  <si>
    <t>(NP-Nom) ни в зуб (NP-Acc / NP-Gen / в NP-Loc / Adv)</t>
  </si>
  <si>
    <t>(NP-Nom) ни в зуб толкнуть / (NP-Nom) ни в зуб ногой</t>
  </si>
  <si>
    <t>NEG PR N-Acc.Sg</t>
  </si>
  <si>
    <t>ни в зуб-Acc.Sg</t>
  </si>
  <si>
    <t>not in tooth-Acc.Sg</t>
  </si>
  <si>
    <t>(c NP-Ins) / (из NP-Gen) каши не сваришь</t>
  </si>
  <si>
    <t>(c NP-Ins) пива не сваришь
(c NP-Ins) кашу не сваришь
(NP-Dat) (c NP-Ins) не сварить кашу / каши</t>
  </si>
  <si>
    <t>N-Gen NEG V-2.Sg</t>
  </si>
  <si>
    <t>каша-Gen.Sg не сварить-2.Sg</t>
  </si>
  <si>
    <t>не V-Inf ли</t>
  </si>
  <si>
    <t>PART V-Inf PART</t>
  </si>
  <si>
    <t>not V-Inf if</t>
  </si>
  <si>
    <t>не то что XP/Cl, (а/но) XP/Cl</t>
  </si>
  <si>
    <t>Contrast</t>
  </si>
  <si>
    <t>Coordinator</t>
  </si>
  <si>
    <t>Neg PronDem Sconj</t>
  </si>
  <si>
    <t>not that that</t>
  </si>
  <si>
    <t xml:space="preserve">Maximizer </t>
  </si>
  <si>
    <t>Adj-Cmp Pred</t>
  </si>
  <si>
    <t>Adj-Cmp некуда</t>
  </si>
  <si>
    <t>Adj-Cmp nowhere</t>
  </si>
  <si>
    <t>не V-Inf бы</t>
  </si>
  <si>
    <t>только/лишь/хоть/хорошо бы (NP-Dat) не V-Inf</t>
  </si>
  <si>
    <t>Discourse Particle</t>
  </si>
  <si>
    <t>not V-Inf would</t>
  </si>
  <si>
    <t>VP от корки до корки</t>
  </si>
  <si>
    <t>NP от корки до корки</t>
  </si>
  <si>
    <t>от корки-Gen.Sg до корки-Gen.Sg</t>
  </si>
  <si>
    <t>exclusive</t>
  </si>
  <si>
    <t>не (Prep) кто/что (иной), как NP</t>
  </si>
  <si>
    <t>Argument 
Modifier</t>
  </si>
  <si>
    <t>NEG PREP PRON Comp</t>
  </si>
  <si>
    <t>не кто/что (иной), как</t>
  </si>
  <si>
    <t>none-Pers/nonPers (other) than</t>
  </si>
  <si>
    <t>(у NP-Gen) язык не поворачивается (VP-Inf)</t>
  </si>
  <si>
    <t>поворачиваться/повернуться/повертываться/ворочаться/поворотиться Fut/Pst/Pres/Subj</t>
  </si>
  <si>
    <t>N-Nom PART V-3Sg</t>
  </si>
  <si>
    <t>язык-Nom не поворачиваться-3Sg</t>
  </si>
  <si>
    <t>tongue-Nom not turn-3Sg</t>
  </si>
  <si>
    <t>(не) V/Cop бог знает PronInt</t>
  </si>
  <si>
    <t>Assessment in relation to knowledge, Booster (without negation)/Diminisher (with negation)</t>
  </si>
  <si>
    <t xml:space="preserve">V/Cop бог весть PronInt, V/Cop чёрт/фиг/хрен знает PronInt </t>
  </si>
  <si>
    <t>N-Nom V-Prs.Ipfv.3Sg</t>
  </si>
  <si>
    <t>бог-Nom знать-Prs.Ipfv.3Sg</t>
  </si>
  <si>
    <t>god-Nom know-Prs.Ipfv.3Sg</t>
  </si>
  <si>
    <t>а то (нет)</t>
  </si>
  <si>
    <t>agreement</t>
  </si>
  <si>
    <t>Cconj PronDem (NEG)</t>
  </si>
  <si>
    <t>and that (not)</t>
  </si>
  <si>
    <t>ни йоты N-Gen.Sg</t>
  </si>
  <si>
    <t>PART PREP N-Acc PART</t>
  </si>
  <si>
    <t>ни на йота-Acc не</t>
  </si>
  <si>
    <t>neither on iota-Acc not</t>
  </si>
  <si>
    <t>где-то NUM</t>
  </si>
  <si>
    <t xml:space="preserve">Approximator </t>
  </si>
  <si>
    <t>ADV</t>
  </si>
  <si>
    <t>где-то</t>
  </si>
  <si>
    <t>somewhere</t>
  </si>
  <si>
    <t>ни черта не VP</t>
  </si>
  <si>
    <t>ни черта не Pred/PtcpAct/PtcpPass/Cvb
ни чёрта Adj-Gen не VP
ни черта нет(у)
ни черта Adj-Gen (не VP)</t>
  </si>
  <si>
    <t>PART N-Gen PART</t>
  </si>
  <si>
    <t>ни чёрт-Gen не</t>
  </si>
  <si>
    <t>not devil-Gen not</t>
  </si>
  <si>
    <t>(чтобы) (PronPers-2.Nom)((ни) NP-Dat/никто-Dat) ни гу-гу/гугу</t>
  </si>
  <si>
    <t>Minimizer: Absence, prohibition</t>
  </si>
  <si>
    <t>(NP-Nom)(про NP-Acc/o NP-Prep)(у NP-Gen) ни гугу/гу-гу; 
от NP-Gen ни гугу/гу-гу; 
в ответ ни гугу/гу-гу; 
NP-Loc ни гугу/гу-гу</t>
  </si>
  <si>
    <t>PART Onomatopoeia</t>
  </si>
  <si>
    <t>ни гугу/гу-гу</t>
  </si>
  <si>
    <t>no peep</t>
  </si>
  <si>
    <t>4(201)</t>
  </si>
  <si>
    <t>NP-Nom (Cop) не в себе</t>
  </si>
  <si>
    <t>assessment in relation to norms and expectations</t>
  </si>
  <si>
    <t>NEG PREP PRON-Loc</t>
  </si>
  <si>
    <t>не в себя-Loc</t>
  </si>
  <si>
    <t>not in self-Loc</t>
  </si>
  <si>
    <t>Intensifier</t>
  </si>
  <si>
    <t>не по-детски</t>
  </si>
  <si>
    <t>not childish</t>
  </si>
  <si>
    <t>PronInt (NP-dat/Pron-dat) угодно</t>
  </si>
  <si>
    <t>Quantification. Universal: Free choice</t>
  </si>
  <si>
    <t>Adv</t>
  </si>
  <si>
    <t>угодно</t>
  </si>
  <si>
    <t>any</t>
  </si>
  <si>
    <t>NP-Gen как (будто) (и) не было/бывало</t>
  </si>
  <si>
    <t>NP-GEN как (будто) (и) не было/бывало
как (будто) (и) не было/бывало NP-GEN</t>
  </si>
  <si>
    <t>SCONJ PART V-Pst.Sg.N</t>
  </si>
  <si>
    <t>как не быть-Pst.Sg.N / как не бывать-Pst.Sg.N</t>
  </si>
  <si>
    <t>like not be-Pst.3Sg.N</t>
  </si>
  <si>
    <t xml:space="preserve">NP-Nom камня на камне не оставить (от NP-Gen)/(от NP-Gen) камня на камне не осталось </t>
  </si>
  <si>
    <t>Maximizer</t>
  </si>
  <si>
    <t>NP-Nom не оставить камня на камне  (от NP-Gen)</t>
  </si>
  <si>
    <t xml:space="preserve">N-Gen.Sg Prep N-Loc.Sg Neg V  </t>
  </si>
  <si>
    <t>камень-Gen.Sg на камень-Loc,Sg не оставить</t>
  </si>
  <si>
    <t>stone-Gen.Sg on stone-Loc,Sg not leave</t>
  </si>
  <si>
    <t>чуть свет VP</t>
  </si>
  <si>
    <t>ADV N-Nom.Sg</t>
  </si>
  <si>
    <t>чуть свет-Nom.Sg</t>
  </si>
  <si>
    <t>barely light-Nom.Sg</t>
  </si>
  <si>
    <t>(NP-Dat) даром не надо (NP-Gen/NP-Dat)</t>
  </si>
  <si>
    <t>ADV PART PRED</t>
  </si>
  <si>
    <t>like a gift is not needed</t>
  </si>
  <si>
    <t>12 (204)</t>
  </si>
  <si>
    <t>не в пример NP-Dat, Cl</t>
  </si>
  <si>
    <t>comparison: contrast</t>
  </si>
  <si>
    <t>PART PREP N-Acc</t>
  </si>
  <si>
    <t>не в пример-Acc</t>
  </si>
  <si>
    <t>not in example-Acc</t>
  </si>
  <si>
    <t>13 (204)</t>
  </si>
  <si>
    <t>VP не в пример Adj-Comp/Adv-Comp</t>
  </si>
  <si>
    <t>куда/как ни кинуть-Imper.Sg</t>
  </si>
  <si>
    <t>where/how not throw-Imper.Sg</t>
  </si>
  <si>
    <t>куда ни кинуть-Imper.Sg</t>
  </si>
  <si>
    <t xml:space="preserve">22(212) </t>
  </si>
  <si>
    <t>VP PronInt (ни) попало</t>
  </si>
  <si>
    <t>Universal: Free Choice, Assessment in relation to norms and expectations, Negative assesment</t>
  </si>
  <si>
    <t>Verb-Pst-N-Sg</t>
  </si>
  <si>
    <t>попасть-Pst-N-Sg</t>
  </si>
  <si>
    <t>fall into-Pst-N-Sg</t>
  </si>
  <si>
    <t>NP/VP ни рыба ни мясо</t>
  </si>
  <si>
    <t>PART N-Nom PART N-Nom</t>
  </si>
  <si>
    <t>ни рыба-Nom.Sg ни мясо-Nom.Sg</t>
  </si>
  <si>
    <t>(VP ((не) туда)), куда надо</t>
  </si>
  <si>
    <t>Spatial expression, Assessment</t>
  </si>
  <si>
    <t>(не) (туда) куда надо VP</t>
  </si>
  <si>
    <t>(PART ADV) ADV ADV</t>
  </si>
  <si>
    <t>(не) (туда, ) куда надо</t>
  </si>
  <si>
    <t>(not) (there) where needed</t>
  </si>
  <si>
    <t>Imperative</t>
  </si>
  <si>
    <t>NP-Dat NP-Gen не занимать (стать)</t>
  </si>
  <si>
    <t>Assessment in relation to quantification</t>
  </si>
  <si>
    <t>у NP-Loc / в NP-Loc NP-Gen не занимать (стать)</t>
  </si>
  <si>
    <t>PART V-Inf</t>
  </si>
  <si>
    <t>not place-Inf</t>
  </si>
  <si>
    <t>NP/VP ни к селу ни к городу</t>
  </si>
  <si>
    <t>Dissatisfaction</t>
  </si>
  <si>
    <t>NP (Cop) ни к селу ни к городу</t>
  </si>
  <si>
    <t>PART PREP N-DAT PART PREP N-DAT</t>
  </si>
  <si>
    <t>not to countryside-dat not to city-dat</t>
  </si>
  <si>
    <t xml:space="preserve">5(212) </t>
  </si>
  <si>
    <t>Universal: Free Choice</t>
  </si>
  <si>
    <t>PronInt PART</t>
  </si>
  <si>
    <t>PronInt угодно</t>
  </si>
  <si>
    <t>whatever / whenever / whoever / any random X</t>
  </si>
  <si>
    <t>Simultaneous action, Preceding action</t>
  </si>
  <si>
    <t>Subordinator</t>
  </si>
  <si>
    <t>CONJ (NEG)</t>
  </si>
  <si>
    <t>покамест (не)</t>
  </si>
  <si>
    <t>while (not)</t>
  </si>
  <si>
    <t>NP-Nom быть (NP-Ins) да сплыть</t>
  </si>
  <si>
    <t>Result</t>
  </si>
  <si>
    <t>быть NP-Nom (NP-Ins) да сплыть
быть (NP-Ins) NP-Nom да сплыть
быть да сплыть NP-Nom
было да сплыло</t>
  </si>
  <si>
    <t>Verb-Pst.3 Cconj Verb-Pst.3</t>
  </si>
  <si>
    <t>быть-Pst.3 да сплыть-Pst.3</t>
  </si>
  <si>
    <t>be-Pst.3 and swim-Pst.3</t>
  </si>
  <si>
    <t>VP/NP на ночь глядя</t>
  </si>
  <si>
    <t>taxis, attitude</t>
  </si>
  <si>
    <t>Prep Noun-Acc V-Cvb</t>
  </si>
  <si>
    <t>на Noun-Acc глядеть-Cvb</t>
  </si>
  <si>
    <t>at Noun-Acc look-Cvb</t>
  </si>
  <si>
    <t>NP-Nom Cop/VP тут как тут</t>
  </si>
  <si>
    <t>Manner</t>
  </si>
  <si>
    <t>Adv Sconj Adv</t>
  </si>
  <si>
    <t>here like here</t>
  </si>
  <si>
    <t>Noun Prep Noun-Acc</t>
  </si>
  <si>
    <t>тютелька в тютелька-Acc</t>
  </si>
  <si>
    <t>tjutel'ka v t'jutel'ka-Acc</t>
  </si>
  <si>
    <t>исстари VP</t>
  </si>
  <si>
    <t>Timeline</t>
  </si>
  <si>
    <t>исстари VP                                                      исстари NP</t>
  </si>
  <si>
    <t>исстари - Adv</t>
  </si>
  <si>
    <t>isstari - Adv</t>
  </si>
  <si>
    <t>VP/NP/PP без году неделя</t>
  </si>
  <si>
    <t>Attitude, Time period, Recent past</t>
  </si>
  <si>
    <t>без году неделя/неделю VP/NP/PP
без году неделя как VP
без году неделя/неделю Cvb
без году неделя/неделю PtcpAct
без году неделя/неделю Adv
PtcpAct без году неделя/неделю
Adv без году неделя/неделю
Adv: здесь, тут, там</t>
  </si>
  <si>
    <t>Prep Noun-Ins Noun-Nom</t>
  </si>
  <si>
    <t>без год-Ins неделя-Nom</t>
  </si>
  <si>
    <t>no year-Ins week-Nom</t>
  </si>
  <si>
    <t>на заре VP</t>
  </si>
  <si>
    <t>Timeline: Distant past</t>
  </si>
  <si>
    <t>NP на заре</t>
  </si>
  <si>
    <t>Prep Noun-Loc.Sg</t>
  </si>
  <si>
    <t>на заря-Loc.Sg</t>
  </si>
  <si>
    <t>at dawn-Loc.Sg</t>
  </si>
  <si>
    <t>VP/NP/Adj до упора</t>
  </si>
  <si>
    <t xml:space="preserve">intensification </t>
  </si>
  <si>
    <t>VP/NP/Adj до Adj/Ptcp-Gen упора
VP до упору
VP до Adj/Ptcp-Gen упору
VP до упора (Pron/Noun-Gen) (в NP-Gen) (NP-Instr)</t>
  </si>
  <si>
    <t>до упор-Gen.Sg</t>
  </si>
  <si>
    <t>NP-Nom ― (это) вчерашний день (NP-Gen)</t>
  </si>
  <si>
    <t>Property</t>
  </si>
  <si>
    <t>NP-Nom ― (это) вчерашний день (NP-Gen) 
NP-Nom ― (это) вчерашний день для NP-Gen
NP-Nom ― (это) вчерашний день в NP-Loc</t>
  </si>
  <si>
    <t>Adj-Nom.M.Sg. Noun-Nom.Sg.</t>
  </si>
  <si>
    <t>NP-Nom ― вчерашний-Nom.M.Sg. день-Nom.Sg.</t>
  </si>
  <si>
    <t>VP сию (же) минуту</t>
  </si>
  <si>
    <t>Subsequent action, Simultaneous action, Preceding action</t>
  </si>
  <si>
    <t>VP в сию (же) минуту
VP в сию (же) секунду
VP сей (же) минут
VP сей (же) секунд</t>
  </si>
  <si>
    <t>сей-Acc.Sg же минута-Acc.Sg</t>
  </si>
  <si>
    <t>эпизодически VP</t>
  </si>
  <si>
    <t>Temporal expression</t>
  </si>
  <si>
    <t>sporadically</t>
  </si>
  <si>
    <t>NP Cop не за горами</t>
  </si>
  <si>
    <t>Near future</t>
  </si>
  <si>
    <t>NP Cop уже не за горами
NP Cop совсем не за горами
NP Cop не за горами, а | но за N
NP Cop не за горами, не за морями</t>
  </si>
  <si>
    <t>Cop NEG Prep Noun-Ins.Pl</t>
  </si>
  <si>
    <t>Cop не за гора-Ins.Pl</t>
  </si>
  <si>
    <t>Cop not behind mountain-Ins.Pl</t>
  </si>
  <si>
    <t>VP/NP до победного (конца)</t>
  </si>
  <si>
    <t>Degree of intensity, Maximizer</t>
  </si>
  <si>
    <t xml:space="preserve">
Prep Adj-Gen (Noun-Gen)</t>
  </si>
  <si>
    <t>до победный-Gen (конец-Gen)</t>
  </si>
  <si>
    <t>until final-Gen (victory-Gen)</t>
  </si>
  <si>
    <t>случалось NP-Nom</t>
  </si>
  <si>
    <t>Raritive</t>
  </si>
  <si>
    <t>случается NP-Nom
случится NP-Nom
случилось NP-Nom</t>
  </si>
  <si>
    <t>Verb-Impf-Pst-N.Sg-Refl</t>
  </si>
  <si>
    <t>случаться-Impf-Pst-N.Sg-Refl</t>
  </si>
  <si>
    <t>happen-Impf-Pst-N.Sg-Refl</t>
  </si>
  <si>
    <t>случалось (так), что Cl</t>
  </si>
  <si>
    <t>случается (так), что Cl
случится (так), что Cl
случилось (так), что Cl
NP-Dat случается VP-Inf
NP-Dat случалось VP-Inf
NP-Dat случится VP-Inf
NP-Dat случилось VP-Inf</t>
  </si>
  <si>
    <t>случалось, Cl</t>
  </si>
  <si>
    <t>случается, Cl
случится, Cl
случилось, Cl</t>
  </si>
  <si>
    <t>Parenthetical</t>
  </si>
  <si>
    <t>бывать-Prs-3Sg NP-Nom VP</t>
  </si>
  <si>
    <t xml:space="preserve">NP-Nom бывать-Prs-3Sg VP 
бывать-Prs-3Sg NP-Nom VP
NP-Nom VP бывать-Prs-3Sg </t>
  </si>
  <si>
    <t>V-Ipfv-Prs-3Sg</t>
  </si>
  <si>
    <t xml:space="preserve">бывать-Prs-3Sg </t>
  </si>
  <si>
    <t>be-Ipfv-Prs-3Sg</t>
  </si>
  <si>
    <t>NP-Nom бывать-Pst-N VP</t>
  </si>
  <si>
    <t xml:space="preserve">NP-Nom бывать-Pst-N VP
бывать-Pst-N NP-Nom VP
NP-Nom VP бывать-Pst-N </t>
  </si>
  <si>
    <t>V-Ipfv-Pst-N</t>
  </si>
  <si>
    <t>бывать-Pst-N</t>
  </si>
  <si>
    <t>be-Ipfv-Pst-N</t>
  </si>
  <si>
    <t>NP-Nom Cop на носу</t>
  </si>
  <si>
    <t>NP-Nom V на носу</t>
  </si>
  <si>
    <t>Prep N-Loc2</t>
  </si>
  <si>
    <t>на нос-Loc2</t>
  </si>
  <si>
    <t>on nose-Loc2</t>
  </si>
  <si>
    <t>VP без (Adj/PronInt) продых-Gen/Gen2</t>
  </si>
  <si>
    <t>NP без (Adj/PronInt) продыха 
без (Adj/PronInt) продыху VP
 VP без (Adj/PronInt) продыху
VP без (Adj/PronInt) продыха
без (Adj/PronInt) продыха VP</t>
  </si>
  <si>
    <t>Prep Noun-Gen.Sg.</t>
  </si>
  <si>
    <t>без продых-Gen.Sg.</t>
  </si>
  <si>
    <t>without break-Gen.Sg.</t>
  </si>
  <si>
    <t>NP переминается с ноги на ногу</t>
  </si>
  <si>
    <t>Alternation</t>
  </si>
  <si>
    <t>Verb Prep N-Gen.Sg Prep N-Acc.Sg</t>
  </si>
  <si>
    <t>переминаться с нога-Gen.Sg на нога-Acc.Sg</t>
  </si>
  <si>
    <t>shift from leg-Gen/Sg to leg-Acc.Sg</t>
  </si>
  <si>
    <t>NP-Nom кануть в NP-Acc</t>
  </si>
  <si>
    <t>Spatial expression</t>
  </si>
  <si>
    <t>NP-Acc: вечность, Лета, небытие</t>
  </si>
  <si>
    <t>Verb Prep</t>
  </si>
  <si>
    <t>кануть в</t>
  </si>
  <si>
    <t>drop to</t>
  </si>
  <si>
    <t>как PronDem водится PP</t>
  </si>
  <si>
    <t>Habitual</t>
  </si>
  <si>
    <t xml:space="preserve">как PronDem водилось PP, как PronDem повелось PP, </t>
  </si>
  <si>
    <t>CONJ Verb-Prs.3Sg</t>
  </si>
  <si>
    <t>как водиться-Prs.3Sg</t>
  </si>
  <si>
    <t>as be.usual-Prs.3Sg</t>
  </si>
  <si>
    <t>VP-Ipfv от зари до зари</t>
  </si>
  <si>
    <t>time period</t>
  </si>
  <si>
    <t>VP-Pfv от зари до зари
NP от зари до зари</t>
  </si>
  <si>
    <t>Prep N-Gen Prep N-Gen</t>
  </si>
  <si>
    <t>от заря-Gen до заря-Gen</t>
  </si>
  <si>
    <t>from dusk/dawn-Gen till dawn/dusk-Gen</t>
  </si>
  <si>
    <t>Cl в то время как Cl</t>
  </si>
  <si>
    <t>Taxis: simultaneous action</t>
  </si>
  <si>
    <t>Cl в то время, как Cl
Cl, в то время как Cl
В то время, как Сl, Cl</t>
  </si>
  <si>
    <t>Prep PronDem-N.Acc.Sg Noun-Acc.Sg Sconj</t>
  </si>
  <si>
    <t>в тот-N.Acc.Sg время-Acc.Sg как</t>
  </si>
  <si>
    <t>in that-N.Acc.Sg time-Acc.Sg when</t>
  </si>
  <si>
    <t>Cl, в то время как Cl</t>
  </si>
  <si>
    <t>Comparison: contrast</t>
  </si>
  <si>
    <t>Cl, в то время как Cl
В то время как Cl, Cl</t>
  </si>
  <si>
    <t>бородатый NP</t>
  </si>
  <si>
    <t>Negative Assessment</t>
  </si>
  <si>
    <t>NP с бородой</t>
  </si>
  <si>
    <t>Adj</t>
  </si>
  <si>
    <t xml:space="preserve">бородатый </t>
  </si>
  <si>
    <t>bearded</t>
  </si>
  <si>
    <t xml:space="preserve">хронически VP </t>
  </si>
  <si>
    <t>хронически Ptcp
хронически Adj</t>
  </si>
  <si>
    <t>chronically</t>
  </si>
  <si>
    <t>час от часу VP-Ipfv</t>
  </si>
  <si>
    <t>Gradual development</t>
  </si>
  <si>
    <t>VP-Ipfv час от часу
час от часа VP-Ipfv</t>
  </si>
  <si>
    <t>час-Nom.Sg от часу-Gen.Sg</t>
  </si>
  <si>
    <t xml:space="preserve">откладывать (NP-Acc) в долгий ящик </t>
  </si>
  <si>
    <t>Phase of Action</t>
  </si>
  <si>
    <t>V в Adj ящик</t>
  </si>
  <si>
    <t>Prep Noun-Acc</t>
  </si>
  <si>
    <t>в ящик-Acc</t>
  </si>
  <si>
    <t>in drawer-Acc</t>
  </si>
  <si>
    <t>NP год от года VP</t>
  </si>
  <si>
    <t>Noun-Acc.Sg Prep Noun-Gen.Sg</t>
  </si>
  <si>
    <t>год-Acc.Sg от год-Gen.Sg</t>
  </si>
  <si>
    <t>year-Acc.Sg from year-Gen.Sg</t>
  </si>
  <si>
    <t>из другой оперы</t>
  </si>
  <si>
    <t>exceptive</t>
  </si>
  <si>
    <t>другая опера; не из той оперы</t>
  </si>
  <si>
    <t>PREP PronPoss N-Nom</t>
  </si>
  <si>
    <t>из другая опера</t>
  </si>
  <si>
    <t>from another-Gen opera-Gen</t>
  </si>
  <si>
    <t>exact</t>
  </si>
  <si>
    <t>N Prep Nom-Acc Cconj (Adv) Prep (Pron_) Nom-Acc</t>
  </si>
  <si>
    <t>не в бровь-Acc а (прямо) в (самый)глаз-Acc</t>
  </si>
  <si>
    <t>not in (the) eyebrow-Acc but (right) in (the) eye</t>
  </si>
  <si>
    <t>NP там и сям</t>
  </si>
  <si>
    <t>location</t>
  </si>
  <si>
    <t>там-сям; то там, то сям; и там и сям</t>
  </si>
  <si>
    <t>ADV Conj ADV</t>
  </si>
  <si>
    <t>there and here</t>
  </si>
  <si>
    <t>VP не по дням, а по часам</t>
  </si>
  <si>
    <t>Temporal expessions</t>
  </si>
  <si>
    <t xml:space="preserve">не по дням, по часам VP </t>
  </si>
  <si>
    <t>NEG Prep Noun-Dat.Pl Cconj Prep Noun-Dat.Pl</t>
  </si>
  <si>
    <t>not by day, but by hour</t>
  </si>
  <si>
    <t>VP со дня на день</t>
  </si>
  <si>
    <t>ждать NP со дня на день</t>
  </si>
  <si>
    <t>с день-Gen.Sg на день-Acc.Sg</t>
  </si>
  <si>
    <t>from day-Gen.Sg to day-Acc.Sg</t>
  </si>
  <si>
    <t>поживём – увидим (Cl)</t>
  </si>
  <si>
    <t>пожить(1/2/3.Sg/Pl) – увидеть(1/2/3.Sg/Pl) (Сl)</t>
  </si>
  <si>
    <t>Verb-Prs.1Sg – Verb-Prs.1Sg</t>
  </si>
  <si>
    <t>пожить-Prs.3Sg – увидеть-Prs.3Sg</t>
  </si>
  <si>
    <t>live-Prs.3Sg see-Prs.3Sg</t>
  </si>
  <si>
    <t>временами VP</t>
  </si>
  <si>
    <t>Occasionalness</t>
  </si>
  <si>
    <t>временем VP</t>
  </si>
  <si>
    <t>Noun-Ins.Pl</t>
  </si>
  <si>
    <t>время-Ins.Pl</t>
  </si>
  <si>
    <t>time-Ins.Pl</t>
  </si>
  <si>
    <t>под занавес (NP-Gen)</t>
  </si>
  <si>
    <t>Preceding action</t>
  </si>
  <si>
    <t>Object</t>
  </si>
  <si>
    <t>PREP N-Acc</t>
  </si>
  <si>
    <t>под занавес-Acc</t>
  </si>
  <si>
    <t>under curtain-Acc</t>
  </si>
  <si>
    <t>(VP) битый час VP</t>
  </si>
  <si>
    <t>Num битых часа VP / Num битых часов VP</t>
  </si>
  <si>
    <t>ADJ-Acc.Sg N-Acc.Sg</t>
  </si>
  <si>
    <t>битый-Acc.Sg час-Acc.Sg</t>
  </si>
  <si>
    <t>до гроба VP</t>
  </si>
  <si>
    <t>NP до гроба / PronPoss до гроба / до гроба PronPoss-Gen.Sg VP / от Noun-Gen.Sg (и) до гроба / до самого гроба / Adj до гроба</t>
  </si>
  <si>
    <t>до гроб-Gen.Sg</t>
  </si>
  <si>
    <t>until coffin-Gen.Sg</t>
  </si>
  <si>
    <t>VP с пеленок</t>
  </si>
  <si>
    <t>Assessment</t>
  </si>
  <si>
    <t>VP с люльки / VP с колыбели / NP с (самых) пеленок / VP с (самых) пеленок</t>
  </si>
  <si>
    <t>с пеленка-Gen.Pl</t>
  </si>
  <si>
    <t>from diaper-Gen.Pl</t>
  </si>
  <si>
    <t>Acceptance</t>
  </si>
  <si>
    <t>у моря погоды ждать
ждать у моря погоды
сидеть у моря и/да ждать погоды
ждать погоды</t>
  </si>
  <si>
    <t>Verb Prep N-Gen N-Gen</t>
  </si>
  <si>
    <t>ждать у море-Gen погода-Gen</t>
  </si>
  <si>
    <t>wait by sea-Gen weather-Gen</t>
  </si>
  <si>
    <t>VP к шапочному разбору</t>
  </si>
  <si>
    <t>Temporal boundary</t>
  </si>
  <si>
    <t>VP под шапочный разбор / при шапочном разборе</t>
  </si>
  <si>
    <t>PREP Adj-Dat.Sg Noun-Dat.Sg</t>
  </si>
  <si>
    <t>к шапочный-Dat.Sg разбор-Dat.Sg</t>
  </si>
  <si>
    <t>to hatty-Dat.Sg taking-Dat.Sg</t>
  </si>
  <si>
    <t>нет-нет да и VP</t>
  </si>
  <si>
    <t xml:space="preserve">нет-нет да VP / нет-нет и VP
</t>
  </si>
  <si>
    <t>PART-PART CONJ</t>
  </si>
  <si>
    <t>no no so and</t>
  </si>
  <si>
    <t>Cl между тем Cl</t>
  </si>
  <si>
    <t>Simultaneous action, Contrast</t>
  </si>
  <si>
    <t>Cl между тем как Cl</t>
  </si>
  <si>
    <t>Prep PronDem-Ins.Sg</t>
  </si>
  <si>
    <t>между тот-Ins.Sg</t>
  </si>
  <si>
    <t>с часу на час VP</t>
  </si>
  <si>
    <t>NP с часу на час
VP с часа на час</t>
  </si>
  <si>
    <t>C час-Gen.Sg на час-Acc.Sg</t>
  </si>
  <si>
    <t>NP-Nom не к спеху (NP-Dat)</t>
  </si>
  <si>
    <t>Antiresultative</t>
  </si>
  <si>
    <t>PART PREP N-Dat</t>
  </si>
  <si>
    <t>не к спех-Dat</t>
  </si>
  <si>
    <t>no in a hurry-Dat</t>
  </si>
  <si>
    <t>не по годам Adj</t>
  </si>
  <si>
    <t>Assessment specific to people</t>
  </si>
  <si>
    <t>NP-Nom Cop не по годам NP-Dat</t>
  </si>
  <si>
    <t>не по год-Dat.Pl</t>
  </si>
  <si>
    <t>новоиспечённый NP</t>
  </si>
  <si>
    <t>Transformation</t>
  </si>
  <si>
    <t>новоиспеченный в N-Loc NP</t>
  </si>
  <si>
    <t xml:space="preserve">новоиспеченный </t>
  </si>
  <si>
    <t>newly minted</t>
  </si>
  <si>
    <t>свежеиспечённый NP</t>
  </si>
  <si>
    <t xml:space="preserve">свежеиспеченный </t>
  </si>
  <si>
    <t>freshly baked</t>
  </si>
  <si>
    <t>VP на (самых) первых порах (NP-Gen)</t>
  </si>
  <si>
    <t>At first</t>
  </si>
  <si>
    <t>Prep Adj-Loc.Pl N-Loc.Pl</t>
  </si>
  <si>
    <t>на первый-Loc.Pl пора-Loc.Pl</t>
  </si>
  <si>
    <t>on first-Loc.Pl time-Loc.PL</t>
  </si>
  <si>
    <t>VP с полуслова</t>
  </si>
  <si>
    <t>temporal expression</t>
  </si>
  <si>
    <t>с Adj полуслова</t>
  </si>
  <si>
    <t>с полуслово-Gen.Sg</t>
  </si>
  <si>
    <t>from halfword-Gen.Sg</t>
  </si>
  <si>
    <t>изо дня в день VP</t>
  </si>
  <si>
    <t>Iterative</t>
  </si>
  <si>
    <t>VP из дня в день / NP изо дня в день / NP из дня в день / Adj изо дня в день / Adj из дня в день</t>
  </si>
  <si>
    <t>Prep Noun-Gen.Sg Prep Noun-Acc.Sg</t>
  </si>
  <si>
    <t>изо дня-Gen.Sg в день-Acc.Sg</t>
  </si>
  <si>
    <t>(у NP-Gen) рука не поднимается (на NP-Acc/VP-Inf)</t>
  </si>
  <si>
    <t>подниматься/подняться/подыматься Fut/Pst/Pres/Subj</t>
  </si>
  <si>
    <t>N-Nom.Sg PART V-Prs.3Sg</t>
  </si>
  <si>
    <t>рука-Nom.Sg не подниматься-Prs.3Sg</t>
  </si>
  <si>
    <t>hand-Nom.Sg not rise-Prs.3Sg</t>
  </si>
  <si>
    <t>сидеть на месте</t>
  </si>
  <si>
    <t>NEG Verb PREP Noun-Loc.Sg</t>
  </si>
  <si>
    <t>не стоять на место-Loc.Sg</t>
  </si>
  <si>
    <t>not stand on place-Loc.Sg</t>
  </si>
  <si>
    <t>(у NP-Gen) (PP / Adv) конь не валялся</t>
  </si>
  <si>
    <t>N-Nom.Sg PART V-Pst.3Sg</t>
  </si>
  <si>
    <t>конь-Nom.Sg не валяться-Pst.3Sg</t>
  </si>
  <si>
    <t>NP-Nom (и) в ус (NP-dat) не дуть (SCONJ Cl)</t>
  </si>
  <si>
    <t>NP-Nom (NP-dat) (и) в ус не дуть (SCONJ Cl)</t>
  </si>
  <si>
    <t>Verb Predicate или Matrix Predicate</t>
  </si>
  <si>
    <t>(PART) PREP N-Acc.Sg (NP-dat) PART V</t>
  </si>
  <si>
    <t>(и) в ус-Acc.Sg (NP-dat) не дуть</t>
  </si>
  <si>
    <t>(even) in moustache-Acc.Sg (NP-dat) not blow</t>
  </si>
  <si>
    <t>Cop не к лицу (NP-Dat)</t>
  </si>
  <si>
    <t>не к лицу VP
NP-Nom Cop не к лицу для NP-Gen</t>
  </si>
  <si>
    <t>не к лицо-Dat.Sg</t>
  </si>
  <si>
    <t>NP-Dat Cop всё равно (Cl)</t>
  </si>
  <si>
    <t>PP Cop всё равно (Cl)
по мне Cop всё равно (Cl)
PP (PRON-Nom) Cop всё равно
по мне (PRON-Nom) Cop всё равно
NP-Dat (PRON-Nom) Cop всё равно
NP-Dat Cop всё равно PP</t>
  </si>
  <si>
    <t>PRON-Nom ADV</t>
  </si>
  <si>
    <t>всё-Nom равно</t>
  </si>
  <si>
    <t>everything-Nom equal</t>
  </si>
  <si>
    <t>(NP-Dat) не по пути (с NP-Ins)</t>
  </si>
  <si>
    <t>PART PREP N-Dat.Sg</t>
  </si>
  <si>
    <t>не по путь-Dat.Sg</t>
  </si>
  <si>
    <t>not on the way-Dat.Sg</t>
  </si>
  <si>
    <t>(NP-Dat) (и) NP-Gen VP-Inf нельзя</t>
  </si>
  <si>
    <t>VP-Inf Pred</t>
  </si>
  <si>
    <t>сделать-inf нельзя</t>
  </si>
  <si>
    <t>do-Inf impossible</t>
  </si>
  <si>
    <t>NP пальцем не пошевелить</t>
  </si>
  <si>
    <t>NP пальцем не двинуть/шевельнуть/шевелить/пошевельнуть</t>
  </si>
  <si>
    <t>N-Instr.Sg PART V</t>
  </si>
  <si>
    <t>палец-Instr.Sg не пошевелить</t>
  </si>
  <si>
    <t>(пока) (VP-3Sg) суд да дело</t>
  </si>
  <si>
    <t>Simultaneous action</t>
  </si>
  <si>
    <t>суд-Nom.Sg да дело-Nom.Sg</t>
  </si>
  <si>
    <t>(за NP) далеко ходить не надо</t>
  </si>
  <si>
    <t>Exеmplification</t>
  </si>
  <si>
    <t>Adv V-Inf Part Pred</t>
  </si>
  <si>
    <t>далеко ходить-Inf не надо</t>
  </si>
  <si>
    <t>far go-inf not need</t>
  </si>
  <si>
    <t>(за NP) недалеко ходить</t>
  </si>
  <si>
    <t>Adv V-Inf</t>
  </si>
  <si>
    <t>недалеко ходить-Inf</t>
  </si>
  <si>
    <t>not_far go-inf</t>
  </si>
  <si>
    <t>в точка-Acc</t>
  </si>
  <si>
    <t>in point-Acc</t>
  </si>
  <si>
    <t>Possibility</t>
  </si>
  <si>
    <t>где NP-Dat
где уж NP-Dat VP-Inf</t>
  </si>
  <si>
    <t>PronInt</t>
  </si>
  <si>
    <t>где</t>
  </si>
  <si>
    <t>where</t>
  </si>
  <si>
    <t>Mirativity</t>
  </si>
  <si>
    <t>где там NP-Dat; где там VP-Inf</t>
  </si>
  <si>
    <t xml:space="preserve">ADV Particle </t>
  </si>
  <si>
    <t>where there</t>
  </si>
  <si>
    <t>XP да и только</t>
  </si>
  <si>
    <t>attitude</t>
  </si>
  <si>
    <t>Conj Conj PART</t>
  </si>
  <si>
    <t>and only</t>
  </si>
  <si>
    <t>exact/Comparison: Equality</t>
  </si>
  <si>
    <t>из тютельки в тютельку; тютя в тютю; в самую тютельку</t>
  </si>
  <si>
    <t>N-Nom PREP N-Acc</t>
  </si>
  <si>
    <t>тютелька-Nom в тютелька-Acc</t>
  </si>
  <si>
    <t>t\'utel\'ka-Nom in t\'utel\'ka-Acc</t>
  </si>
  <si>
    <t>NP-Nom похожи как две капли (воды)</t>
  </si>
  <si>
    <t>comparison</t>
  </si>
  <si>
    <t>Sconj Numeral-Nom.Pl N-Nom.Pl</t>
  </si>
  <si>
    <t>как два-Nom.Pl капля-Nom.Pl</t>
  </si>
  <si>
    <t>universal</t>
  </si>
  <si>
    <t>Adj-Nom N-Nom</t>
  </si>
  <si>
    <t>каждая-Nom собака-Nom</t>
  </si>
  <si>
    <t>every-Nom dog-Nom</t>
  </si>
  <si>
    <t>XP Cconj в то же время XP</t>
  </si>
  <si>
    <t>Comparison: contrast / Taxis: Simultaneous action / Concession: Failed Expectation</t>
  </si>
  <si>
    <t>без дурак-Gen.Pl</t>
  </si>
  <si>
    <t>VP тут и там</t>
  </si>
  <si>
    <t>Location</t>
  </si>
  <si>
    <t>и тут и там; там и тут; и там и тут</t>
  </si>
  <si>
    <t>here and there</t>
  </si>
  <si>
    <t>Similarity</t>
  </si>
  <si>
    <t>PART PronGen</t>
  </si>
  <si>
    <t>вроде тот-Gen</t>
  </si>
  <si>
    <t>like that-Gen</t>
  </si>
  <si>
    <t>VP что хотеть-Prs.2.Sg</t>
  </si>
  <si>
    <t xml:space="preserve">Universal: Free Choice </t>
  </si>
  <si>
    <t>Verb Predicate, Object, Coordinator</t>
  </si>
  <si>
    <t>PronInt V-Prs.2.Sg</t>
  </si>
  <si>
    <t>что хотеть-Prs.2.Sg</t>
  </si>
  <si>
    <t>(VP) не ах</t>
  </si>
  <si>
    <t>Assessment in relation to norms and expectations</t>
  </si>
  <si>
    <t>не ах как VP
не ах как AdjP</t>
  </si>
  <si>
    <t>не ах</t>
  </si>
  <si>
    <t>not oh</t>
  </si>
  <si>
    <t>через AdjP время</t>
  </si>
  <si>
    <t>Temporal Expressions: Temporal Bounrdary</t>
  </si>
  <si>
    <t>через время-Acc.Sg</t>
  </si>
  <si>
    <t>over time-Acc.Sg</t>
  </si>
  <si>
    <t>VP (только) через PrnPoss труп</t>
  </si>
  <si>
    <t>Modality and its neighborhood: threat, Logical relations: condition</t>
  </si>
  <si>
    <t>VP-Impf-Fut (только) через труп NP-Gen</t>
  </si>
  <si>
    <t>VP на пороге NP-Gen</t>
  </si>
  <si>
    <t>Spatial expression
Location, Timeline: Near Future</t>
  </si>
  <si>
    <t>NP-Nom Cop на пороге NP-Gen</t>
  </si>
  <si>
    <t>на порог-Loc.Sg NP-Gen</t>
  </si>
  <si>
    <t>on doorstep-Loc.Sg NP-Gen</t>
  </si>
  <si>
    <t>NP-Nom попасть(ся) / попадать(ся) впросак</t>
  </si>
  <si>
    <t xml:space="preserve">Circumstances, Negative assessment </t>
  </si>
  <si>
    <t>V Adv</t>
  </si>
  <si>
    <t>попасть(ся) / попадать(ся) впросак</t>
  </si>
  <si>
    <t>get into.rope-making.machine</t>
  </si>
  <si>
    <t>NP-Nom ставить NP во главу угла (NP-Gen)</t>
  </si>
  <si>
    <t>поставить / стать / положить / класть NP-Acc во главу угла (NP-Gen)</t>
  </si>
  <si>
    <t>ставить NP во глава-Acc.Sg	угол-Gen.Sg (NP-Gen)</t>
  </si>
  <si>
    <t>день ото дня VP-Ipfv</t>
  </si>
  <si>
    <t>Gradual development)</t>
  </si>
  <si>
    <t>VP-Ipfv день ото дня</t>
  </si>
  <si>
    <t>день-Nom.Sg ото день-Gen.Sg</t>
  </si>
  <si>
    <t>VP в курсе (NP-Gen)</t>
  </si>
  <si>
    <t>VP NP-Acc в курс NP-Gen / VP в курс NP-Gen</t>
  </si>
  <si>
    <t>VP Prep N-Loc.Sg (NP-Gen)</t>
  </si>
  <si>
    <t>VP в курс-Loc.Sg (NP-Gen)</t>
  </si>
  <si>
    <t>VP за верстру</t>
  </si>
  <si>
    <t>Degree of intensity</t>
  </si>
  <si>
    <t>Prep N-Acc</t>
  </si>
  <si>
    <t>за верста-Acc</t>
  </si>
  <si>
    <t>for verst-Acc</t>
  </si>
  <si>
    <t>Evaluation</t>
  </si>
  <si>
    <t>(PronPoss|PronDem|Adj) место под (Adj) солнцем (NP-Gen)</t>
  </si>
  <si>
    <t>Noun Prep Noun-Ins.Sg</t>
  </si>
  <si>
    <t>место под солнце-Ins.Sg</t>
  </si>
  <si>
    <t>place under sun.Ins.Sg</t>
  </si>
  <si>
    <t>VP / Cop (у NP-Gen) над душой</t>
  </si>
  <si>
    <t>Government</t>
  </si>
  <si>
    <t>над душа-Ins.Sg</t>
  </si>
  <si>
    <t>3(231)</t>
  </si>
  <si>
    <t>Goal</t>
  </si>
  <si>
    <t>VP (NP-Acc) к праотцам / прародителям / предкам</t>
  </si>
  <si>
    <t>к праотец-Dat.Pl</t>
  </si>
  <si>
    <t>4(231)</t>
  </si>
  <si>
    <t>?</t>
  </si>
  <si>
    <t>VP NP-Acc.Sg (V-Inf)</t>
  </si>
  <si>
    <t>иметь место-Acc.Sg (быть-Inf)</t>
  </si>
  <si>
    <t>have place-Acc.Sg (be-Inf)</t>
  </si>
  <si>
    <t>Adressee/Manner</t>
  </si>
  <si>
    <t>перед Noun-Acc</t>
  </si>
  <si>
    <t>in front of Noun-Acc</t>
  </si>
  <si>
    <t>по левую/правую руку</t>
  </si>
  <si>
    <t>Prep Adj Noun-Acc</t>
  </si>
  <si>
    <t>по левый-Acc/правый-Acc рука-Acc</t>
  </si>
  <si>
    <t xml:space="preserve">Prep, Adj, Noun
</t>
  </si>
  <si>
    <t>Mirative, Source</t>
  </si>
  <si>
    <t>Prep Part Verb-Imper</t>
  </si>
  <si>
    <t>откуда ни взяться-Imper</t>
  </si>
  <si>
    <t>where not take-Imper</t>
  </si>
  <si>
    <t>Negative, Dissatisfaction</t>
  </si>
  <si>
    <t>Noun-Dat Prep Noun-Acc</t>
  </si>
  <si>
    <t>NP-Dat под хвост-Acc</t>
  </si>
  <si>
    <t>Noun-Dat under tail-Acc</t>
  </si>
  <si>
    <t>change_id</t>
  </si>
  <si>
    <t>former change</t>
  </si>
  <si>
    <t>level</t>
  </si>
  <si>
    <t>type of change</t>
  </si>
  <si>
    <t>subtype of change</t>
  </si>
  <si>
    <t>comment</t>
  </si>
  <si>
    <t>first entry</t>
  </si>
  <si>
    <t>first example</t>
  </si>
  <si>
    <t>last entry</t>
  </si>
  <si>
    <t>last example</t>
  </si>
  <si>
    <t>не прудить NP-Acc/NP-Gen</t>
  </si>
  <si>
    <t>sem</t>
  </si>
  <si>
    <t>source</t>
  </si>
  <si>
    <t>compositional source</t>
  </si>
  <si>
    <t>Значение физического воздействия (physical action)</t>
  </si>
  <si>
    <t>Лошадь не лошадь, конь не конь, попона не попона, обед не обед, вино не вино, а деньгами ― только что Волхова не прудил Буслай. [Н. А. Полевой. Клятва при гробе Господнем (1832)]</t>
  </si>
  <si>
    <t>&lt;...&gt; убирали хлеб и сено (на монастырских запашках), прудили пруды, сады оплетали, на невод ходили, хлебы пекли, пиво варили, лен пряли». [М. Ф. Владимирский-Буданов. Обзор истории русского права (1886)]</t>
  </si>
  <si>
    <t>synt</t>
  </si>
  <si>
    <t>change in anchor</t>
  </si>
  <si>
    <t>standardization</t>
  </si>
  <si>
    <t>При переносном значении глагол застывает в форме императива, при идиоматическом значении от "прудить" может зависеть только "пруд" - существительное теперь входит в якорь</t>
  </si>
  <si>
    <t>Мы разве кланяемся, ― закричал сердито старик. ― Невест много, хоть пруд пруди. ― Ох, Семен Авдеевич, все ты не туда воротишь! [М. П. Погодин. Черная немочь (1829)]</t>
  </si>
  <si>
    <t>Да у нас сейчас издательств пруд пруди, только свистни, что хочешь издадут, только деньги плати. [Владимир Соколов. Заметки переводчика // «Дальний Восток», 2019]</t>
  </si>
  <si>
    <t>хоть пруд пруди</t>
  </si>
  <si>
    <t>adding a component</t>
  </si>
  <si>
    <t>Идиома употребляется с частицей "хоть"</t>
  </si>
  <si>
    <t>Боже! Майорами хоть пруд пруди!»  В желтоватых пальцах Веры дымила забытая сигарета, лежал на тахте скомканный носовой платок. [Виль Липатов. И это все о нем (1984)]</t>
  </si>
  <si>
    <t>(хоть) пруд пруди</t>
  </si>
  <si>
    <t>new idiomatic use</t>
  </si>
  <si>
    <t>metaphor</t>
  </si>
  <si>
    <t>Появляется значение большого количества</t>
  </si>
  <si>
    <t>NP-Instr (хоть) пруд пруди</t>
  </si>
  <si>
    <t>change in inner syntax</t>
  </si>
  <si>
    <t>adding a new dependent</t>
  </si>
  <si>
    <t>Идиома обязательно должна иметь прямо зависимую от нее именную группу, называющую измеряемые объекты</t>
  </si>
  <si>
    <t>Медом и маслом хоть пруд пруди… ветер взвивает муку вместо пыли. [А. А. Бестужев-Марлинский. Письма из Дагестана (1831)]</t>
  </si>
  <si>
    <t>change in government: new case</t>
  </si>
  <si>
    <t>Именная группа, которая обозначает измеряемые объекты, употребляется в творительном падеже</t>
  </si>
  <si>
    <t>Боже! Майорами хоть пруд пруди!» В желтоватых пальцах Веры дымила забытая сигарета, лежал на тахте скомканный носовой платок. [Виль Липатов. И это все о нем (1984)]</t>
  </si>
  <si>
    <t>NP-Gen (хоть) пруд пруди</t>
  </si>
  <si>
    <t>Именная группа, которая обозначает измеряемые объекты, употребляется в родительном падеже</t>
  </si>
  <si>
    <t>[Любим Карпыч Торцов (муж, брат Гордея Карпыча)] Шпилен зи полька, дайте еще бутылочку похолоднее. Приятелей, друзей завелось, хоть пруд пруди! По театрам ездил… [А. Н. Островский. Бедность не порок (1853)]</t>
  </si>
  <si>
    <t>loss of component</t>
  </si>
  <si>
    <t>Идиома может употребляться без частицы "хоть"</t>
  </si>
  <si>
    <t>Выбрали залежи: место все в отъемах, а зайцами ― пруд пруди! [Е. Э. Дриянский. Записки мелкотравчатого (1857)]</t>
  </si>
  <si>
    <t>idiomatic source</t>
  </si>
  <si>
    <t>Идиоматическое употребление выражения в значении "точно".</t>
  </si>
  <si>
    <t>10. Какие войска более услуг империи оказали. Что ж принадлежит до некочующих народов, то о них в точности многих известий получить нельзя; однако при такой неудобности надлежит равномерно сделать им благополучнейшее и согласное с государственными интересами положение. Единое их наименование довольно изъясняет, что они в земледелии по образу сноси жизни упражняться не могут, а торговлю (когда в оной случайно и обращаются) чинят еще беспорядочное казацких войск, и так они более пользуются естественными выгодами ненаселенных частей нашей области. Из сего самого обстоятельства явствует, что надлежит сделать некоторое устройство в сей беспорядочной их жизни и принять предосторожности, могущие прекратить хотя отдаленный, по чувствительный вред для империи. Оные предосторожности состоят, например, в точном определении земель, где те народы по их обыкновению могут с места на место переходить; в предписании их поведения с соседами, как домашними, так и чужими, и проч. [С. Е. Десницкий. Представление о учреждении законодательной, судительной и наказательной власти в Российской Империи (1767)]</t>
  </si>
  <si>
    <t>Да, Ваганов не знал ничего в точности, но правильно понимал: сейчас начнется заваруха и комполка не просто отсылает с передовой фронтового почтальона, а дает лично ему, рядовому Ваганову, шанс какое-то, ближайшее по крайней мере, время оставаться живым. [Владимир Тыцких. Через три войны // «Дальний Восток», 2019]</t>
  </si>
  <si>
    <t>change in semantic compatibility</t>
  </si>
  <si>
    <t>loss of compatibility constraint</t>
  </si>
  <si>
    <t>Раньше конструкция могла обозначать тольо действия людей - теперь она может использоваться для обозначения неконтролируемых событий тоже</t>
  </si>
  <si>
    <t xml:space="preserve"> Во время бывшего в Москве при царе Алексее Михайловиче в людех смятения, ближний боярин Борис Морозов, для избежания от смерти, ушел в Белозерский Кириллов монастырь и оттоль для моления приехал во оный Новоезерский Кириллов монастырь, и при гробе сего преподобного дал обещание, что если он царем Алексеем Михайловичем опять будет возвращен в Москву с прежним его достоинством, то за сие в Новоезерском монастыре построит своим коштом каменную церковь, каковых в нем тогда еще не было, ― что все вскоре после того обещания и сбылося в точности. [П. И. Челищев. Путешествие по северу России в 1791 г. (1791)]</t>
  </si>
  <si>
    <t xml:space="preserve"> Мы вообще не можем сказать, когда в точности появился тот или иной элемент культуры. [Наталия Дерикот. Самоедство или конструктивный анализ себя? Что делать, чтобы рефлексия не перешла в самоуничижение (03.2018)]</t>
  </si>
  <si>
    <t>Раньше конструкция могла употребляться преимущественно со словами типа "исполнить", "знать", "следовать", с этого периода ограничение снимается</t>
  </si>
  <si>
    <t xml:space="preserve"> Планы профессионально-технического образования должны быть в точности согласованы с общим производственным планом Республики, установленным ВСНХ. [Тезисы о культурно-просветительной деятельности... // «Рабочая жизнь», 1920]</t>
  </si>
  <si>
    <t>Adv в точности</t>
  </si>
  <si>
    <t>Теперь к конструкции могут цепляться кванторы уточнения</t>
  </si>
  <si>
    <t xml:space="preserve"> Таким образом, почти в точности повторился финал боя Джонсона с Джефрисом. [Поражение Джека Джонсона (25.04.1915) // «Новое время», 1915]</t>
  </si>
  <si>
    <t xml:space="preserve"> Принимаемые нашими денежными властями меры почти в точности повторяли (и сейчас продолжают повторять) тот набор мер, что принимали финансовые службы США восемьдесят лет назад, фактически провоцируя Великую депрессию. [Александр Привалов. Об идеальном шторме // «Эксперт», 2015]</t>
  </si>
  <si>
    <t>в точности как NP</t>
  </si>
  <si>
    <t>metonymy</t>
  </si>
  <si>
    <t>Конструкция для сравнения с чем-то: "в точности как" в значении "так же как".</t>
  </si>
  <si>
    <t>Ну вот в точности как у красных. [В. Я. Зазубрин. Два мира (1921)]</t>
  </si>
  <si>
    <t>Наоборот, весь пышущий энергией цветущий вид хозяина так шел этому обильному столу и каждому стоявшему на нем блюду, что вся композиция казалась созданной причудливой фантазией художника: бритая наголо голова мужчины блестела в точности, как пышный калач в центре стола, смазанный яичным желтком и подрумяненный в печи; богатые щеки розовели подобно ветчине, выложенной на тарелке толстыми влажными ломтями; мелкие темные глаза были совершенно одного цвета с винными ягодами в бутыли с наливкой; а уши, большие и белые, воинственно торчащие в стороны, поразительно напоминали вареники, грудой вздымавшиеся в глубокой плошке. [Гузель Яхина. Дети мои (2018)]</t>
  </si>
  <si>
    <t>Добавляется союз "как"</t>
  </si>
  <si>
    <t>в точности (как NP)</t>
  </si>
  <si>
    <t>change in pragmatics</t>
  </si>
  <si>
    <t>pragmaticalization of a routine</t>
  </si>
  <si>
    <t>Теперь конструкция может использоваться как самостоятельное предложение</t>
  </si>
  <si>
    <t xml:space="preserve"> ― Вы исполнили все, как было нами условлено? ― В точности… ― Ну и прекрасно… [С. М. Волконский. Мои воспоминания. Том 2 (1923-1924)]</t>
  </si>
  <si>
    <t xml:space="preserve"> ― Все выполню, господин командор, ― отвечал Украинцев. ― В точности! ― И еще запомни раз и навсегда ― о возвращении Азова речи быть не может! [Александр Дорофеев. Вещий барабан // «Октябрь», 2013]</t>
  </si>
  <si>
    <t>в точности AdjP</t>
  </si>
  <si>
    <t>change in outer syntax</t>
  </si>
  <si>
    <t>new syntactic role: adjunct of AdjP</t>
  </si>
  <si>
    <t>Теперь конструкция может модифицировать не только глагол, но и прилагательное</t>
  </si>
  <si>
    <t xml:space="preserve"> Над ней ― другой мир, в точности похожий на наш. [М. Вольпе. Как человек поссорился с богом // «Наука и религия», 1985]</t>
  </si>
  <si>
    <t xml:space="preserve"> Истерия, которая дошла до Госдумы и породила проект чудовищного постановления о запрещении внесения изменений в русский язык (путем орфографической реформы), свидетельствует, что эффективность изучения в школе темы "Звуки и буквы" в точности равна нулю. [Михаил Арапов. Когда текст обретает смысл // «Знание -- сила», 2003]</t>
  </si>
  <si>
    <t>VP по адресу (NP-Gen)</t>
  </si>
  <si>
    <t>Композициональное использование "по адресу".</t>
  </si>
  <si>
    <t>Постарайся увидеться в Вене; пиши туда. Прилагаемое письмо прошу отослать по адресу. Н. Тургенев.*** [Н. И. Тургенев. Письма Николая Ивановича Тургенева к Сергею Ивановичу Тургеневу 1811-1822 гг. (1814)]</t>
  </si>
  <si>
    <t>Оптовый склад вина и спирта А. Н. Лазариди находился по адресу: Светланская, 18. [Елена Кириллова. Газетные злости Доктора Финке. Профессиональная деятельность журналиста Вс. Н. Иванова // «Дальний Восток», 2019]</t>
  </si>
  <si>
    <t>Идиоматическое использование "по адресу": идиома вводит участника, который является бенефициантом или малефициантом какого-либо действия или речевого акта</t>
  </si>
  <si>
    <t>1862-1875</t>
  </si>
  <si>
    <t>Напоминание о вассале пущено по адресу Бирона не в бровь, а прямо в глаз: герцог был взбешен и тогда же решился во что бы то ни стало отомстить за это Волынскому. [Н. И. Костомаров. Русская история в жизнеописаниях ее главнейших деятелей. Выпуск седьмой: XVIII столетие (1862-1875)]</t>
  </si>
  <si>
    <t>― Это, други мои, не совсем по адресу. [Нина Дашевская. Скрипка неизвестного мастера (2015)]</t>
  </si>
  <si>
    <t>по адресу NP-Gen</t>
  </si>
  <si>
    <t>extension: new type of NP dependent</t>
  </si>
  <si>
    <t>В абсолютном большинстве случаев идиоматическое значение задается наличием зависимой именной группы, обозначающей человека</t>
  </si>
  <si>
    <t>он не поскупился на похвалы по адресу Бояджиева, рассказав об «образованности [Алексей Голицын. Последыши эстетства и их космополитические уши. Протокол одного собрания // «Волга», 2016]</t>
  </si>
  <si>
    <t>VP по адресу</t>
  </si>
  <si>
    <t>extension: new type of V head</t>
  </si>
  <si>
    <t>Одновременно с появлением идиоматического значения расширяется сочетаемость выражения: теперь оно может прикрепляться к глаголам речи</t>
  </si>
  <si>
    <t>прочего употребляемы «тварь» и «гнида» (по адресу женщин и даже жен [А. Ю. Колобродов. Информация к поражению. Новейшая история обыкновенного безумия // «Волга», 2012]</t>
  </si>
  <si>
    <t>NP-Gen</t>
  </si>
  <si>
    <t>Теперь идиоматическая интерпретация возможна, если именная группа обозначает неодушевленный предмет</t>
  </si>
  <si>
    <t>1884-1885</t>
  </si>
  <si>
    <t xml:space="preserve"> ― Тьфу! ― послал он по адресу погоды, отошел от окна и сел за круглый стол. [А. П. Чехов. Безнадежный (1884-1885)]</t>
  </si>
  <si>
    <t>change in polarity</t>
  </si>
  <si>
    <t>Идиоматическое выражение начинает использоваться в СД отрицания - при этом зависимой именной группы нет.</t>
  </si>
  <si>
    <t>Круциферский помертвел: он думал, что последний поцелуй любви для Глафиры Львовны так же был важен и поразителен, как для него первый поцелуй, попавшийся не по адресу.</t>
  </si>
  <si>
    <t xml:space="preserve">Пресс-секретарь президента РФ Дмитрий Песков заявил, что силовики обратились не по адресу, посоветовал им задействовать юридические инструменты и отметил, что "безопасность журналистов должна быть абсолютно непререкаемой". </t>
  </si>
  <si>
    <t>Для варианта с отрицанием именная группа тоже может обозначать неодушевленный предмет</t>
  </si>
  <si>
    <t>Говорили два еврейских, с некоторым раздражением (не по адресу доклада и заключений), присущим этой расе, считающей себя постоянно обиженной, но не особенно вразумительно. [С. Б. Веселовский. Дневник (1916)]</t>
  </si>
  <si>
    <t>― Даже не было никаких сомнений в этом отношении, я совершенно точно скажу, что моя мишень, я говорю не против правительства вообще, вернее, я буду брюзжать не по адресу правительства вообще, а по адресу главы правительства. [В. В. Шульгин. Последний очевидец (1971)]</t>
  </si>
  <si>
    <t>NP по адресу</t>
  </si>
  <si>
    <t>new syntactic role: adjunct of NP</t>
  </si>
  <si>
    <t>Теперь вершиной конструкции может выступать не только глагол, но и существительное</t>
  </si>
  <si>
    <t xml:space="preserve"> Мне казалось просто обидным предположение, что в русской литературе возможно одно только науськивание и кривляние по адресу целого племени. [В. Г. Короленко. Письма (1892)]</t>
  </si>
  <si>
    <t>loss of a dependent</t>
  </si>
  <si>
    <t>Идиоматическая интерпретация возможна без дополнительных зависимых</t>
  </si>
  <si>
    <t xml:space="preserve"> Я, напротив, очень советовал бы вам посвятить себя политической карьере. ― Ваша благодарность направлена не по адресу. ― Несмотря на опасность получить подагру? [Е. Ахматова [перевод романа Э. Булвер-Литтона с английского]. Кенелм Чиллингли, его приключения и взгляды на жизнь (1873)]</t>
  </si>
  <si>
    <t>NP с гаком</t>
  </si>
  <si>
    <t>Зафиксировано идиоматическое употребление выражения.</t>
  </si>
  <si>
    <t>Хохлы, лениво, с расстановкой отвечали, что до Нагорной «версты три або четыре, мабудь, е, с гаком». [А. И. Куприн. Ночлег (1895)]</t>
  </si>
  <si>
    <t>Если же считать от ее начала, уже тридцать с гаком. [Анатолий Салуцкий. Немой набат // «Москва», 2019]</t>
  </si>
  <si>
    <t>VP NP с гаком</t>
  </si>
  <si>
    <t>new syntactic role: adjunct of VP</t>
  </si>
  <si>
    <t>Конструкция, которая раньше была зафиксирована только в качестве аргумента или предиката, теперь зафиксирована в качестве адъюнкта.</t>
  </si>
  <si>
    <t>От стана мы забрели далеко, километров на 30 с гаком и если дождик нас возьмет в полон, то грустная перспектива стоит перед нами.</t>
  </si>
  <si>
    <t>Милый пацаненок, виртуоз этого жанра, без пяти минут художник слова, что с тобой сталось за полсотни с гаком лет?..</t>
  </si>
  <si>
    <t>NP NP с гаком</t>
  </si>
  <si>
    <t>У конструкции зафиксирована возможность быть зависимым от другого имени.</t>
  </si>
  <si>
    <t>Мужик лет тридцати с гаком, в грязных резиновых сапогах. [З. С. Лелянова. Дневник (1962)]</t>
  </si>
  <si>
    <t>Когда книга в двести страниц с гаком методично составлена из предыдущих книг, со сносками и объяснениями, становится немного страшно: что это?</t>
  </si>
  <si>
    <t>c  Adj гаком</t>
  </si>
  <si>
    <t>deidiomatization</t>
  </si>
  <si>
    <t>Зафиксирован вариант конструкции, в котором у слова "гак" есть зависимые прилагательные</t>
  </si>
  <si>
    <t>Так оно и будет… только с большим «гаком», как говорилось у нас в благословенной, сытой, сдобной, теплой Малороссии. [К. А. Куприна. Куприн ― мой отец (1979)]</t>
  </si>
  <si>
    <t>Но до этой превратности в судьбе Артема Кареновича было еще полвека с маленьким гаком.  [Вацлав Михальский. Одинокому везде пустыня (2003)]</t>
  </si>
  <si>
    <t>гак</t>
  </si>
  <si>
    <t>Слово "гак" в значении "добавление небольшого количества" зафиксировано не в роли зависимого от предлога "с"</t>
  </si>
  <si>
    <t>Так ведь, по ходу сцитаем. Может статься, и гаку маненько есть. ― Версты ― они у нас не меряны. [Н. Н. Шпанов. Голубеграмма из Усть-Сысольска (1926)]</t>
  </si>
  <si>
    <t>Величину же гака, то бишь расходов на доставку, ― определит местное почтовое отделение. [А. Вершинский. Что имеем // «Техника - молодежи», 1993]</t>
  </si>
  <si>
    <t>не густо</t>
  </si>
  <si>
    <t>Зафиксированные употребления выражения в значении "разреженно".</t>
  </si>
  <si>
    <t>Для избѣжаніяжъ сего должно ихъ сѣять не густо, а траву около нихъ очищать.</t>
  </si>
  <si>
    <t>Худо было то, что деревья по склону стояли негусто и практически весь он просматривался с реки, будто хорошо прорисованная карта: какие-нибудь туристы ― не те каскадеры, что в начале экспедиции проскакали по порогам в своих заливаемых люльках, а любители спокойного августовского сплава с рыбалкой и костерком ― могли обратить внимание на свежие ямы и поинтересоваться их содержимым. [О. А. Славникова. 2017 (2017)]</t>
  </si>
  <si>
    <t>Зафиксированные употребления выражения в квантитативном значении "мало".</t>
  </si>
  <si>
    <t>А как в мошне пусто, да и дома-то не густо, так поневоле дурь полезет в голову: теперь ты слушаешь россказни иноземцев, а там, пожалуй, и на большую дорогу выдешь.</t>
  </si>
  <si>
    <t xml:space="preserve">«Три слова и знак пунктуации. Не густо. Попробуем вытянуть из этого максимум информации. [Олег Воропаев. Предзимний сезон // «Бельские просторы», 2018] </t>
  </si>
  <si>
    <t>change in government: new preposition</t>
  </si>
  <si>
    <t>Якорь конструкции управляет предлогом  "с + Предложный падеж".</t>
  </si>
  <si>
    <t>― Так из себя хуть господа, а с деньгами не густо. [Л. Н. Сейфуллина. Виринея (1924)]</t>
  </si>
  <si>
    <t>― Да уж, с деньгами у него не густо. [Святослав Логинов. Мастерская Иосифа (2014)]</t>
  </si>
  <si>
    <t>Зафиксированные употребления конструкции с квантифицируемым объектом, выраженным родительным падежом.</t>
  </si>
  <si>
    <t>1857-1863</t>
  </si>
  <si>
    <t xml:space="preserve">Ну, денег у него мы не густо нашли, потому домой в побывку налегке ехал, а взяли у него чемоданишко, часы золотые да перстенек с руки. [М. Е. Салтыков-Щедрин. Невинные рассказы / Развеселое житье (1857-1863)] </t>
  </si>
  <si>
    <t>Даже в региональных медиа предвыборных материалов совсем не густо, а уж в федеральные не попадает вообще почти ничего. [Александр Привалов. Об интересе к выборам // «Эксперт», 2015]</t>
  </si>
  <si>
    <t>VP не по-детски / не по-детски Adj</t>
  </si>
  <si>
    <t>Зафиксированные употребления в композициональных значениях: "не свойственный ребёнку" и/или "свойственный взрослому" и/или "в большей степени, чем у ребёнка" и/или "не так, как требуется детям".</t>
  </si>
  <si>
    <t>Тут мы или молчали, или говорили не по-детски о предметах высоких и недоступных нам, решая по-своему вопросы, волновавшие наш ум. [Ю. В. Жадовская. В стороне от большого света (1857)]</t>
  </si>
  <si>
    <t>Но не по-детски серьезный и сосредоточенный лик Младенца позволяет предположить, что Васнецов изобразил Христа благословляющим двумя руками, как архиерей. [В. О. Гусакова. Религиозно-философское мировоззрение В. М. Васнецова // «Актуальные вопросы современной науки», 2018]</t>
  </si>
  <si>
    <t>Зафиксированные употребления в переносном значении, развившемся из изначального: "основательно, серьёзно, умно".</t>
  </si>
  <si>
    <t>— Как там, Транквиил, принято у нынешней молодежи говорить?.. О, вспомнил: займусь тобой не по-детски! Рубишь фишку? [Николай Дежнев. Принцип неопределенности (2009)]</t>
  </si>
  <si>
    <t>Стали играть не по-детски; Паша, руководитель радиокружка, чуть не с острогой летал. [Александр Щеголев. Черная сторона зеркала (2014)]</t>
  </si>
  <si>
    <t>rebranding</t>
  </si>
  <si>
    <t>Зафиксированные употребления в значении "очень, много, сильно".</t>
  </si>
  <si>
    <t>— Во интеллигенция нынче пошла... Понял Виталь? Учись, бля. — Да, не по-детски квасит мужик, — согласился Виталя. — Так чего, не любишь Греча, что ли? — спросил Антон. — А чего мне его любить? Он мне не родственник, не друг, не брат, не сват... [Андрей Белозеров. Чайка (2001)]</t>
  </si>
  <si>
    <t>Паханы ж у неё, сами знаете, бухали не по-детски. [Семен Каминский. Судьба барабанщицы // «Ковчег», 2015]</t>
  </si>
  <si>
    <t>VP в точку</t>
  </si>
  <si>
    <t>Зафиксировано употребление композиционального словосочетания для указания на точку как геометрическую абстракцию</t>
  </si>
  <si>
    <t>Как угол С предполагается не прямой, то перпендикул р не может падать в точку С; но по ту, или другую сторону. [Н. И. Лобачевский. Геометрия (1823)]</t>
  </si>
  <si>
    <t>При передаче данных из точки А в точку В на сигнал отрицательно влияют различные факторы. [Практика оконечивания оптического кабеля (2019)]</t>
  </si>
  <si>
    <t>Зафиксировано употребление выражения в контекстах, в которых слово &lt;i&gt;точка&lt;/i&gt; используется для отсылки к небольшому участку пространства (в т.ч. сравнительно небольшому)</t>
  </si>
  <si>
    <t>Тут наш дом должен уже обратиться почти в точку для того, чтоб можно было на этом листе уместить все улицы Петербурга; но кроме Петербурга есть и другие города, из которых иные далеко, очень далеко. [В. Ф. Одоевский. Сказки дедушки Иринея (1841)]</t>
  </si>
  <si>
    <t>Наконец корабль превратился в точку, блеснул в закатном солнце и исчез. [Анна Русских. Не спрашивай почему, или дождливое лето // «Дальний Восток», 2019]</t>
  </si>
  <si>
    <t>попасть в точку</t>
  </si>
  <si>
    <t>Зафиксировано употребление выражения со значением "сказать или сделать именно то, что было нужно"</t>
  </si>
  <si>
    <t>Сделав этот вопрос наобум, я нечаянно попал в точку. [В. А. Слепцов. Письма об Осташкове (1863)]</t>
  </si>
  <si>
    <t>― Ты, стало быть, подумал, что это я приставила к тебе детектива? ― спросила она насмешливо, попадая немедленно в точку. [О. А. Славникова. 2017 (2017)]</t>
  </si>
  <si>
    <t>Зафиксировано, что у рассматривамого выражения со значением "сделать или сказать именно то, что было нужно" фиксируется и становится частью якоря глагольная группа: теперь она может заполняться преимущественно глаголом &lt;i&gt;попасть&lt;/i&gt;</t>
  </si>
  <si>
    <t>Зафиксировано употребление конструкции со значением "вызвать эмоцию, задеть за живое". Чаще всего слот VP в таких случаях заполняется глаголами &lt;i&gt;бить, попасть (попадать), разить&lt;/i&gt;.</t>
  </si>
  <si>
    <t>― А затѣмъ, чтобы въ точку настоящую попасть, чтобъ жалостнѣе выходило. [Н. А. Лейкин. Угловые (1903)]</t>
  </si>
  <si>
    <t>[Svetik_G (nick)]  Ты видно попала в точку, я даже заплакала читая это. [Новые родственники ― как уживаемся? (форум) (2008)]</t>
  </si>
  <si>
    <t>Зафиксировано употребление выражения со значением "быть точным", "сделать что-то точно, в точности"</t>
  </si>
  <si>
    <t>― Да вѣдь перепутаешь, а тутъ надо въ точку… [Н. А. Лейкин. Переполох (1903)]</t>
  </si>
  <si>
    <t>[Виктор (муж)]  Согласен, Паулс, иногда может сказать верно, кратко и в точку. [Форум: Паулс. На праздник песни не пойду ― он меня не интересует (2013)]</t>
  </si>
  <si>
    <t>в точку</t>
  </si>
  <si>
    <t>Зафиксировано, что конструкция в значениях "быть точным", "сказать или сделать что-то так, как ожидалось, правильно" может употребляться в дискурсе самостоятельно</t>
  </si>
  <si>
    <t>Проклинать и ныть у нас умеют, что ни говори.  Тут ― в точку.  Правда, гоголевские «свиные рылы», они опять-таки, если на то пошло, ближе к Кафке, они ― обличья не людей, но демонов. [Александр Каменецкий. Выродок (2003) // Интернет-альманах «Лебедь», 16.06.2003]</t>
  </si>
  <si>
    <t>В комментарии к Земфире пришла Диана Арбенина!  И поддержала Земфиру: «В точку.  Браво». [Одна -- очень некрасивая. У второй -- отличные тексты, но омерзительный голос. Земфира оценила Гречку и Монеточку (07.2018) // 2018]</t>
  </si>
  <si>
    <t>ахти</t>
  </si>
  <si>
    <t>Compositional source</t>
  </si>
  <si>
    <t>Междометие "ахти", которое раньше употреблялось без отрицательной частицы, могло означать положительную оценку кем-либо какой-либо ситуации.</t>
  </si>
  <si>
    <t>Тут вдруг с восторгом вскричала она: «Ахти! Вспомнила еще одно симпатическое врачество, которое, верно, уже не обманет» [В. Т. Нарежный. Российский Жилблаз, или Похождения князя Гаврилы Симоновича Чистякова (1814)]</t>
  </si>
  <si>
    <t>Пусть их лопают, почтеннейший, а как женюсь, такой пир задам, что ахти мне. [В. А. Вонлярлярский. Большая барыня (1852)]</t>
  </si>
  <si>
    <t>ахти Cl</t>
  </si>
  <si>
    <t>От "ахти" начинает зависеть клауза.</t>
  </si>
  <si>
    <t>1838</t>
  </si>
  <si>
    <t>А мы отродясь впервой выехали в Липецк... ахти, что за город! [И. И. Лажечников. Басурман (1838)]</t>
  </si>
  <si>
    <t>1934-1939</t>
  </si>
  <si>
    <t>А то тебе, матушка, такое напоказывают, что и впрямь подумаешь: ахти, как хороша да богата Россия, -- он чмокнул Екатерине руку и стал вышагивать по лионскому ковру.[В. Я. Шишков. Емельян Пугачев. Книга первая. Ч. 1-2 (1934-1939)]</t>
  </si>
  <si>
    <t>extension: other new type of dependent</t>
  </si>
  <si>
    <t>Междометие "ахти" получает возможность выражать положительную оценку не только ситуации, но и объекта.</t>
  </si>
  <si>
    <t>Междометие "ахти" начинает употребляться с отрицательной частицей. Теперь конструкция означает негативную оценку кем-либо какого-либо объекта, интенсивность негативных эмоций низкая.</t>
  </si>
  <si>
    <t>1830</t>
  </si>
  <si>
    <t>Конечно, стол не ахти мне; но не погневайтесь: я и в здешнем обеде большого деликатеса не вижу. [М. Н. Загоскин. Рославлев, или Русские в 1812 году (1830)]</t>
  </si>
  <si>
    <t>Эффективность партийной работы измерялась в чемоданах; в докладе «Искры» II съезду РСДРП указано, что с декабря 1900-го по февраль 1902 года редакция отправила в Россию около 60 штук; да, у каждого была своя, в питер-гринуэевском духе, история, но статистика все же не ахти -- 60 почти за полтора года. [Л. А. Данилкин. Ленин: Пантократор солнечных пылинок (2017)]</t>
  </si>
  <si>
    <t>не ахти PronPers-Dat</t>
  </si>
  <si>
    <t>В начале возникновения конструкции от "не ахти" могла зависеть группа в дательном падеже,  которая называла источник негативной оценки. Потом конструкция утратила такой тип зависимых.</t>
  </si>
  <si>
    <t>Нет; да Ренан о духе мало и касается, он все по критике событий; но и Ренан-то в своих положениях тоже не ахти-мне; он шаток против, например, богословов современной тюбингенской школы. [Н. С. Лесков. На ножах (1870)]</t>
  </si>
  <si>
    <t>Конструция получает возможность употребляться без именной группы, называющей источник оценки; сам источник оценки считается генерическим.</t>
  </si>
  <si>
    <t>Местечко, кажется, не ахти, а под городом и деревенька явилась, и сыновья в Петербурге воспитываются. [А. Н. Плещеев. Пашинцев (1859)]</t>
  </si>
  <si>
    <t>не ахти Cl</t>
  </si>
  <si>
    <t>От "не ахти" получает возможность зависеть клауза.</t>
  </si>
  <si>
    <t>1861</t>
  </si>
  <si>
    <t>Ну разумеется: не ахти какая радость об таком деле, да еще при людях толковать. [А. В. Сухово-Кобылин. Дело (1861)]</t>
  </si>
  <si>
    <t>2017</t>
  </si>
  <si>
    <t>Я понимаю, что это не ахти какое открытие. [Мария Нестеренко. «В либеральном контексте феминизм попадает в ловушку». Социолог Елена Гапова о гендере, классах и национальном строительстве (19.07.2017)]</t>
  </si>
  <si>
    <t>не ахти Sconj</t>
  </si>
  <si>
    <t>Конструкция с "не ахти" получает возможность быть амальгамой: в зависимой от "не ахти" клаузе произносится только подчинительный союз.</t>
  </si>
  <si>
    <t>Жилось, повторяю, не ахти как. [Г. П. Данилевский. Потемкин на Дунае (1876)]</t>
  </si>
  <si>
    <t>Его даже вроде бы отвели в сторону и рассказали про Марину, что Марина -- партия не ахти какая, что туповата, что почти из деревни, но от этого он благородно возгорелся еще сильнее, хотя, возможно, это опять была всего лишь актерская игра в благородного юношу, снова попытка завладеть вниманием зрителя. [А. Б. Сальников. Петровы в гриппе и вокруг него // «Волга», 2016]</t>
  </si>
  <si>
    <t>VP не ахти</t>
  </si>
  <si>
    <t>"Не ахти" получает возможность не только быть предикатом, но и модифицировать зависимое глагольной группы.</t>
  </si>
  <si>
    <t>Хотя французы живут уж, и не ахти как сладко, а все же получше нашего; там рабочий привык каждый день за едой пить вино, квартира-то ему нужна светлая и чистая, постель особливая, чтобы не в повалку спать, и много ему, французскому рабочему, надо, ко многому он привык, что русскому человеку баловством одним кажется; и газеты тамошний рабочий хочет каждый день почитывать, каждый праздник ему с товарищами надо пирушку или гулянье веселое устроить, а то и в театр, коли он городской, сходить. [Рабочая газета. № 2 // «Рабочая газета», 1881]</t>
  </si>
  <si>
    <t>В этом жанре она начала выступать, еще когда перестройка разрушила ее не ахти какое, но все же благополучие сотрудницы ВЦСПС (в тот период мы почти не общались — голодранцы и полудиссиденты плохо вписывались в ее жизнь, ВЦСПС со всеми вытекающими так же — в нашу). [Ирина Васюченко. Хромые на склоне // «Ковчег», 2014]</t>
  </si>
  <si>
    <t>(N-Nom) без понятия о N-Loc</t>
  </si>
  <si>
    <t xml:space="preserve">Употребление в композициональном значении. </t>
  </si>
  <si>
    <t>1788-1822</t>
  </si>
  <si>
    <t>Прихотей у нее было мало, в расточительности я ее не могу упрекнуть, но сам я был мот по склонности и без всякого понятия о домостроительстве, так что не умел придумывать никакого расчета экономического.</t>
  </si>
  <si>
    <t>Все еще дело в том, что бригада вот-вот развалится, мы просто уже не тянем такую нагрузку, соответственно, ГВ очкует, что вообще 4 участка останутся голыми и придумывает как свою задницу прикрыть, а так как действительно на 90% люди без понятия о всяких там нормах вообще, то можно и надавить.</t>
  </si>
  <si>
    <t>От якоря конструкии перестаёт обязательно зависеть предложная группа.</t>
  </si>
  <si>
    <t>Символ веры и молитвы в азбуке выучивались, но тоже без понятия, как и склады, титла и знаки препинания.</t>
  </si>
  <si>
    <t>[кавказец (муж)] А какие отзывы от дверях МАЭСТРО? [invest-max (?)] Без понятия. Ищи в интернете. [Межкомнатные двери ― какие лучше? (29.03.2015)]</t>
  </si>
  <si>
    <t>widening</t>
  </si>
  <si>
    <t>Область незнания больше не обозначается актантом. Теперь "без понятия" указывает не на отсутствие у субъекта знаний в конкретной области, но на отсутствие необходимого уровня знаний в целом</t>
  </si>
  <si>
    <t>На этого дядьку вся Москва побежала, одна ты без понятия, продолжает Гарик, не смущаясь отсутствием у меня ориентировочной реакции.</t>
  </si>
  <si>
    <t>без понятия Cl</t>
  </si>
  <si>
    <t>change in government: clause</t>
  </si>
  <si>
    <t>Появляется сентенциальный актант.</t>
  </si>
  <si>
    <t>И вновь нас зомбируют , только уже в другом направлении , хотя без понятия как это влияет на верующих [ГИКРЯ]</t>
  </si>
  <si>
    <t>NP без понятия</t>
  </si>
  <si>
    <t>"(Я) Без понятия" становится дискурсивной формулой.</t>
  </si>
  <si>
    <t>― Ты откуда болгарский знаешь? ― Без понятия. Да и не знаю я его. [Олег Дивов. Молодые и сильные выживут (1998)]</t>
  </si>
  <si>
    <t>1784-1785</t>
  </si>
  <si>
    <t>VP фиг/кукиш (NP-Dat)</t>
  </si>
  <si>
    <t>Конструкция происходит из коллокации "показать кукиш/фиг..."</t>
  </si>
  <si>
    <t>1846</t>
  </si>
  <si>
    <t>А он молчит, анафема, зубы скалит да из-за рукава кукиш мне показывает, да толстый такой, ведь точно брюква из поповского огорода. [Н. В. Кукольник. Леночка, или новый, 1746 год (1846)]</t>
  </si>
  <si>
    <t>1936-1937</t>
  </si>
  <si>
    <t>Гранд-Опера', а в ней кто-то показывает кукиш. Сложит, покажет и спрячет опять. [М. А. Булгаков. Записки покойника (Театральный роман) (1936-1937)]</t>
  </si>
  <si>
    <t>фиг/кукиш NP-Dat</t>
  </si>
  <si>
    <t>standartization</t>
  </si>
  <si>
    <t>"Показать кукиш/фиг/и т. д." становится фразеологизмом со значением "оскорбить", у него есть малефициант</t>
  </si>
  <si>
    <t>еще с большим искусством эксплуатируют человеческую глупость разные лицедеи и горлодеры на театральных подмостках, обирающие наивных людей, показывая кукиш с маслом отупевшим, полупьяным буржуям, приходящим туда бросать золото и кредитки, содранные тем или другим путем с бедняков и трудящихся [Ответы на анкету «Искусство и революция», распространенную К. Чуковским в «Свободе и жизни» (1906)]</t>
  </si>
  <si>
    <t>Прикипеть же к родному, показав кукиш всему дальнему и ближнему зарубежью, смог в Москве пока только один шеф-корреспондент «Столицы» Василий Голованов. [Александр Мостовщиков. Опыты на людях // «Столица», 1997.06.10]</t>
  </si>
  <si>
    <t>Конструкция становится дискурсивной формулой отказа дать что-либо</t>
  </si>
  <si>
    <t>― Поместье-то… ― Хер им! ― Пожили сволочи, хватит с их… [Б. Губер. Новое и жеребцы (1925)]</t>
  </si>
  <si>
    <t>Информация – деньги. – Вымогатель. Шиш тебе [Гузалия Ариткулова. Контур, выжженный на асфальте // «Бельские просторы», 2018]</t>
  </si>
  <si>
    <t>new syntactic role: predicate</t>
  </si>
  <si>
    <t>"Фиг тебе " начинает употребляться как самостоятельный предикат, а не как сочетание двух аргументов глагола</t>
  </si>
  <si>
    <t>хуй/хер</t>
  </si>
  <si>
    <t>replacement of a component</t>
  </si>
  <si>
    <t>Якорь конструкции - не название неприличного жеста, а название полового органа</t>
  </si>
  <si>
    <t>1925</t>
  </si>
  <si>
    <t>Хер им! [Б. Губер. Новое и жеребцы]</t>
  </si>
  <si>
    <t>2011</t>
  </si>
  <si>
    <t>Хер тебе, Саня. [Алексей Иванов (Алексей Маврин). Псоглавцы. Гл. 21-39 (2011)]</t>
  </si>
  <si>
    <t>фиг/кукиш/хуй/хер NP-Dat</t>
  </si>
  <si>
    <t>new illocutive goal</t>
  </si>
  <si>
    <t>Конструкция (в роли дискурсивной формулы) выражает любое несогласие с чужими намерениями, а не только отказ дать что-либо</t>
  </si>
  <si>
    <t>1849</t>
  </si>
  <si>
    <t>Вы думали нас подкузьмить? Ан, нет же, вот! Шиш тебе, мой голубчик! [И. С. Тургенев. Холостяк (1849)]</t>
  </si>
  <si>
    <t>― Уходи давай! Очередь мне тут организовал, троцкист… ―  Шиш тебе, ― зло щерится на него Игнатов. [Гузель Яхина. Зулейха открывает глаза (2015)]</t>
  </si>
  <si>
    <t>ни рыба ни мясо, ни кафтан ни ряса</t>
  </si>
  <si>
    <t>Полный вариант идиомы: "ни рыба ни мясо, ни кафтан ни ряса", значение - несоответствие чего-либо ни одному ожиданию, бесполезность предмета или лица</t>
  </si>
  <si>
    <t>1871-1874</t>
  </si>
  <si>
    <t>Вот уж истинно: ни рыба ни мясо, ни кафтан ни ряса [П. И. Мельников-Печерский. В лесах. Книга вторая (1871-1874)]</t>
  </si>
  <si>
    <t>«Ни рыба, ни мясо, ни кафтан, ни ряса» [М. Л. Гаспаров. Записи и выписки (2001)]</t>
  </si>
  <si>
    <t>NP ни рыба ни мясо</t>
  </si>
  <si>
    <t>Конструкция может быть адъюнктом именной группы, включающей или существительное, или местоимение</t>
  </si>
  <si>
    <t>Я дождусь, как выйдут дети, и скажу вам: «Жаль вас, жаль время, жаль детей: вас ― что вам в старости не будет утешенья; время ― что напрасно пропало; детей ― что они ни то ни се, ни рыба ни мясо [Ф. В. Ростопчин. Ох, французы! (1812)]</t>
  </si>
  <si>
    <t>Что касается дома на Зигфридштрассе, 14, куда Ульяновы переехали в конце весны 1901-го, где прожили почти год, где Ленин написал «Что делать?» и  где состоялась серия совещаний с редакцией «Искры», в том числе со специально явившимся в Мюнхен Плехановым, то он в своей нынешней версии производит впечатление весьма скромного: никаких намеков на сецессионский модерн: дом как дом, ни рыба ни мясо. [Л. А. Данилкин. Ленин: Пантократор солнечных пылинок (2017)]</t>
  </si>
  <si>
    <t>Вторая часть идиомы отпала, и сейчас идиома употребляется в укороченном виде</t>
  </si>
  <si>
    <t>VP ни рыба ни мясо</t>
  </si>
  <si>
    <t>Теперь конструкция может быть адъюнктом глагола</t>
  </si>
  <si>
    <t>Но, по несчастию, хорошие актеры редко играют вместе, и оттого, как говорит папа, выходит ни рыба ни мясо. [Ф. В. Булгарин. Письма провинциялки из столицы (1830)]</t>
  </si>
  <si>
    <t>2006-2007</t>
  </si>
  <si>
    <t>Что касалось самого Матвея, то он и вовсе получился ни рыба, ни мясо, не русским и не бурятом, потому что предки его ― уже по материнской линии ― обрусевали, онемечивались, затем обрусевали вновь, и в жилах Матвея намешано было такое множество кровей, как будто природа производила генетические эксперименты, не до конца уверенная в том, что именно желает получить в итоге, и не вышвыривала Матвея безраздумно в жизнь, но выводила, как выводят породу лошадей или охотничьих собак, тщательно подготавливая появление нового вида. [С. А. Самсонов. Аномалия Камлаева (2006-2007)]</t>
  </si>
  <si>
    <t>Конструкция может употребляться самостоятельно, без зависимых</t>
  </si>
  <si>
    <t>1849-1856</t>
  </si>
  <si>
    <t>По законному возмездию судьбы, пишет он сам теперь манифесты, а они гораздо хуже сочиненных Шишковым. Ни рыба, ни мясо. Средина между «Бедной Лизой» и «Марьиной Рощей»; даже не смешно. [Н. И. Греч. Записки о моей жизни (1849-1856)]</t>
  </si>
  <si>
    <t>Ни рыба ни мясо… русалка, честное слово… [А. Н. Толстой. Хождение по мукам/ Книга третья. Хмурое утро (1941)]</t>
  </si>
  <si>
    <t>Теперь конструкция значит не только "бесполезный", но и "чужой, не имеющий отношения к чему-либо или кому-либо"</t>
  </si>
  <si>
    <t>Я понастоящему не хотел принимать приглашения, зная по опыту, как будет зудить внутри у хозяйки, когда она увидит, что то, что она могла съесть, съест человек, который для нее ни рыба, ни мясо. [А. И. Батюто. Дневник (1943)]</t>
  </si>
  <si>
    <t>не дай бог VP</t>
  </si>
  <si>
    <t>Источник грамматикализации -- обращение к Богу, просьба не дать нежелательной для говорящего ситуации возникнуть. Эта ситуация полностью неподконтрольна говорящему.</t>
  </si>
  <si>
    <t>Но ежели (чего не дай Бог) против сего церкви призывания, и против действия Святаго Духа, ожесточите вы свою душу: то предает вас церковь Божия страшному суду Его, и всем тем казням, какия на непокорныя и ожесточенныя сердца ярость его определила. [архиепископ Платон (Левшин). Увещание к раскольникам (1766) ]</t>
  </si>
  <si>
    <t>Не дай вам бог родиться в эпоху перемен! [ Ирина Александрова. Жизнь на стройплощадке // «Адвокат», 1999.01.18]</t>
  </si>
  <si>
    <t>не дай бог NP-Dat</t>
  </si>
  <si>
    <t>В конструкции появляется возможность присоединять именную группу, обозначающую актанта, для которого ситуация будет неблагоприятна</t>
  </si>
  <si>
    <t>Не дай Бог никому из посторонних лиц играть ролю в этих эпизодах, особенно в судейских! [Ф. В. Булгарин. Прогулка по тротуару Невского проспекта (1824)]</t>
  </si>
  <si>
    <t>И не дай Бог тебе оказаться в том списке! [Аркадий Мацанов. Мастер и подмастерье (2016) // «Ковчег», 2015]</t>
  </si>
  <si>
    <t>не дай бог Cl</t>
  </si>
  <si>
    <t>change in government: new clause</t>
  </si>
  <si>
    <t>"Не дай бог" получает возможность управлять финитной клаузой.</t>
  </si>
  <si>
    <t>Все ныне упражняющиеся в науках говорят: не дай бог, чтобы Академия досталась Тауберту в приданое за дочерью Шумахеровой. [М. В. Ломоносов. Письмо И. И. Шувалову (01.11.1753)]</t>
  </si>
  <si>
    <t>Это постоянное сопряжение желаемого и возможного ― жуткая борьба, но не дай Бог, чтобы что-нибудь одно в ней победило. [Престиж золотой середины // «Культура», 2002.04.08]</t>
  </si>
  <si>
    <t>Идиоматизация коллокации: событие, которое названо в изменямой части конструкции, получает возможность быть частично контролируемым. Обращение к Богу перестаёт быть частью семантики.</t>
  </si>
  <si>
    <t>Барин строгий! азартный! Не дай Бог, например, не заплатить оброка в положенный срок! [Антоний Погорельский. Монастырка (1833)]</t>
  </si>
  <si>
    <t>Для полного спокойствия выберите пароль подлиннее, но не дай Бог вам его забыть: чтобы "расколоть" Crypto, понадобятся месяцы, а то и годы усилий мощного компьютера. [Дмитрий Лысак. Секретная миссия простого брелка // «Stuff», 2003.03.06]</t>
  </si>
  <si>
    <t>не дай бог XP</t>
  </si>
  <si>
    <t>Новое значение: интенсивность с негативной оценкой</t>
  </si>
  <si>
    <t>― Ох, трудно жить на свете, Митенька… Не дай бог, как трудно!.. [Д. Н. Мамин-Сибиряк. Отрезанный ломоть (1899)]</t>
  </si>
  <si>
    <t>Там не только красиво катаются, там еще и интриги плетут такие, что не дай бог! [Александра Маринина. Ангелы на льду не выживают. Т. 1 (2014)]</t>
  </si>
  <si>
    <t>narrowing</t>
  </si>
  <si>
    <t>Новое значение: интенсивность без негативной оценки</t>
  </si>
  <si>
    <t>― Я, кажись, ни за что бы не выдержал, потому я до лошадей, не дай бог, какой охотник! Ежели увижу где хорошего коня, у меня душа мрет, а у самого так руки и чешутся украсть его. [Ф. Ф. Тютчев. На скалах и долинах Дагестана (1903)]</t>
  </si>
  <si>
    <t>Интересно, каким аргументом вдарила ему по темечку? Там расклад ― не дай бог! Олегов законный, паспортный тесть ― настоящий олигарх, с корнями во власти. [Ольга Новикова. Каждый убивал // «Сибирские огни», 2012]</t>
  </si>
  <si>
    <t>"Не дай бог" может быть вставкой, синтаксически не связанной с остальным предложением; выражением опасения.</t>
  </si>
  <si>
    <t>Вас[илий] Мих[алыч]. Ты прав, братец… не дай бог… Ник[олай] Мих[алыч] (уходит). [М. Ю. Лермонтов. Menschen und Leidenschaften (1830)]</t>
  </si>
  <si>
    <t>[Иван Охлобыстин (муж)] Мы с Кыссой твердо решили, что если, не дай бог, у одного из нас выявится какой-нибудь неисцелимый и скоротечный недуг, то приговоренный обязательно попробует скатиться по арке Крымского моста и нарезать спираль на куполе спорткомплекса «Олимпийский». [Форум: Горный двухподвесочный (2010) ]</t>
  </si>
  <si>
    <t>айда V-Inf</t>
  </si>
  <si>
    <t>Конструкция возникла из сочетания предикатива "айда", которой означает призыв к совместному движению говорящего и слушающего и у которого есть валентность цели этого движения, и инфинитива, называющего цель движения</t>
  </si>
  <si>
    <t>1863-1874</t>
  </si>
  <si>
    <t>**Айда** домой риформа **делать**! [М. Е. Салтыков-Щедрин. Помпадуры и помпадурши (1863-1874)]</t>
  </si>
  <si>
    <t>**Айда** лучше **гулять**!  По барам! [Наталья Щербина. Перестук Каблуков (2002)]</t>
  </si>
  <si>
    <t>Конструкция начинает означать каузацию любого действия</t>
  </si>
  <si>
    <t>Только скажет: «Ребя, **айда** коров **мучить**!» ― и побежали за город с гиком да лаем [Ф. М. Решетников. Горнозаводские люди (1863]</t>
  </si>
  <si>
    <t xml:space="preserve"> — **Айда** в чилику **играть**…[Владимир Ланг. Калейдоскоп детства // «Ковчег», 2013]</t>
  </si>
  <si>
    <t>V-Inf</t>
  </si>
  <si>
    <t>Конструкция начинает указывать на начало любого действия, а не только совместного</t>
  </si>
  <si>
    <t>1929-1930</t>
  </si>
  <si>
    <t>[Велосипедкин (муж)] Все облегченно вздохнули, подняли с кресел свеженькие зады и **айда работать**. [В. В. Маяковский. Баня (1929-1930)]</t>
  </si>
  <si>
    <t>Быстренько оформил мужик документы на пээмже и **айда наслаждаться** вечным посмертным праздником, но угодил аккурат чертям в лапы. [Алена Браво. Комендантский час для ласточек // «Сибирские огни», 2012]</t>
  </si>
  <si>
    <t>depragmaticalization of a routine</t>
  </si>
  <si>
    <t>Конструкция начинает употребляться в нарративе</t>
  </si>
  <si>
    <t>Конструкция начинает означать высокую интенсивность действия</t>
  </si>
  <si>
    <t>Айда V-1.PL</t>
  </si>
  <si>
    <t>change in government: new verb form</t>
  </si>
  <si>
    <t>"Айда" может сочетаться на только с инфинитивом, но и с первым лицом множественного числа.</t>
  </si>
  <si>
    <t>1928-1931</t>
  </si>
  <si>
    <t>― **Айда, прокатимся** на машине. На автомобиле. [Л. А. Кассиль. Кондуит и Швамбрания (1928-1931)]</t>
  </si>
  <si>
    <t>Эх, а какие фотки получились ― хоть на выставку! **Айда, посмотрим!** А ты черканула матушке письмецо? [Вацлав Михальский. Одинокому везде пустыня (2003)]</t>
  </si>
  <si>
    <t>царь в голове</t>
  </si>
  <si>
    <t>Первое идиоматическое употребление в варианте "свой царь в голове", в значении "ум, разум, воля"</t>
  </si>
  <si>
    <t>― С волками надо выть по волчьи, Юрий Дмитрич; и у кого свои царь в голове, тот не станет плыть в бурю против воды. [М. Н. Загоскин. Юрий Милославский, или русские в 1612 году (1829)]</t>
  </si>
  <si>
    <t>1898-1899</t>
  </si>
  <si>
    <t>Он никогда не теряется и постоянно знает, что должно делать; при смене властей в Москве он служит им, насколько они законны, а не переметывается, не поддается «ворам», у него есть определенные взгляды, своя политическая философия, которая дает ему возможность точно и твердо определять свое отношение к тому или другому факту и оберегает его от авантюризма и «шатости»; у него свой «царь в голове». [С. Ф. Платонов. Полный курс лекций по русской истории (1898-1899)]</t>
  </si>
  <si>
    <t>Конструкция начинает выступать в качестве аргумента предлога "без"</t>
  </si>
  <si>
    <t>Хлестаков, молодой человек лет двадцати трех, тоненький, худенький; несколько приглуповат и, как говорят, без царя в голове, ― один из тех людей которых в канцеляриях называют пустейшими. [Н. В. Гоголь. Ревизор (1836)]</t>
  </si>
  <si>
    <t>Не то чтобы агрессивная гопота ― и на том уже большое спасибо! ― но видно, что без царя в голове, с основательно сбитыми жизненными ориентирами. [Александр Ивантер. Созидательное разрушение // «Эксперт», 2014]</t>
  </si>
  <si>
    <t>N-Nom без царя в голове</t>
  </si>
  <si>
    <t>Конструкция начинает употребляться предикативно</t>
  </si>
  <si>
    <t>Конструкция развивает значение "легкомысленный"</t>
  </si>
  <si>
    <t>PART без царя в голове</t>
  </si>
  <si>
    <t>У конструкции появляется возможность быть в сфере действия отрицания</t>
  </si>
  <si>
    <t>1884-1886</t>
  </si>
  <si>
    <t>Нужны люди, а я человек бывалый, опытный и не без царя в голове, чего еще? [М. Е. Салтыков-Щедрин. Пестрые письма (1884-1886)]</t>
  </si>
  <si>
    <t>1976-1999</t>
  </si>
  <si>
    <t>Был я хоть и решительным юношей, но не без царя в голове. [Валерий Аграновский. Вторая древнейшая. Беседы о журналистике (1976-1999)]</t>
  </si>
  <si>
    <t>extension: new type of N head</t>
  </si>
  <si>
    <t>У конструкции появляется возможность зависеть от неодушевленной вершины</t>
  </si>
  <si>
    <t>В этой мутной системе государства-монополии без царя в голове, в системе нефиксированных и в любой момент могущих оказаться измененными правил игры и Устинов, и Королев чувствовали себя как рыба в воде. [Константин Феоктистов. Траектория жизни (2000)]</t>
  </si>
  <si>
    <t>Источник идиомы.</t>
  </si>
  <si>
    <t>1761-1765</t>
  </si>
  <si>
    <t>Но как стал осматривать он свою бочку, то увидел, что в ней не было пива ни капли. [Д. И. Фонвизин. Два маркитанта [перевод басни Л. Хольберга с немецкого] (1761-1765)] [омонимия не снята]</t>
  </si>
  <si>
    <t>P. S. Дав таежному зверю обет, Ирина два года не брала в рот ни капли спиртного, но потом вновь сорвалась, и ее деревенская жизнь потекла, как у здешних таежных людей, в беспросветных и долгих запоях. [Леонид Сермягин. Медведь-нарколог // «Дальний Восток», 2019] [омонимия не снята]</t>
  </si>
  <si>
    <t>Употребление в значении "ни в малейшей доли" по отношению к объектам, не являющимся жидкостями, без использования слов, связанных с жидкостями (напр. пролить).</t>
  </si>
  <si>
    <t>Я плакала о его кончине и сожалела его столько, сколько сожалеет сестра о родном своем брате, который наградил ее приданым и от которого не остается ей в наследство ни капли. [М. Д. Чулков. Пригожая повариха, или Похождение развратной женщины (1770)] [омонимия не снята]</t>
  </si>
  <si>
    <t>К тому же наш переезд, который никому из нас (по крайней мере, пока) не принес ни капли счастья, так же настраивал меня против дорожных приключений. [Наталья Емельянова. Путешественник // «Дальний Восток», 2019] [омонимия не снята]</t>
  </si>
  <si>
    <t>Cl ни капли</t>
  </si>
  <si>
    <t>В сфере действия "ни капли" могут быть не только имена, но и пропозиции</t>
  </si>
  <si>
    <t>Главная перемена в продолжение этого времени состояла в присутствии Соболевского, который ни капли не переменился: тот же милый и благородный малый, какой был, но так же и во всем другом совершенно тот же. [П. В. Киреевский. Письма родным (1830)] [омонимия не снята]</t>
  </si>
  <si>
    <t>— Существует, эффективна, но в конечном счете нам самим она ни капли не помогает: всякие «яжематери» (образ-мем карикатурной матери, чересчур серьезно относящийся к своим обязанностям. [Поколение Путина. Восемнадцатилетние -- о выборах, демократии и «особом» пути страны (01.03.2018) // «Сноб», 2018] [омонимия не снята]</t>
  </si>
  <si>
    <t>Употребление в переносном значении.</t>
  </si>
  <si>
    <t>1832-1867</t>
  </si>
  <si>
    <t>У меня сдѣлали сборъ отъ церквей и духовенства, но еще не дошли руки счесть его. [Письма митрополита московскаго Филарета къ А.Н.М.(1832-1867)]</t>
  </si>
  <si>
    <t>― Мы давно уже хотели заменить ограду на чугунную, да руки не доходили! [Гузель Яхина. Дети мои (2018)] [омонимия не снята]</t>
  </si>
  <si>
    <t>руки не доходят до NP</t>
  </si>
  <si>
    <t>change in government: prepositional phrase</t>
  </si>
  <si>
    <t>Конструкция получает возможность управлять предложной группой.</t>
  </si>
  <si>
    <t>Нет культурных сил, руки не доходят до окраин. [С. Ф. Буданцев. Саранча (1927)] [омонимия не снята]</t>
  </si>
  <si>
    <t>Бабушке Оле сил хватало только в центре прибрать, до углов да окон руки не доходили. [Н. В. Нестерова. Переходный возраст (2013)] [омонимия не снята]</t>
  </si>
  <si>
    <t>В конструкциях с предлогами в качестве именной группы употребляется не действие, а то, на что действие направлено.</t>
  </si>
  <si>
    <t>руки доходят до NP</t>
  </si>
  <si>
    <t>Употребления без "не".</t>
  </si>
  <si>
    <t>1958-1968</t>
  </si>
  <si>
    <t>Руки быстро доходят, промахи исправляются, прорвавшегося возмущенные до глубины души лица растаптывают на мостовой. [Аркадий Белинков. Сдача и гибель советского интеллигента. Юрий Олеша / Первая книга о толстяках (1958-1968)] [омонимия не снята]</t>
  </si>
  <si>
    <t>Чем интереснее явление, тем меньше внимания ему уделено, тем реже доходят до него руки ценителей, тем меньше вероятность, что в туманном будущем, которого, возможно, и не будет, скажут, что-де проглядели нечто, что уже не возвратить. [Н. Б. Черных. Пять книг первой половины 2016 года // «Волга», 2016] [омонимия не снята]</t>
  </si>
  <si>
    <t>не доходят руки N-Gen</t>
  </si>
  <si>
    <t>Упоминание владельца рук в родительном падеже.</t>
  </si>
  <si>
    <t>За хатой не пестрели из лета в лето, как на других усадьбах, грядки с огурцами, морковью и луком, не гнулись под тяжестью груш, слив и жердель в саду деревья: до всего этого не доходили руки одинокой хозяйки. [Анатолий Ференчук. Пути-дороги // «Огонек». № 27, 1959]</t>
  </si>
  <si>
    <t>И вот теперь старые приятели просят нового короля сделать то, до чего не дошли руки великой Елизаветы: стать покровителем сообщества английских естествоиспытателей. [Сергей Смирнов. Сразу после Кромвеля // «Знание-сила», 2014]</t>
  </si>
  <si>
    <t>руки не доходят для N-Gen</t>
  </si>
  <si>
    <t>Употребление с предлогом "для".</t>
  </si>
  <si>
    <t>Даже для ведения домашней бухгалтерии ― «как-то все руки не доходят». [Анна Тоом. Представления с участием зрителей // «Знание ― сила», 1987]</t>
  </si>
  <si>
    <t>руки не доходят на N-Acc</t>
  </si>
  <si>
    <t>Употребление с предлогом "на".</t>
  </si>
  <si>
    <t>На выполнение решения суда: «Обязать командира войсковой части 62978 обеспечить… жилищным сертификатом согласно нормам, после чего представить к увольнению по организационно-штатным мероприятиям» у командира части больше года не доходят руки. [Ликвидация // «Солдат удачи», 2004.04.07]</t>
  </si>
  <si>
    <t>Возникновение конструкции: способ выразить отказ делать что-либо</t>
  </si>
  <si>
    <t>― НИ-НИ-ни! не придется, если не будете стараться: я ее увезу на другую квартиру… [И. А. Гончаров. Иван Савич Поджабрин (1842)]</t>
  </si>
  <si>
    <t>― Паз-звольте же руку, милостивый государь! ― Ни-ни-ни, никак не могу позволить! А это уж вы мне позвольте, дражайший Яков Борисович, в глазки ваши заглянуть! [Борис Евсеев. Евстигней // «Октябрь», 2010]</t>
  </si>
  <si>
    <t>Расширение значения: не только отказ, но и запрет</t>
  </si>
  <si>
    <t>― Я вам скажу, где Коля, ― вызвался опять молодой человек. ― Ни-ни-ни! ― вскинулся и засуетился впопыхах Лебедев. [Ф. М. Достоевский. Идиот (1869)]</t>
  </si>
  <si>
    <t>― Может, я котика на участке закопаю? ― спросила она. ― Ни-ни-ни, не думай даже! ― возразила Анна Лукинишна. ― Ходить потом ― об падаль спотыкаться!.. [С. И. Шуляк. Квартира номер девять. Роман с чертовщиной // «Волга», 2013]</t>
  </si>
  <si>
    <t>Конструкция может употребляться не только в диалоге, но и в нарративе</t>
  </si>
  <si>
    <t>― Нет, брат! играть с тобой еще можно, но позволять тебе карты сдавать ― ни-ни! [[М. Е. Салтыков-Щедрин. Помпадуры и помпадурши (1863-1874)]]</t>
  </si>
  <si>
    <t>Да, отказала я этому французу, и не подумай: не потому, что француз, ― ни-ни-ни! [Вацлав Михальский. Одинокому везде пустыня (2003)]</t>
  </si>
  <si>
    <t>Cl ни-ни</t>
  </si>
  <si>
    <t>Якорь конструкции - сказуемое в предложении с сентенциальным подлежащим</t>
  </si>
  <si>
    <t>Было тяжело (да и сейчас, скажу честно, всякое бывает), но в Россию ― НИ-НИ, хватит, накушалась. [коллективный. Возвращение строптивых // «Огонек», 2013]</t>
  </si>
  <si>
    <t>(Cl) ни-ни</t>
  </si>
  <si>
    <t>Расширение значения: не только отказ и запрет, но и отрицание какого-либо факта</t>
  </si>
  <si>
    <t>1868-1870</t>
  </si>
  <si>
    <t>Наши бабушки… кроме как куаферов… ни-ни! [М. Е. Салтыков-Щедрин. Письма о провинции (1868-1870)]</t>
  </si>
  <si>
    <t>не то, чтобы XP, а/но YP</t>
  </si>
  <si>
    <t>Самые ранние примеры в НКРЯ показывают, что у "не то чтобы" был парный союз "а"</t>
  </si>
  <si>
    <t>― Не то, чтобы видел, ― отвечал Лесько, ― а вот как было дело: когда мне было лет девятнадцать, тогда в летнюю пору я спал каждую ночь на дворе, для того что в хате было душно и чтобы по ночам стеречь скотный двор. [О. М. Сомов. Гайдамак (1825)]</t>
  </si>
  <si>
    <t>Он заставил драматических актёров не то, чтобы танцевать, а выражать чувства и совершать поступки с помощью виртуозных движений, придуманных с учётом характера персонажа и фактуры исполнителя. [Спасительная эстафета игры // «Экран и сцена», 2004.05.0]</t>
  </si>
  <si>
    <t>не то, чтобы XP, YP</t>
  </si>
  <si>
    <t>"Не то чтобы" вводит группу, которая называет более сильную альтернативу. В том же предложении должна быть группа, называющая более слабую альтернативу. Эта группа раньше была обязана вводиться союзом "а" или "но", а теперь зафиксированы контексты, где она не вводится ими.</t>
  </si>
  <si>
    <t>Зятя нет дома, он в нукерах при Аммалат-беке, да меня же бек давным-давно освободил от постоя, а на угощенье приезжих дармоедов не жди от меня ни яйца, не то чтобы утенка. [А. А. Бестужев-Марлинский. Аммалат-бек (1831) ]</t>
  </si>
  <si>
    <t>Не то чтобы хотелось жениться, нет, хотелось чего-то большего, неизмеримо другого, но выразить это почему-то можно было только женитьбой. [И. Грекова. На испытаниях (1967)]</t>
  </si>
  <si>
    <t>не то, чтобы XP</t>
  </si>
  <si>
    <t>Зафиксировано, что "не то чтобы ХР" получает возможность использоваться изолированно, без эксплицитного выражения альтернативы; ХР -- группа, расположенная высоко на конвенциональной шкале.</t>
  </si>
  <si>
    <t>1831-1832</t>
  </si>
  <si>
    <t>Покойный дед был человек не то, чтобы из трусливого десятка; бывало, встретит волка, так и хватает прямо за хвост; пройдет с кулаками промеж козаками, ― все, как груши, повалятся на землю. [Н. В. Гоголь. Пропавшая грамота (1831-1832)]</t>
  </si>
  <si>
    <t>Призывы симпатичного жирафа с рекламных щитов: "Сходи в зоопарк" я не то чтобы игнорировал. [О. Г. Баринов. Зоологический сад // «Первое сентября», 2003]</t>
  </si>
  <si>
    <t>на кой (PronP/NP-Dat) (черт) NP/PronP</t>
  </si>
  <si>
    <t>Идиоматическое употребление выражения</t>
  </si>
  <si>
    <t>Нашим девкам и грамота-то не годится; она мастачка лебезить кружева да петь заунывно — это на кой чёрт? [П. А. Плавильщиков. Сговор Кутейкина (1789)]</t>
  </si>
  <si>
    <t>— Семейная жизнь, говоришь? На кой чёрт мне такая жизнь? Ты не женщина, а акула-пила! [Аркадий Мацанов. Мастер и подмастерье (2016) // «Ковчег», 2015]</t>
  </si>
  <si>
    <t>на кой (PronP/NP-Dat) (черт) NP/PronP/Inf/Cl</t>
  </si>
  <si>
    <t>Конструкция может присоединять не только именную или местоименную группу, но и инфинитив или клаузу в качестве подлежащего. Если присоединяется клауза, валентность на именную или местоименную группу в дательном падеже отсутствует</t>
  </si>
  <si>
    <t>Своего портрета у меня нѣтъ — да на кой чортъ имѣть его -- [А. С. Пушкин. Письмо Н. И. Гнедичу (1823.05.13)]</t>
  </si>
  <si>
    <t>— Тогда на кой черт запад ввел санкции? [Анатолий Салуцкий. Немой набат // «Москва», 2019]</t>
  </si>
  <si>
    <t>на кой (PronP/NP-Dat) (черт/прах/леший/ляд/шут) NP/PronP/Inf/Cl</t>
  </si>
  <si>
    <t>Вместо черт в конструкции может появляться иное слово (прах, леший, etc)</t>
  </si>
  <si>
    <t>— Ладно, поедем, отворяй ворота, а я вот только шубу да бочонков возьму. — Да на кой прах тебе шуба? Ведь вот лежит же чья-то шуба, надевай ее да катим. [Н. В. Кукольник. Леночка, или новый, 1746 год (1846)]</t>
  </si>
  <si>
    <t>— А я ведь ему талдычила: на кой ляд ты вообще туда рвешься? [Фёдор Ошевнев. Билет на тот свет // «Ковчег», 2015]</t>
  </si>
  <si>
    <t>на кой (черт/прах/леший/шут/ляд)</t>
  </si>
  <si>
    <t>Конструкция может употребляться самостоятельно в дискурсе, при этом без изменяемых частей</t>
  </si>
  <si>
    <t>[Николай Михайлович Счастнев (муж, 30, 1828, жилец в доме Чежина)] Поклялась перед образом: вконец разориться, а уж притянуть меня к себе. На кой черт? [Максим Кузьмич Ладыжкин (муж, отставной чиновник)] Надо полагать, что они к вам очень привязаны... [И. Е. Чернышев. Жених из долгового отделения (1858)]</t>
  </si>
  <si>
    <t>— А хотелось бы! — На кой? — спросил больной на костылях. — Тебе ж объяснили, что они зеленого цвета и глаза закатились. [Е. В. Колина. Дневник измены (2011)]</t>
  </si>
  <si>
    <t>на кой (PronP/NP-Dat) (черт/прах/леший/шут/ляд) NP/PronP-Nom/Acc</t>
  </si>
  <si>
    <t>Валентность, которая обозначает предмет, не нужный говорящему, может быть заполнена существительным не только в именительном, но и в родительном падеже</t>
  </si>
  <si>
    <t>— Да на кой же чортъ намъ ее, если она не можетъ, — презрительно перебилъ Свѣчинъ. [Н. Д. Ахшарумов. Мудреное дело. Ч. I // «Эпоха», 1864]</t>
  </si>
  <si>
    <t>Ну, загребай все! На кой мне их ляд? Ишь, толстопузый, какой капитал с собой возит, а умирать артачится. [Н. Э. Гейнце. Дочь Великого Петра (1913)]</t>
  </si>
  <si>
    <t>на кой (PronP/NP-Dat) (черт/прах/леший/шут/ляд) PronP/NP-Nom сдаться</t>
  </si>
  <si>
    <t>Теперь фиксированной частью якоря становится глагол сдаться.</t>
  </si>
  <si>
    <t>На кой леший, извините за выражение, сдался мне ваш приказчик! [А. П. Чехов. Медведь (1888)]</t>
  </si>
  <si>
    <t>compatibility constraint</t>
  </si>
  <si>
    <t>В таком виде изменяемый элемент конструкции, который обозначает ненужный говорящему предмет, может заполняться только именной или местоименной группой</t>
  </si>
  <si>
    <t>на кой (PronP/NP-Dat) (черт/прах/леший/шут/ляд) Inf/PronP/NP-Nom сдаться</t>
  </si>
  <si>
    <t>Конструкция может присоединять инфинитив в качестве подлежащего</t>
  </si>
  <si>
    <t>На кой чёрт мне сдалось обманывать кондукторшу! [З. С. Лелянова. Дневник (1962)]</t>
  </si>
  <si>
    <t>на кой (PronP/NP-Dat) (черт/прах/леший/шут/ляд) PronP-Nom сдаться, (Inf/NP-Nom)</t>
  </si>
  <si>
    <t>Конструкция может дублировать подлежащее, выраженное местоимением внутри конструкции, после глагола сдаться, "за пределами" конструкции</t>
  </si>
  <si>
    <t>Да на кой она ляд сдалась нам, зима, скажи на милость?! [К. Г. Паустовский. Желтый свет (1936)]</t>
  </si>
  <si>
    <t>Господи, какие там драки, ответил Кравцов, сплю круглые сутки, кстати, о драках, — все хочу спросить, на кой оно вам сдалось, ментов тренировать, ведь не из-за денег же? [А. А. Кузьменков. Вакидзаси // «Волга», 2008]</t>
  </si>
  <si>
    <t>V до лампочки</t>
  </si>
  <si>
    <t>Композициональное употребление выражения в значении обозначения меры расстояния или направления</t>
  </si>
  <si>
    <t>Вставший добирается до лампочки, снимает ее с крючка. [М. К. Первухин. Золотой Якорь // «Пробуждение», 1907]</t>
  </si>
  <si>
    <t>Добраться до лампочки нелегко – нужно снять аккумулятор и детали его крепления. [Вадим Крючков. Вторая зима (2004) // «За рулем», 15.04.2004]</t>
  </si>
  <si>
    <t>NP/PronP-Dat NP/PronP-Nom до лампочки</t>
  </si>
  <si>
    <t>В переносном значении у конструкции появляются два новых валентности, обе они могут заполняться именной или местоименной группой. Валентность, которая обозначает того, кому безразлично происходящее, заполняется группой в дательном падеже, валентность, обозначающая неважный объект, заполняется группой и именительном падеже.</t>
  </si>
  <si>
    <t>А он себе сидит с научным журналом, посмеивается. Ему-то все это до лампочки. А потом, когда ты становишься ростом с брата и тебе еще расти и расти, ты уже начинаешь на него по-другому смотреть, наступает, так сказать, переоценка ценностей. [Василий Аксенов. Звездный билет // «Юность», 1961]</t>
  </si>
  <si>
    <t>А он ни на кого не обращает внимания, ему сумления до лампочки. [Анатолий Салуцкий. Немой набат // «Москва», 2019]</t>
  </si>
  <si>
    <t>У конструкции появляется переносное значение безразличия кого-то к некому объекту</t>
  </si>
  <si>
    <t>NP/PronP-Dat Cl/NP/PronP-Nom до лампочки</t>
  </si>
  <si>
    <t>Валентность в именительном падеже может заполняться клаузой</t>
  </si>
  <si>
    <t>Легче всего Косте было на работе: все правильно — тебе нужно ехать по твоему делу, а я тебя везу, это мое дело, и мне до лампочки, что кто-то назовет неуважительно и грубо — шоферюгой. [В. Ф. Панова. Конспект романа (1965)]</t>
  </si>
  <si>
    <t>— Мне до лампочки, что там твой Певзнер говорит... [Татьяна Тронина. Никогда не говори «навсегда» (2004)]</t>
  </si>
  <si>
    <t>(NP/PronP-Dat) Cl/NP/PronP-Nom до лампочки</t>
  </si>
  <si>
    <t>Валентность, заполняемая группой в дательном падеже, может опускаться</t>
  </si>
  <si>
    <t>— А не думаешь, так выполняй задание! Тут твоя «заслуженность» до лампочки! Понял? [Г. Г. Демидов. Без бирки (1966)]</t>
  </si>
  <si>
    <t>[Вася (nick)] Вот это да!!! А остальное до лампочки!!! А вы говорите купаться... [Форум: История ― это то, что с нами будет (2010)]</t>
  </si>
  <si>
    <t>(NP/PronP-Dat) (Cl/NP/PronP-Nom) до лампочки</t>
  </si>
  <si>
    <t>Валентность, заполняемая группой в именительном падеже, может опускаться.</t>
  </si>
  <si>
    <t>Пей! А мне до лампочки... — Так он чего, — спросил Куров, — отпустил его начальник-то? [Василий Белов. Привычное дело (1967)]</t>
  </si>
  <si>
    <t>Я этого не боюсь, мне до лампочки... — грустно так говорит. [Ольга Тимофеева. Деревня капиталистического труда // «Русский репортер», № 1-2 (080-081), 22-29 января 2009]</t>
  </si>
  <si>
    <t>Выражение впервые фиксируется в его идиоматическом употреблении.</t>
  </si>
  <si>
    <t>1806-1809</t>
  </si>
  <si>
    <t>Ивану Петровичу в Павловске не житье, а рай: квартира великолепная и стол придворный; чего хочешь, того и проси ― все есть: что называется **ешь ― не хочу.** [С. П. Жихарев. Записки современника (1806-1809)]</t>
  </si>
  <si>
    <t>И пора это безобразие было смывать, но везде счетчики, это раньше **лей не хочу**, а теперь каждая капля – копеечка. [Александр Снегирев. Вера (2015)]</t>
  </si>
  <si>
    <t>Зафиксировано, что слот конструкции-глагол в императиве может заполняться только глаголами с итеративной семантикой; квант повторяющего события -- процесс.</t>
  </si>
  <si>
    <t>И пора это безобразие было смывать, но везде счетчики, это раньше лей не хочу, а теперь каждая капля – копеечка. [Александр Снегирев. Вера (2015)]</t>
  </si>
  <si>
    <t>Зафиксировано, что изначальное значение конструкции -- возможность совершать действие, названное глаголом в императиве, неограниченное или очень большое количество раз</t>
  </si>
  <si>
    <t>Зафиксировано, что у конструкции появляется новое значение: действие, названное глаголом в императиве, удобно совершать в каких-либо обстоятельствах, необязательно много раз одним субъектом.</t>
  </si>
  <si>
    <t>Ноги твои на педали положены, с боков тебя рычаги какие-то хитрые поддерживают, **сиди ― не хочу!** [Лев Лунц. Патриот (1923)]</t>
  </si>
  <si>
    <t>Просыпаюсь, слышу: горло полощет. У меня как новое: **глотай — не хочу**, только разок прокашлялся. [Вадим Муратханов. Божистика // «Октябрь», 2013]</t>
  </si>
  <si>
    <t>Зафиксировано, что слот конструкции-глагол в императиве получает возможность заполняться глаголом, называющим не повторяющееся действие</t>
  </si>
  <si>
    <t>На ее лице написана вся славная история профессии, **изучай ― не хочу!** [Иван Рассадников. Каприз // «Сибирские огни», 2012]</t>
  </si>
  <si>
    <t>Зафиксировано, что слот конструкции-глагол в императиве получает возможность заполняться глаголом, называющим состояние</t>
  </si>
  <si>
    <t>Ты бы ещё штурвал смастерил, как на судне. Тогда бы полное сходство было! **Плыви – не хочу!** [Аркадий Мацанов. Бабник // «Ковчег», 2012]</t>
  </si>
  <si>
    <t>V-Imp</t>
  </si>
  <si>
    <t>Зафиксировано, что глагол в императиве теперь может находиться во множественном числе.</t>
  </si>
  <si>
    <t>У меня ближайший водоем - Муринский ручей рядом с проспектом Культуры.. . **Пейте - не хочу.** [https://forum.guns.ru/forummessage/151/676123.html]</t>
  </si>
  <si>
    <t>Типа амнистия после 3 месяцев? **Воруйте - не хочу!** [https://vk.com/wall-76477496_160221]</t>
  </si>
  <si>
    <t>(NP-Dat) Cop не до того</t>
  </si>
  <si>
    <t>Источник конструкции -- указательное местоимение "то", антецедент которого -- клауза, в сфере действия предлога и отрицательной частицы.</t>
  </si>
  <si>
    <t>Пока здравый при тебѣ разсудокъ, узнай количество грѣховъ своихъ, оплакивай оные; ибо при смерти не до того тебѣ будетъ. [Ф. А. Эмин. Путь ко спасенію или разныя набожныя размышленія, въ которыхъ заключается нужнѣйшія къ общему знанію часть Богословія (1766)]</t>
  </si>
  <si>
    <t>Примерное направление побега он знал, но в первые секунды было не до того [Евгений Мосолов. Селивёрст // «Дальний Восток», 2019]</t>
  </si>
  <si>
    <t>Глагол-связка, от которого зависит якорь конструкции, фиксируется только в форме имперфектива</t>
  </si>
  <si>
    <t>(NP-Dat) (Cop) не до того чтобы Cl</t>
  </si>
  <si>
    <t>Зафиксировано, что у якоря конструкции появляется возможность приcоединять финитную клаузу с помощью союза "чтобы"</t>
  </si>
  <si>
    <t>Но старые коллежские секретари, титулярные и надворные советники идут скоро, потупивши голову: им не до того, чтобы заниматься рассматриванием прохожих; они еще не вполне оторвались от забот своих; в их голове ералаш и целый архив начатых и неоконченных дел; им долго вместо вывески показывается картонка с бумагами или полное лицо правителя канцелярии. [Н. В. Гоголь. Невский проспект (1835)] [омонимия не снята]</t>
  </si>
  <si>
    <t>Но с тех пор прошло время, в их жизни много чего произошло, и, поверьте мне, сейчас им совсем не до того, чтобы заниматься глупостями вроде мести. [Александра Маринина. Ангелы на льду не выживают. Т. 1 (2014)] [омонимия не снята]</t>
  </si>
  <si>
    <t>(NP-Dat) (Cop) не до того</t>
  </si>
  <si>
    <t>У конструкции фиксируется новое значение "у участника, названного подлежащим, нет желания делать что-либо".</t>
  </si>
  <si>
    <t>Да, я мог бы иметь большой успех среди дам после моего процесса, но я устал, я очень устал, и мне было совсем не до того… [А. Н. Будищев. Письмо (1901)] [омонимия не снята]</t>
  </si>
  <si>
    <t>Вам сейчас, наверное, не до того, не знаю, надо ли… [Ирина Васюченко. Хромые на склоне // «Ковчег», 2014] [омонимия не снята]</t>
  </si>
  <si>
    <t>Зафиксировано, что глагол-связка, от которого зависит конструкция, получает возможность употребляться в перфективе</t>
  </si>
  <si>
    <t>В ма-чжонг сначала резались взрослые на деньги, потом, когда взрослым надоело или стало не до того, игра перешла во владение детей Николая Алексеевича и всей оравы павлиновской детской коммуны. [Юрий Трифонов. Обмен (1969)] [омонимия снята]</t>
  </si>
  <si>
    <t>Окинуть бы прощальным взором утес, вьющуюся по нему тропку, неровную кромку обрыва на фоне серого неба ― да не до того стало: волна по Волге шла высокая, хлесткая ― ялик болтало нещадно, то подбрасывая вверх и грозя вытряхнуть и груз, и пассажиров в воду, то швыряя вниз и засыпая брызгами. [Гузель Яхина. Дети мои (2018)] [омонимия не снята]</t>
  </si>
  <si>
    <t>У конструкции фиксируется новый вариант якоря -- "не до этого".</t>
  </si>
  <si>
    <t>Я скажу словца два твоему батюшке, так он не повезет тебя в Москву, а твой жених сюда не приедет: ему скоро будет не до этого. [М. Н. Загоскин. Юрий Милославский, или русские в 1612 году (1829)] [омонимия не снята]</t>
  </si>
  <si>
    <t>Хочешь, пойдем покажу. — Не до этого сейчас. — Да, ты прав. [Егор Куликов. Дорога домой // «Дальний Восток», 2019] [омонимия не снята]</t>
  </si>
  <si>
    <t>Зафиксировано, что если у конструкции вариант якоря "не до этого", то от этого якоря не может зависеть финитная клауза.</t>
  </si>
  <si>
    <t>NP не суть важны</t>
  </si>
  <si>
    <t>Зафиксирован композициональный источник конструкции: глагол во множественном числе + краткое прилагательное во множественном числе ("суть" ранее было формой глагола "быть" в третьем лице множественного числа).</t>
  </si>
  <si>
    <t>Где часовней много, там церкви почти везде в небрежении, попы не учены, не рачительны, невежи и пьяны, а потому самому нравы гораздо наклоннее к расколам; из того следует, что расколы по моему примечанию в рассуждении закона не суть важны, но заслуживают важнейшаго внимания политических голов, ибо к чему годится такая секта, которая общественную пользу считает чужою, чуждается, убегает, ненавидит и прячется от общественных прав и узаконении, наблюдая оныя только из корыстолюбия и из страху наказаний в молитвах своих, которые чтут первым долгом Божества, не упоминают имя государя, следовательно, его внутренно не признают власти, видимо считая еретиком; сограждан своих не называют соотчичами, но погаными и врагами, гнушаясь с ними есть, пить, знаться, обходиться и иметь дело. [П. И. Челищев. Путешествие по северу России в 1791 г. (1791)] [омонимия не снята]</t>
  </si>
  <si>
    <t>«Ведь физические движения не суть важны, ― говорит Чиа. [Николай Солдатенков. Каждый зверь после случки печален (2001) // «Аргументы и факты», 14.02.2001] [омонимия не снята]</t>
  </si>
  <si>
    <t>не суть важно</t>
  </si>
  <si>
    <t>Зафиксировано, что краткая форма прилагательного ничинает употребляться в среднем роде.</t>
  </si>
  <si>
    <t>1863-1864</t>
  </si>
  <si>
    <t>и для нас пять рублев не суть важно... [М. Е. Салтыков-Щедрин. Наша общественная жизнь (1863-1864)]</t>
  </si>
  <si>
    <t>Пригласит Владимир Владимирович на какую-то должность Грудинина или нет.  На какую, не суть важно.  Представляю, как возненавидели Грудинина в администрации президента. [Анатолий Салуцкий. Немой набат // «Москва», 2019]</t>
  </si>
  <si>
    <t>это не суть важно</t>
  </si>
  <si>
    <t>Зафиксировано, что единственная возмжная вершина конструкции -- местоимение "это".</t>
  </si>
  <si>
    <t>Важна сущность факта, а сущность законна, потому что естественна, а обстановка ― так ли или иначе совершился факт, это не суть важно; это пустяки! [В. В. Крестовский. Панургово стадо (Ч. 1-2) (1869)]</t>
  </si>
  <si>
    <t>Я так думаю – потеряли, наверное, ключ.  В общем, это не суть важно.  Сразу же связались с заявителем, организовали опознание, в среду утром нашего покойничка опознали как Курмышова Леонида Константиновича, пятьдесят шестого года рождения. [Александра Маринина. Последний рассвет (2013)]</t>
  </si>
  <si>
    <t>Cl не суть важно</t>
  </si>
  <si>
    <t>Зафиксировано, что субъектом предложения, предикатором котого выступает "не суть важно", может быть клауза.</t>
  </si>
  <si>
    <t>А что Оригена анафемствовали ― не суть важно. [А. И. Эртель. Карьера Струкова (1895)]</t>
  </si>
  <si>
    <t>Прав он или нет, не суть важно, однако м-мысль заслуживает уважения. [Анатолий Салуцкий. Немой набат // «Москва», 2019]</t>
  </si>
  <si>
    <t>PP не суть важно</t>
  </si>
  <si>
    <t>Зафиксировано, что субъектом предложения, предикатором котого выступает "не суть важно", может быть именная группа с опущенной вершиной (которая в итоге выглядит как предложная группа).</t>
  </si>
  <si>
    <t>Для меня же «ателье» художника ― это его душа, его личный опыт, отдача скопленного всей жизнью, и в чем это будет выражено, к чему будет привлечено внимание ― не суть важно. [В. Т. Шаламов. Письмо А. И. Солженицыну (1964)]</t>
  </si>
  <si>
    <t>Зафиксировано, что клауза-изменяемая часть конструкции может быть не субъектом в предложении, а зависимым якоря конструкции.</t>
  </si>
  <si>
    <t>В нашем разговоре не суть важно, как он предполагает это делать. [Константин Феоктистов. Новые границы у нас под ногами // «Знание - сила», 1997]</t>
  </si>
  <si>
    <t>И даже не суть важно, что за машина имелась в виду: милицейский «уазик», такси или, допустим, свадебный лимузин. [Игорь Сахновский. Острое чувство субботы. Восемь историй от первого лица (2012)]</t>
  </si>
  <si>
    <t>не суть</t>
  </si>
  <si>
    <t>Зафиксирована новая, более краткая, форма якоря конструкции: "не суть".</t>
  </si>
  <si>
    <t>― Нерусский будешь, значит? Это не суть. Повтори только для ясности... [Л. А. Кассиль. Будьте готовы, Ваше высочество! (1964)]</t>
  </si>
  <si>
    <t>Твёрдые, жидкие, газообразные ― не суть, ибо это всего лишь разные состояния вещества. [В. О. Авченко. Кристалл в прозрачной оправе. Рассказы о воде и камнях (2015)] [омонимия не снята]</t>
  </si>
  <si>
    <t>NP-Instr не пахнет</t>
  </si>
  <si>
    <t>Зафиксировано композициональное значение конструкции.</t>
  </si>
  <si>
    <t>1779-1790</t>
  </si>
  <si>
    <t>Книга казначейская пошла на ревизию, но устерсами не пахнет. [А. Н. Радищев. Путешествие из Петербурга в Москву (1779-1790)] [омонимия не снята]</t>
  </si>
  <si>
    <t>― Да ничем не пахнет, ― возразил Игорь Васильевич, потягивая воздух носом, ― Сначала, конечно, пахло, дай бог каждому, только не крематорием, а, скорее, шашлыками. [А. Б. Сальников. Отдел // «Волга», 2015]</t>
  </si>
  <si>
    <t>Возникает идиоматическое значение конструкции: нет свидетельств, что какое-либо явление существует в каком-либо месте/времени.</t>
  </si>
  <si>
    <t>В прошлом ее патронировал печально известный Баденохский Волк, и поэтому законом тут и не пахло. [И. В. Мальцев. Путешествие виски: Легенды Шотландии (1821)] [омонимия не снята]</t>
  </si>
  <si>
    <t>Кстати, политическими протестами сейчас в стране и не пахнет. [Анатолий Салуцкий. Немой набат // «Москва», 2019]</t>
  </si>
  <si>
    <t>NP-Gen духом/духа/духу не пахнет</t>
  </si>
  <si>
    <t>Зафиксирована идиоматизация заполнения валентности конструкции словом "дух". Значение новой идиомы -- отсутствие где-либо человека или множества людей. Наименование этого человека или общности -- зависимое слова "дух".</t>
  </si>
  <si>
    <t>Чтоб и духу вашего здесь не пахло! [М. Н. Загоскин. Юрий Милославский, или русские в 1612 году (1829)] [омонимия не снята]</t>
  </si>
  <si>
    <t>В этих статьях большевистским духом и не пахнет. [Геннадий Горелик. Андрей Сахаров. Наука и свобода (2004)] [омонимия не снята]</t>
  </si>
  <si>
    <t>чтоб NP-Gen духом/духа/духу не пахло</t>
  </si>
  <si>
    <t>Зафиксирован новый элемент якоря -- подчинительный союз "чтобы".</t>
  </si>
  <si>
    <t>И чтобы и духом ее больше не пахло. [А. М. Коллонтай. Василиса Малыгина (1927)]</t>
  </si>
  <si>
    <t>Зафиксировано, что конструкция начинает использоваться как косвенный речевой акт: требование уйти откуда-либо</t>
  </si>
  <si>
    <t>от NP-Gen не пахнет</t>
  </si>
  <si>
    <t>Зафиксирована новая валентность: указание на то, по какому источнику можно сделать вывод об отсутствии чего-либо.</t>
  </si>
  <si>
    <t>«Листки газеты, ― сказал он, ― не пропитаны кровью, от них не пахнет динамитом»… [Народная воля. Социально-революционное обозрение. №№ 8-9 // «Народная воля», 1882]</t>
  </si>
  <si>
    <t>Две женщины и мужчина в постели, мужчина старается «войти» в одну, другая «раскрывает» ее ему в помощь. Эротикой от этого описания не пахнет. Примерно такое можно читать в специальных женских журналах: про детей, про косметику, про бытовое устройство, про подробности сексуальных отношений. [М. С. Харитонов. Стенография конца века. Из дневниковых записей (1998)]</t>
  </si>
  <si>
    <t>NP-Nom не улыбается NP-Dat</t>
  </si>
  <si>
    <t>Композициональное употребление.</t>
  </si>
  <si>
    <t>1848-1863</t>
  </si>
  <si>
    <t>Да ведь и Иван Самойлыч молодой человек, а он уж и хил, и желт, и согнут, да и актриса ему не улыбается… [М. Е. Салтыков-Щедрин. Невинные рассказы / Запутанное дело (1848-1863)]</t>
  </si>
  <si>
    <t>Капитонов не улыбается, ему не кажется, что это забавно. [Сергей Носов. Фигурные скобки (2015)]</t>
  </si>
  <si>
    <t>Идиоматичное употребление конструкции: негативная оценка действия или события, которое необходимо совершить кому-либо с негативными последствиями для себя</t>
  </si>
  <si>
    <t>Им не улыбается мысль, что лучше быть первым в деревне, нежели вторым в Риме; им не приходит в голову даже то совершенно естественное предположение, что, сделавшись участником столичного движения, они не только не внесут никакой новой струи, но сами утонут в департаментском соре. [М. Е. Салтыков-Щедрин. Письма о провинции (1868-1870)]</t>
  </si>
  <si>
    <t>Мне не улыбается весь дом вокруг обходить, чтобы только с ними побеседовать. [А. Б. Сальников. Петровы в гриппе и вокруг него // «Волга», 2016]</t>
  </si>
  <si>
    <t>NP-Nom не улыбается</t>
  </si>
  <si>
    <t>Употребление в идиоматичном значении с существительными, обозначающими объекты, которые могут и не мочь "улыбаться" в буквальном смысле.</t>
  </si>
  <si>
    <t>Им совсем не улыбается перспектива исповедоваться полковнику Гуменюку. [К. Преображенский. Митрополит Лавр усыпляет бдительность (04.02.2006) // «Наша страна» (Аргентина), 2006]</t>
  </si>
  <si>
    <t>не Adv улыбается</t>
  </si>
  <si>
    <t>Между частями выражения может стоять модификатор.</t>
  </si>
  <si>
    <t>Хотя мне эта комбинация не особенно улыбается, но, вероятно, придется прибегнуть к ней. [В. О. Ковалевский, С. В. Ковалевская. Письмо А. О. Ковалевскому (1874)]</t>
  </si>
  <si>
    <t>Мне не слишком улыбалась перспектива вырывать Бориса Леонидовича у подвыпивших гостей, однако, когда я пришла, от них и следа не осталось. [Зоя Масленикова. Разговоры с Пастернаком (2001)]</t>
  </si>
  <si>
    <t>не улыбается Cl</t>
  </si>
  <si>
    <t>Употребление в идиоматичном значении с глагольными предикатами.</t>
  </si>
  <si>
    <t>[Телемахов Прокопий Евсеевич (муж, профессор)] Мне вовсе не улыбается, Валентин Николаевич, быть вестником несчастья и врываться в вашу… идиллию. [Л. Н. Андреев. Профессор Сторицын. Драма в четырех действиях (1912)]</t>
  </si>
  <si>
    <t>NP-Nom улыбается NP-Dat</t>
  </si>
  <si>
    <t>Выражение проявляет свойства отрицательно поляризованной единицы. "Не" из части якоря конструкции становится лицензором</t>
  </si>
  <si>
    <t>Это мне не улыбается ― да и вряд ли кому вообще улыбается. [Г. С. Эфрон. Дневники. Т. 1. 1941 (1941)]</t>
  </si>
  <si>
    <t>[zhabunin (nick)] Почему-то и мне не хочется ехать в маршрутке, водитель которой за рулем уже 12-й час, да и электромонтажнику висеть на «когтях» по 12 часов вряд ли улыбается. [Форум: Обсуждение статьи М. Прохорова «О «надомниках» и трудоголиках. Или как они живут совместно в нашем ТК» (2010)]</t>
  </si>
  <si>
    <t>VP по уши NP-Acc</t>
  </si>
  <si>
    <t>Зафиксировано первое композициональное употребление</t>
  </si>
  <si>
    <t>. Ну… а ты, бестия, остолбенела, а ты не впилась братцу в харю, а ты не раздёрнула ему рыла по уши… [Д. И. Фонвизин. Недоросль (1782)] [омонимия снята]</t>
  </si>
  <si>
    <t>Видел, как вылавливали брошенную в таз с кислым молоком монету, чуть ли не по уши погружая в него лицо, солидные на вид люди. [В. А. Марушин. По реке Белой к жемчужине Урала -- пещере Шульган-Таш (2016)] [омонимия не снята]</t>
  </si>
  <si>
    <t>VP по-уши (в NP-Loc)</t>
  </si>
  <si>
    <t>Зафиксировано некомпозициональное употребление: высокая степень состояния, названного какой-либо глагольной группой</t>
  </si>
  <si>
    <t>Накупилъ множество щегольскихъ бездѣлокъ, которыми всегда, когда ходилъ къ моей прекрасной, набивалъ себѣ карманы, и такъ мы, плавая по-уши въ любовныхъ сладостяхъ, нѣсколько времени спокойно жили, но случившееся вскорѣ потомъ нещастіе чють насъ вѣчно не разлучило. [Н. Ознобишин (перевод). Нещастной французъ, или жизнь кавалера Беликурта, описанная имъ самимъ (1764)] [омонимия не снята]</t>
  </si>
  <si>
    <t>Боб, я по уши влюбился в дочь умершего владельца квартиры. [Анатолий Салуцкий. Немой набат // «Москва», 2019] [омонимия не снята]</t>
  </si>
  <si>
    <t>VP по уши (в NP-Loc)</t>
  </si>
  <si>
    <t>Зафиксировано, что выражение начинает употребляться не только с глаголами состояния, но и с глаголами вхождения в состояние</t>
  </si>
  <si>
    <t>― А вот ступай прямо-то, большой троицкой дорогой, да и поверни в сторону, как дойдешь вон до той избушки, что на сторону-то пошатнулась, а как повернешь, то и увидишь пригорок, а как пригорок-то увидишь, так и обойди его, да смотри не забреди в болото: и не великонько оно, а по уши увязнешь; а как обойдешь пригорок, так и увидишь гумна, а за гумнами лес. [К. П. Масальский. Стрельцы (1832)] [омонимия не снята]</t>
  </si>
  <si>
    <t>― Не хватало ещё увязнуть здесь по уши». [Сергей Шикера. Египетское метро // «Волга», 2016] [омонимия не снята]</t>
  </si>
  <si>
    <t>VP по уши (в NP-Acc)</t>
  </si>
  <si>
    <t>Зафиксировано, что ыражение начинает употребляться с глаголами-каузативами</t>
  </si>
  <si>
    <t>Но любопытство-то еще пуще страха; приподнялся я, глаза вытаращил, а сам вдруг похолодел весь, так-таки застыл, точно меня в лед по уши зарыли, а отчего? [И. С. Тургенев. Собака (1847-1852)] [омонимия не снята]</t>
  </si>
  <si>
    <t>― Чистый, подозрительно чистый, ― сказал Митя, ― вроде бы и не чувствуешь, но уделан я на самом деле по уши. [Н. Б. Черных. Слабые, сильные. Часть вторая // «Волга», 2015] [омонимия не снята]</t>
  </si>
  <si>
    <t>NP по уши (NP-Dat)</t>
  </si>
  <si>
    <t>Зафиксировано, что выражение может характеризовать существительное.</t>
  </si>
  <si>
    <t>Но мир рассуждал по-своему: старики указывали на погоду, да на мороз, да на метель, которая с полудня опять стала разыгрываться, да еще на голову служивого, которая пришла мало-помалу именно в то положение, когда море бывает по колено, а лужа по уши. [В. И. Даль. Мертвое тело (1857)] [омонимия не снята]</t>
  </si>
  <si>
    <t>Мебель эта детская, тушенка… Поешь, ― она протянула Крылову печенье, на котором влажной, словно поцелованной горкой блестела икра, и тому сразу вспомнился работодатель, по уши в счастье. [О. А. Славникова. 2017 (2017)] [омонимия не снята]</t>
  </si>
  <si>
    <t>extension</t>
  </si>
  <si>
    <t>Зафиксировано, что у выражения появляется значение "глубокий, большое количество" в случае сочетаемости с существительными</t>
  </si>
  <si>
    <t>Мне снег по колено, а ему — по уши. [Борис Чипчиков. Я сам выбирал себе папу // «Ковчег», 2012] [омонимия не снята]</t>
  </si>
  <si>
    <t>Зафиксировано, что выражение в значении "глубокий" может присоединяться непрямое дополнение в дательном падеже.</t>
  </si>
  <si>
    <t>А сам знаешь, какой на Галерной реверанс: ручьи от самого памятника Петру бегут в Неву, грязь и жидкие лужи лошадям по уши.
 [А. К. Виноградов. Повесть о братьях Тургеневых (1932)]</t>
  </si>
  <si>
    <t>Зафиксировано, что выражение может использоваться не только применительно к одушевленным, но и применительно к неодушевленным существительным в значении "практически полностью в чем-либо"</t>
  </si>
  <si>
    <t>Вырвалась из кустов машина — вся по уши в грязи, но с красной победной веточкой смородины на радиаторе. [Федор Абрамов. Дом (1973-1978)] [омонимия не снята]</t>
  </si>
  <si>
    <t>Сейчас банки и страховые компании уже по уши в ГКО. [Петр Акимов. Плата за страх (2000)] [омонимия не снята]</t>
  </si>
  <si>
    <t>Adj по уши</t>
  </si>
  <si>
    <t>Выражение может характеризовать прилагательное.</t>
  </si>
  <si>
    <t>Когда его посылали на бессмысленно опасное дело на воде, то он говорил: «Я еще не болван, я еще не по уши деревянный, чтоб туда идти!» [Виктор Конецкий. Вчерашние заботы (1979)] [омонимия не снята]</t>
  </si>
  <si>
    <t>… Стоило торопиться домой, чтобы сразу оказаться по уши виноватым. [Игорь Сахновский. Человек, который знал все (2007)] [омонимия не снята]</t>
  </si>
  <si>
    <t>VP по уши</t>
  </si>
  <si>
    <t>Выражение получает значение "почти полностью, в высшей точке: достигает предела и полностью заполняет".</t>
  </si>
  <si>
    <t>― Сгорим, сгори-им ведь, паразит он проклятый, утюх-та не выключен, и ушел, чтоб его машина переехала, опять наберется по уши, висельник окаянный!.. [Владислав Крапивин. Болтик (1976)] [омонимия не снята]</t>
  </si>
  <si>
    <t>Компьютер был по уши забит старыми Аркашиными материалами. [И. Ю. Стогов. 1000000 евро, или Тысяча вторая ночь 2003 года (2003)] [омонимия не снята]</t>
  </si>
  <si>
    <t>не очень Adj/Adv/VP</t>
  </si>
  <si>
    <t>Зафиксировано композициональное употребление выражения.</t>
  </si>
  <si>
    <t xml:space="preserve">А за 60 червонных вино доброе, токмо не очень старое ― лет двух и трех. [В. Н. Татищев. Письмо Я. В. Брюсу (1717)] </t>
  </si>
  <si>
    <t>Как-то не очень приятно слышать, читать, смотреть о «физруках», как о полуопустившихся, деградирующих и т. д. [Форум: Мужчина в школе (Взгляд на Мужчину в школе снаружи и изнутри) (2011)]</t>
  </si>
  <si>
    <t>(VP) не очень (VP)</t>
  </si>
  <si>
    <t>Зафиксированы употребления, где "не очень" является адъюнктом глагольной группы, причём всегда стоит после глагола. Отражает слабую степень качества действия.</t>
  </si>
  <si>
    <t>И боцман на «Голубчике» больше пугал словами, а дрался не очень, да и с большим рассудком…</t>
  </si>
  <si>
    <t>Признаемся, получилось не очень и в этом не только твоя, но и моя вина, секс без любви не для меня, пока, по крайней мере. [Гузалия Ариткулова. Контур, выжженный на асфальте // «Бельские просторы», 2018]</t>
  </si>
  <si>
    <t>NP не очень</t>
  </si>
  <si>
    <t>Зафиксировано употребление "не очень" как предиката (также в качестве аргументов таких глаголов как "оказаться", "быть" и пр.).</t>
  </si>
  <si>
    <t>― Стихи не очень, но для твоего возраста сойдет. [Лев Дурнов. Жизнь врача. Записки обыкновенного человека (2001)]</t>
  </si>
  <si>
    <t>Была у них дома, правда, такая штука, похожая на термос, которая могла превратить что угодно в газированную воду, Петров с отцом даже чай делали газированный, но газированный чай оказался не очень, мать только накричала на них, что зря потратили патрон. [А. Б. Сальников. Петровы в гриппе и вокруг него // «Волга», 2016]</t>
  </si>
  <si>
    <t>NP-ACC не напасешься</t>
  </si>
  <si>
    <t>Зафиксировано, что конструкция возникает из сочетания частицы "не" и глагола "напастись", который значит "запастись чем-либо в определенном заданном контекстом количестве, обычно большом". При этом второе лицо глагола передает универсальность отсутствия возможности сделать что-либо.</t>
  </si>
  <si>
    <t>1825-1833</t>
  </si>
  <si>
    <t>Никитино уменье не полюбилось соседним ребятам, которых он день при дне дочиста обыгрывал, так что они не могли у себя напастись бабок. [О. М. Сомов. Сказка о Никите Вдовиниче (1825-1833)]</t>
  </si>
  <si>
    <t>Свечей не напасешься, а керосин вроде был. [Наталья Радулова. Как выживали в 1990-е. Воспоминания из соцсетей (23.03.2020) // 2020] [омонимия не снята]</t>
  </si>
  <si>
    <t>напастись</t>
  </si>
  <si>
    <t>Зафиксировано, что глагол "напастись" может употребляться вне контекстов, лицензирующих NPI</t>
  </si>
  <si>
    <t>Мария Александровна рассказывала нам потом, что на их улице была вода так высока, что собаки плавали, и что они напаслись съестными припасами на случай наводнения. [Ю. П. Перцова. Дневник Юлии Петровны Перцовой, 1838--1839 (1839)]</t>
  </si>
  <si>
    <t>Из приказа по Московскому Военному округу видно, что на потребности нашего фронта нужно в сутки муки свыше 12 милл. пудов, крупы 150 000 пуд., овса и ячменя около 1 милл. пуд., скота в сутки 10 000 голов. Вот тут и напасись! [ Н. П. Окунев. Дневник Москвича (1917)]</t>
  </si>
  <si>
    <t>Зафиксировано, что глагол "напастись" может употребляться только в контакстах, лицензирующих NPI</t>
  </si>
  <si>
    <t>Где напасешься на каждый миг оглядки и силы воли, чтоб остановиться у всякой покатости и не увлечься по ее склону? [И. А. Гончаров. Обломов (1859)]</t>
  </si>
  <si>
    <t>Второе: салфеток побольше, ибо местная кухня богата ароматным бараньим жиром ― разве на него напасешься этих изысканных крахмальных тряпочек! [Дина Рубина. Русская канарейка. Блудный сын (2014)]</t>
  </si>
  <si>
    <t>не напасешься на NP-Acc</t>
  </si>
  <si>
    <t>Зафиксировано, что у якоря конструкции может быть зависимая группа предлога "на". Она означает того, для кого количество квантифицируемых объектов не является достаточным при определенном условии.</t>
  </si>
  <si>
    <t>― Да что же, брат, делать? На вашу братью не напасешься. У меня и поважнее вас, да ждут. [В. А. Соллогуб. История двух калош (1839)] [омонимия не снята]</t>
  </si>
  <si>
    <t>Стычки порой были нешуточными, и он понял, что не пускают туда, где хорошо, а злачных мест на всех не напасёшься. [Аркадий Мацанов. Мастер и подмастерье (2016) // «Ковчег», 2015] [омонимия не снята]</t>
  </si>
  <si>
    <t>Зафиксировано, что в качестве квантифицируемого объекта используется неисчисляемое существительное.</t>
  </si>
  <si>
    <t>В больших их меньше слышно оттого, что не напасешься времени слушать и повторять слышанное. [И. А. Гончаров. Фрегат «Паллада» (1855)]</t>
  </si>
  <si>
    <t>Стоит одному помочь, как подваливают десятки жаждущих и страждущих. На всех жалости не напасешься. Да сейчас вообще не до них. [Ольга Новикова. Каждый убивал // «Сибирские огни», 2012] [омонимия не снята]</t>
  </si>
  <si>
    <t>NP-ACC не напастись</t>
  </si>
  <si>
    <t>Зафиксирован вариант якоря "не напастись".</t>
  </si>
  <si>
    <t>У всех нас ужасный насморк, не напастись тряпок. [Ю. А. Кривулина (Хордикайнен). Дневник (1944)]</t>
  </si>
  <si>
    <t>На нас, понятно, одежды было не напастись, на кобыл таких. [Т. Н. Толстая. Войлочный век (2015)]</t>
  </si>
  <si>
    <t>ни в зуб/ни в зуб ногой/ни в зуб толкнуть VP</t>
  </si>
  <si>
    <t>Зафиксированные употребления выражения и всех его вариантов в значении "вообще, абсолютно" с глаголом (обычно глагол знания) под отрицанием.</t>
  </si>
  <si>
    <t>Я **ни в зуб не знал** ничего. [Г. Ф. Квитка-Основьяненко. Пан Халявский (1839)]</t>
  </si>
  <si>
    <t>— Дур-р-рак! Выгоды **ни в зуб не понимаешь**! «Что, жалко, да?» [Фёдор Ошевнев. Записки букиниста (2016) // «Ковчег», 2015]</t>
  </si>
  <si>
    <t>ни в зуб/ни в зуб ногой/ни в зуб толкнуть</t>
  </si>
  <si>
    <t>Зафиксированные употребления выражения и всех его вариантов в функции предиката без дополнительных глаголов.</t>
  </si>
  <si>
    <t>Ведь он только по полям с собаками ездит; ведь он по хозяйству **ни в зуб толкнуть**… [А. В. Сухово-Кобылин. Свадьба Кречинского (1855)]</t>
  </si>
  <si>
    <t>Еще парни не любили спортсменок и спортсменов, некоторые из которых и правда были **ни в зуб ногой**, но как-то их все время продвигали, как защитников института от враждебных сил других институтов посредством физической силы и выносливости. [А. Б. Сальников. Петровы в гриппе и вокруг него // «Волга», 2016]</t>
  </si>
  <si>
    <t>Зафиксированные употребления выражения и всех его вариантов с выражением с помощью предложной группы (обычно с "по" или "в") той области знаний, в которой не разбирается референт подлежащего.</t>
  </si>
  <si>
    <t>У нас вот обычная участковая педиатор, стаж 32 года, коим кичится не дай-то Бог, а вот в ГВ **ни в зуб ногой**, ― в месяц хотела нас на докорм смесью посадить и стращала по-поводу того, что я детке грудь при каждом визге предлагаю. [Наши дети: Малыши до года (форум) (2004)]</t>
  </si>
  <si>
    <t>ни в зуб/ни в зуб ногой/ни в зуб толкнуть NP</t>
  </si>
  <si>
    <t>Контаминация выражения и синтаксиса глагола "знать" под отрицанием. "Ни в зуб" заимствует себе новую валентность именной группы и её управление.</t>
  </si>
  <si>
    <t>Человек притом темный, **законов ни в зуб** и только знает бормочет: «Знать не знаю, ведать не ведаю», ― чем под конец раздражает и присяжных, и судей. [Ф. М. Достоевский. Дневник писателя. 1876 год (1876)]</t>
  </si>
  <si>
    <t>Главное ― эти экзамены сдать, ведь я **что русский, что математику ни в зуб ногой**, но Маргарита на сто процентов подстрахует, даже позвонила куда надо, у нее же везде схвачено! [Алексей Моторов. Преступление доктора Паровозова (2013)]</t>
  </si>
  <si>
    <t>пива/каши с NP-Instr не сваришь</t>
  </si>
  <si>
    <t>Зафиксировано идиоматическое употребление выражения в его значении "невозможно договориться или найти общий язык"</t>
  </si>
  <si>
    <t>[Иван Григорьевич Падчерицын (муж, уездный судья)] Да так и надо; а не то ведь с вами пива не сваришь. [Д. Т. Ленский. Хороша и дурна, и глупа и умна (1833)]</t>
  </si>
  <si>
    <t>Если человек врет, то с ним каши не сваришь. [Марина Аглиуллина. «Сегодня это совсем другая форма»: художники о состоянии стрит-арта (07.2016) // Афиша Daily, 2016]</t>
  </si>
  <si>
    <t>пива не сваришь</t>
  </si>
  <si>
    <t>Зафиксировано употребление варианта выражения "пива не сваришь" (далее употребляется только "каши не сваришь").</t>
  </si>
  <si>
    <t>[Иван Григорьевич Падчерицын (муж, уездный судья)] Да так и надо; а не то ведь с вами пива не сваришь. [Д. Т. Ленский. Хороша и дурна, и глупа и умна (1833)] [омонимия не снята]</t>
  </si>
  <si>
    <t>Теперь взять в отношении светскости: говорит превосходно по-французски, отлично играет на фортепиано, танцует, а Петербург образовал из него ловкого кавалера чего же больше нужно для света, счастье право удачное дано ему воспитание я завидую и даже очень следовательно я несчастлив, счастливым только тот может назваться кто доволен своим состоянием а я им не доволен да впрочем меня хоть озолоти так все одно будет пословица говорит «с дураком пива не сваришь».*** [К. А. Березкин. Дневник (1949)] [омонимия не снята]</t>
  </si>
  <si>
    <t>не сваришь каши</t>
  </si>
  <si>
    <t>Расположение элементов выражения в другом порядке.</t>
  </si>
  <si>
    <t>1879-1883</t>
  </si>
  <si>
    <t>Не знаю, по-мужицки или по-барски поступаете Вы, без всякого основания претендуя на то, что я не приехал и что со мной не сваришь каши. [Г. И. Успенский. Письма (1879-1883)]</t>
  </si>
  <si>
    <t>Не сварив каши с московскими кинематографистами, пишет остросюжетные автобиографические романы. [В. О. Авченко. Правый руль (2009)] [омонимия не снята]</t>
  </si>
  <si>
    <t>каши XP не сваришь</t>
  </si>
  <si>
    <t>Зафиксировано, что части якоря могут разрываться другой составляющей.</t>
  </si>
  <si>
    <t>― Нет, ― сурово сказал Аркадий Васильевич, ― зря просите, каши с вами не сварить. [А. Л. Бостром. Воскресный день сельского хозяина (1897)] [омонимия не снята]</t>
  </si>
  <si>
    <t>И что каши с ними не сваришь. [Наринэ Абгарян. Всё о Манюне (сборник) (2012)] [омонимия не снята]</t>
  </si>
  <si>
    <t>Зафиксировано употребление выражения в его значении "препятствование достижению цели".</t>
  </si>
  <si>
    <t>Я просто ничего не понимаю… точно в сумасшедший дом попал… и хочется только бежать отсюда, и как можно скорее… ― Да вот и уезжай в Швецию. Я тоже подумываю махнуть туда же, побыть со своими (его семья находилась в Стокгольме). Конечно, ты и сам видишь, что здесь каши не сваришь. И я думаю, что скоро и весь «Сименс и Шуккерт» будет реквизирован, и мне нечего тут делать. Вот я и поеду в Стокгольм и там будем с тобой разбираться во всем этом. Ведь, право же, эта чепуха не может долго тянуться. [Г. А. Соломон (Исецкий). Среди красных вождей (1930)] [омонимия не снята]</t>
  </si>
  <si>
    <t>Но даже если поменять местами латиноамериканцев «Спартака» и «Порту», у которого они повыше классом, со спартаковской обороной всё равно каши не сваришь. [Sportbox.ru. 2011]</t>
  </si>
  <si>
    <t>А не пойти ли вам строем в известные дали, а? [коллективный. В восемь утра иду через двор (2015)]</t>
  </si>
  <si>
    <t>не V-inf бы (NP-Dat)</t>
  </si>
  <si>
    <t>Зафиксированные употребления источника конструкции: консексвент условного предложения, стоящий в инфинитиве. Субъект может употребляться в дательном падеже.</t>
  </si>
  <si>
    <t>а съ другой, естьли оставлять ихъ дома, не подать бы способу къ оставленію и дѣйствительно язвенныхъ [Описаніе моровой язвы, бывшей въ столичномь городѣ Москвѣ съ 1770 по 1772 годъ (1775)]</t>
  </si>
  <si>
    <t>Конечно, Циндилиндеру никогда не спастись бы, если бы не нашелся свидетель, горбатый Иглицкий, который жил в том же доме на втором этаже, наискосок от жилья Циндилиндера. [К. И. Чуковский. Серебряный герб (1936)]</t>
  </si>
  <si>
    <t>Зафиксированные употребления консеквента условного предложения без антецедента, подразумеваемый антецедент: "если положение вещей будет хорошим для говорящего".</t>
  </si>
  <si>
    <t>Меня поймают, и тогда как у меня нет ни полушки денег, то не лишиться бы и последнего балахона». [В. Т. Нарежный. Российский Жилблаз, или Похождения князя Гаврилы Симоновича Чистякова (1814)]</t>
  </si>
  <si>
    <t>Нам из-за этого ворона ученого не забыть бы чего,  -- проворчал Фарид, возвращаясь к упаковке рюкзаков. [О. А. Славникова. 2017 (2017)]</t>
  </si>
  <si>
    <t>Зафиксированные употребления выражения, где субъект инфинитива не обозначает говорящего - обычно он выражен.</t>
  </si>
  <si>
    <t>Протяните по морю железные цепи, загородите цепями море, не проплыть бы, не проехать Вещему Олегу!»  [Н. А. Полевой. Пир Святослава Игоревича, князя киевского (1843)]</t>
  </si>
  <si>
    <t>1950-1953</t>
  </si>
  <si>
    <t>Ой, не остудиться бы тебе! [Л. М. Леонов. Русский лес (1950-1953)]</t>
  </si>
  <si>
    <t>У инфинитива зафиксирована возможность быть несовершенного вида</t>
  </si>
  <si>
    <t>На высоком лбу дедушки пробежали неприятные, тревожные морщины, важного барина как-то конвульсивно передернуло, Максим Назарыч озабоченно нахмурился… ― Не пускать бы его… [А. И. Эртель. Записки Степняка (1883)]</t>
  </si>
  <si>
    <t>Сапоги не тачать бы -- но в точности         повторяется след на песке. [Н. Б. Черных. Шесть рецензий // «Волга», 2015]</t>
  </si>
  <si>
    <t>Конструкция впервые фиксируется в составе идиомы "прочитать от корки до корки".</t>
  </si>
  <si>
    <t>доска</t>
  </si>
  <si>
    <t>Композициональное употребление — доски использовались в качестве обложек книг.</t>
  </si>
  <si>
    <t>Книга Іоанна Дамаскина, въ десть, **въ доскахъ**, обложена кожею вишневою, верхняя доска басмена золотомъ. [Роспись пречистые Богородицы Иверского монастыря образам Божиим, и книгам, и сосудам серебряным и иным вещам, что из Иверского монастыря бывший Никон патриарх взял в прошлых годах к себе в Воскресенский и в Крестный монастыри (1667)]</t>
  </si>
  <si>
    <t>Нижняя доска и корень оболочено аксамитомъ золотнымъ; застежки съ половины и у нижней **доски** средина и науголники золотые гладкіе. [Опись [Московского Успенского собора], составленная в 1701 г (1701)]</t>
  </si>
  <si>
    <t>VP от доски до доски</t>
  </si>
  <si>
    <t>Конструкция, адъюнкт глагола, употребляющаяся только в связи с той или иной формой прочитать книгу — композиционально обозначает, что книга прочитана от первой до последней страницы.</t>
  </si>
  <si>
    <t>1808-1822</t>
  </si>
  <si>
    <t>Надобно чтобъ книги раздѣлены были по роду содержаній ихъ, и ни одна изъ нихъ не оставалась безъ прочтенія цензоромъ **отъ доски до доски**  [А. С. Шишков. Записки, мнѣнія и переписка адмирала А. С. Шишкова. Томъ II. Домашнія записки (1808-1822)]</t>
  </si>
  <si>
    <t>1978-1982</t>
  </si>
  <si>
    <t>Они молодцы, новомирцы ― выпустили девятый номер такой, что читается от доски до доски. [Виктор Астафьев. Зрячий посох (1978-1982)]</t>
  </si>
  <si>
    <t>VP от крышки до крышки</t>
  </si>
  <si>
    <t>По мере выхода из использования досок обложку книги начали называть крышкой — это привело к лексическим изменениям в якоре.</t>
  </si>
  <si>
    <t>Порядок учения, впрочем, еще безобразнее: софта поочередно штудирует по одному предмету и не покидает какого-нибудь учебника до тех пор, пока не выучит его **от крышки до крышки**, и тогда уже принимается за другой.  [В. Д. Смирнов. Турецкая цивилизация, ее школы, софта, библиотеки, книжное дело (1) // «Вестник Европы», No 8. 1876]</t>
  </si>
  <si>
    <t>Все, что в ней изображено, все **от крышки до крышки** происходило на моих глазах… [А. П. Чехов. Драма на охоте (1884)]</t>
  </si>
  <si>
    <t>Еще одним вариантом обозначения обложки становится корка — это тоже получает отражение в якоре.</t>
  </si>
  <si>
    <t>Хотя этот план ему и не удался, но он устроил свой дом совершенно на английский лад и не только сам ежедневно прочитывал **от корки до корки** «Times», но и заставлял сына своего с самых ранних лет читать эту газету.  [Э. К. Ватсон. Артур Шопенгауэр. Его жизнь и научная деятельность (1891)]</t>
  </si>
  <si>
    <t>Но рассказывать о романе бесполезно, там нет бессодержательных страниц — это надо читать **от корки до корки** [Олег Афанасьев. О Союзе писателей // «Ковчег», 2014]</t>
  </si>
  <si>
    <t>Происходит метафоризация, и теперь конструкция может применяться не только к тому, у чего есть «корки»: например, журнал, или, в современных контекстах, Википедия.</t>
  </si>
  <si>
    <t>Скорее всего, вопрос так и повиснет в Интернете, потому что нет ни одного человека в мире, способного перечитать всю Википедию **«от корки до корки»** на 260 разных языках и проверить все изложенные в ней факты. [Википедии исполнилось 18 лет // Парламентская газета, 2019.01.15]</t>
  </si>
  <si>
    <t>Происходит расширение сочетающихся контекстов: теперь конструкция описывает не только прочтение книги, но и изучение, пересказ ее материала. Это ведет к появлению более широкого количества глаголов в VP: не только прочитать, но и пересказать, перевести, рассказать.</t>
  </si>
  <si>
    <t>В хрёстных была Секлетинья, а в отцах Семён Родионыч Лешонков, мужик божественный, библию **знал от корки до корки**, потом он известен был больше по фамилии Зайцева, потому что фамилию природную свою нашёл по леригии неподходящей, о чём и подавал в своё время прошенье не кому-нибудь, а прямо царю.  [С. А. Клычков. Князь мира (1927)]</t>
  </si>
  <si>
    <t>«Самоучитель **выучил от корки до корки**, этими фразами и говорю, — заявил Мутко журналистам. [Отдел «Спорт». Мутко: подаренный Путиным самоучитель по английскому выучил от корки до корки // gazeta.ru, 16.06.2017]</t>
  </si>
  <si>
    <t>Происходит расширение семантики самой конструкции: теперь она указывает, что действие выполняется в максимально возможной степени, «от начала до конца», привязка к книге растворяется еще сильнее</t>
  </si>
  <si>
    <t>Сколько раз вам указывалось, чтобы анкеты **заполнялись от корки до корки…**  [Александр Вампилов. Провинциальные анекдоты. Трагикомическое представление в двух частях (1968)]</t>
  </si>
  <si>
    <t>По мнению специалиста, закон доработан **от корки до корки**. [Анна ГЛУШКОВА. На Ставрополье за усыновление детей заплатят по 150 тысяч // Комсомольская правда, 28.10.2009]</t>
  </si>
  <si>
    <t>(VP) не кто/что иной/иное, как NP</t>
  </si>
  <si>
    <t>Зафиксировано употребление в конструкциях определения; валентность глагольной группы заполняется или формами глагола &lt;i&gt;быть&lt;/i&gt;, или глаголами определения (&lt;i&gt;оказываться&lt;/i&gt;, &lt;i&gt;значить&lt;/i&gt;, &lt;i&gt;представляться&lt;/i&gt;, т.д.)</t>
  </si>
  <si>
    <t>1730-1735</t>
  </si>
  <si>
    <t>4. Законоиздание хотя состоит единственно во власти монаршеской, как о том выше показано, однако ж разсудя намерение государя не в чем ином, как к пользе обсчей и справедливости состоит, так оное точно наблюдать должно. [В. Н. Татищев. Произвольное и согласное разсуждение и мнение собравшегося шляхетства руского о правлении государственном (1730-1735)]</t>
  </si>
  <si>
    <t>Я смею думать, что проповедь бесстрашной любви есть не что иное, как „le monde a l” envers“, бессознательная подготовка имманентной религии, антитрансцендентальной, т. е. антихристианской, т. е. [протоиерей И. Ю. Рогатенюк. Религиозно-философские идеи славянофилов и вопрос соотношения Божественных свойств благости и правосудия // «Церковь богословие история», 2020]</t>
  </si>
  <si>
    <t>не кто/что иной</t>
  </si>
  <si>
    <t>Зафиксировано употребление якоря не в именительном падеже</t>
  </si>
  <si>
    <t>Но не надобно иному дожидаться и старости, чтобы быть нещастнымъ; и въ самомъ лучшемъ цвѣтѣ его жизни, непріятель, огонь, болѣзни и смерть лишаютъ его вдругъ всѣхъ удовольствій; но и во время нашего благополучія мы онымъ не весьма бываемъ довольны; сердцу нашему всегда чего нибудь не достаетъ; я думаю, что не чего иного, какъ спокойства, которое одна только добродѣтель родить можетъ.</t>
  </si>
  <si>
    <t>Во всем этом нет ничего особенно дурного, пока вы выстраиваете небольшую организацию заговорщиков, которые могут положиться друг на друга в подполье; однако «апостольский век» большевиков слишком затянулся ― и резня 1937 года была не чем иным, как способом поменять быстроустаревающую модель администрирования.</t>
  </si>
  <si>
    <t>не кто/что иной/иное, как INF</t>
  </si>
  <si>
    <t>change in government: new part of speech</t>
  </si>
  <si>
    <t>Зафиксировано появление инфинитива в качестве второго объекта определения</t>
  </si>
  <si>
    <t>Сделать любимцем своим человека, всем ненавистного, или презирать мужа, всеми почитаемого, значит не что иное, как нагло опровергать все те понятия о правосудии, которые природа в сердца вложила, возбуждать роптания и входить в то облако, где кроется стрела, готовая разить.</t>
  </si>
  <si>
    <t>Частная грамматика учит не чему иному, как правильно говорить и писать на том или другом языке: она учит не ошибаться в согласовании слов, в этимологических и синтаксических формах.</t>
  </si>
  <si>
    <t>не кто/что, как NP</t>
  </si>
  <si>
    <t>loss of a component</t>
  </si>
  <si>
    <t>Прилагательное "иное" может не быть частью союза</t>
  </si>
  <si>
    <t>Не что как псовая али вот рысаки ― знатная штука, да не всякому подручно оно. [И. Т. Кокорев. Сборное воскресенье (1849)]</t>
  </si>
  <si>
    <t>Сто гарантирует не кто, как Всевышний, я на процент меньше. [Анатолий Найман. Жизнь и смерть поэта Шварца // «Октябрь», 2001]</t>
  </si>
  <si>
    <t>VP там и сям</t>
  </si>
  <si>
    <t>Зафиксировано идиоматическое значениие конструкции: что-либо происходит через относительно большие промежутки времени.</t>
  </si>
  <si>
    <t>Я не говорю о скуке, об исканиях, ходатайствах и разных капризах, которые там и сям мне переносить было должно. [И. М. Долгоруков. Повесть о рождении моем, происхождении и всей моей жизни, писанная мной самим и начатая в Москве, 1788-го года в августе месяце, на 25-ом году моей жизни / Части 1-2 (1788-1822)]</t>
  </si>
  <si>
    <t>Творческая интеллигенция, боящаяся внешней опасности, жмется друг к другу; шашни заводятся там и сям; колоритные старики, появляясь в эпизодах, очень оживляют второй план ― и обеспечивают бесперебойное поступление комического материала. [ Л. А. Данилкин. Нумерация с хвоста. Путеводитель по русской литературе (2009)]</t>
  </si>
  <si>
    <t>Зафиксировано идиоматическое значениие конструкции: объекты одного класса расположены на относительно большом расстоянии друг от друга.</t>
  </si>
  <si>
    <t>Впрочем, дорога не скучна: везде видишь плодоносную землю, луга, рощи; там и сям маленькие деревеньки или врозь рассеянные крестьянские домики. [Н. М. Карамзин. Письма русского путешественника (1793)]</t>
  </si>
  <si>
    <t>Переправа там и сям разбита артиллерией, вода сверху, выброшенная взрывами из прорех во льду, разливается, не успев замерзнуть, маскирует полыньи. [Владимир Тыцких. Через три войны // «Дальний Восток», 2019]</t>
  </si>
  <si>
    <t>VP то там то сям</t>
  </si>
  <si>
    <t>Зафиксирован новый вариант якоря "то там, то сям".</t>
  </si>
  <si>
    <t>1799-1822</t>
  </si>
  <si>
    <t>В таком рассеянии то там, то сям и везде с Пожарской, везде вне себя, проводил я красное сего года лето. [И. М. Долгоруков. Повесть о рождении моем, происхождении и всей моей жизни, писанная мной самим и начатая в Москве, 1788-го года в августе месяце, на 25-ом году моей жизни / Часть 4 / 1799-1806 (1799-1822)]</t>
  </si>
  <si>
    <t>Года два она работала то там, то сям: недвижимость, страхование, туризм ― пока как-то случайно не наткнулась взглядом на рекламное объявленьице в какой-то окружной газете. [Марина Зосимкина. Ты проснешься. Книга первая (2015)]</t>
  </si>
  <si>
    <t>VP и там и сям</t>
  </si>
  <si>
    <t>Зафиксирован новый вариант якоря "и там, и сям".</t>
  </si>
  <si>
    <t>― А вот как: я года два шатаюсь по белу свету, и там и сям; да что-то в руку нейдет. [М. Н. Загоскин. Юрий Милославский, или русские в 1612 году (1829)]</t>
  </si>
  <si>
    <t>Силовик, кадровый офицер, порядочный и дисциплинированный, проявил себя и там и сям. [Наталья Харпалёва. Второй срок (2015)]</t>
  </si>
  <si>
    <t>VP там-сям</t>
  </si>
  <si>
    <t>Зафиксирован новый вариант якоря "там-сям".</t>
  </si>
  <si>
    <t>Тамъ-сямъ мелькаетъ колесо фортуны, около котораго толпятся дѣти, въ надеждѣ, что выпадетъ на ихъ долю выигрышъ съ орѣхами. [Манчестеръ въ субботу вечеромъ // «Современникъ», 1850]</t>
  </si>
  <si>
    <t>У стены там-сям шлялись нетрезвые агрессивные «пацаны». [М. Е. Окунь. Шахматный рассказ (2015) // «Волга», 2016]</t>
  </si>
  <si>
    <t>Cl а то нет</t>
  </si>
  <si>
    <t>Зафиксирован композициональный источник конструкции: отрацание, которое вводится противительным союзом.</t>
  </si>
  <si>
    <t>Да пусть бы одинъ разъ такъ это случилось; а то нѣтъ!</t>
  </si>
  <si>
    <t>Кабы радостью, кабы любовью! А то нет же ― тревогой опутаны. Страхом, как бы опять чего с Владимиром не стряслось. [А. М. Коллонтай. Василиса Малыгина (1927)]</t>
  </si>
  <si>
    <t>а то нет</t>
  </si>
  <si>
    <t>Зафиксировано, что конструкция начинает употребляться как отдельная клауза. При этом она используется для того, чтобы указать на то, что истинность пропозиции, которую собеседник назвал в предыдущей реплике, должна быть очевидной для него.</t>
  </si>
  <si>
    <t>― Неужто ты с самого утра по городу шатаешься?  ― А то нет?  сказано: с утра раннего… неужто ж пропустить экой праздник!</t>
  </si>
  <si>
    <t xml:space="preserve"> Я нарушал? ― А то нет? И браконьерил, и золото мыл! [Виктор Ремизов. Воля вольная // «Новый мир», 2013]</t>
  </si>
  <si>
    <t>У конструкции зафиксировано новое значение: согласие с любым возможным утверждением предыдущего участника.</t>
  </si>
  <si>
    <t>― Как же сказывали, Кутузов кривой, об одном глазу?  ― А то нет!  Вовсе кривой.</t>
  </si>
  <si>
    <t>Педагог выслушал сбивчивую речь и удивился: ― Настя Кусакина? У меня была такая? ― А то нет! ― потеряла всякую интеллигентность Инга Федоровна. [ Дарья Донцова. Уха из золотой рыбки (2004)]</t>
  </si>
  <si>
    <t>а то</t>
  </si>
  <si>
    <t>Зафиксирован новый вид конструкции: "А то".</t>
  </si>
  <si>
    <t>― Поди притомились?  ― А то!  ― Тепленько-съ нынче!</t>
  </si>
  <si>
    <t>― Боже, до чего у нас разные вкусы!.. ― А то!.. ― А меня ты, наверное, терпишь только как внимательного слушателя? [Жанна Райгородская. Сорок плюс // «Дальний Восток», 2019]</t>
  </si>
  <si>
    <t>ни на (одну) йоту не VP/ни одна йота не VP</t>
  </si>
  <si>
    <t>Зафиксированные употребления в композициональном значении слова "йота" - самая маленькая буква греческого алфавита.</t>
  </si>
  <si>
    <t>О! никогда не гляделось оно в вашу душу, никогда не тянуло оно ее к себе; ни одна йота из языка человека с богом не тревожила вас дивным восторгом! [И. И. Лажечников. Ледяной дом (1835)]</t>
  </si>
  <si>
    <t>Потому и Сказано, что Солнце прейдёт, и Луна прейдёт, но не прейдёт ни одна йота из Закона, пока не исполнится всё. [Б. Н. Абрамов. Грани Агни Йоги (1953)]</t>
  </si>
  <si>
    <t>ни на (одну) йоту не VP</t>
  </si>
  <si>
    <t>Зафиксированные употребления в идиоматическом значении: "ни капли, вообще не; ни на шаг, ни в малейшей детали".</t>
  </si>
  <si>
    <t>На днях «Литературной газете» не позволено выходить по три раза в неделю (не изменяя ни на одну йоту программы) и переставлять статьи с одного места на другое, например печатать повести под чертою, в виде фельетона и т.д., хотя все это позволялось, или, лучше сказать, не замечалось прежде, потому что не заслуживает замечания. [А. В. Никитенко. Дневник (1845)]</t>
  </si>
  <si>
    <t>Но Анфилогов был всего лишь тем, кто он на самом деле, был собой — единственным человеком, которому он никогда ни при каких обстоятельствах ни на йоту не изменял. [О. А. Славникова. 2017 (2017)]</t>
  </si>
  <si>
    <t>ни (одной) йоты не VP</t>
  </si>
  <si>
    <t>Зафиксированные употребления варианта "ни йоты".</t>
  </si>
  <si>
    <t>В ответе моего отца насчет Покровского я не изменил ни йоты, я очень помню его. [А. И. Герцен. Былое и думы. Часть четвертая. Москва, Петербург и Новгород (1857)]</t>
  </si>
  <si>
    <t>В ту межвоенную пору, когда футуристы только начинали играть в фашизм, а мистик Мондриан, этот голландский Малевич, искал пластический эквивалент «универсальной правде» и звал к «антииндивидуалистическому», когда Дюшан пририсовывал Джоконде усы в знак свободолюбия, когда Бретон утверждал в манифесте свободу от контроля разума и моральных убеждений, когда в Баухаузе воспроизвели «атмосферу мастерских Возрождения», но не добавили в эти мастерские ни йоты знания о человеке, когда Эмиль Нольде и Мартин Хайдегер вступали в партию наци, — словом в ту благословенную пору, когда никто еще не верил в сталинские лагеря, а Гитлер лагеря еще только задумывал, — уже создавали новый тип мышления, который впоследствии обновил мир. [М. К. Кантор. Медленные челюсти демократии (2008)]</t>
  </si>
  <si>
    <t>ни (одной) йоты NP-Gen не VP</t>
  </si>
  <si>
    <t>Зафиксированные употребления варианта "ни йоты" с зависимым в родительном падеже.</t>
  </si>
  <si>
    <t>Сколько расходов и попечений, и ни йоты пользы Церкви! [архиепископ Николай Японский (Касаткин). Дневник (1898)]</t>
  </si>
  <si>
    <t>1941-1948</t>
  </si>
  <si>
    <t>язык (NP-Gen) не поворотиться/повернуться</t>
  </si>
  <si>
    <t>Идиоматичное значение</t>
  </si>
  <si>
    <t xml:space="preserve">Услышав это, затряслись и подогнулись мои ноги, кровь во мне остановилась, бледность покрыла лицо моё; я хотел говорить, однако язык мой не поворотился. </t>
  </si>
  <si>
    <t>поворотиться/повернуться (V-Inf)</t>
  </si>
  <si>
    <t>Зафиксировано, что глагол "повернуться" может присоединять глагольный инфинитив или инфинитивную клаузу, характеризующие действие, которое не выполняется языком</t>
  </si>
  <si>
    <t>&lt;...&gt;; онъ такъ глупъ, что **языкъ не повернется похвалить его** и не сравнивая съ эксъ-министромъ Доратомъ. [А. С. Пушкин. Письмо П. А. Вяземскому (06.02.1823)]</t>
  </si>
  <si>
    <t>язык (у NP-Gen)</t>
  </si>
  <si>
    <r>
      <rPr>
        <sz val="10"/>
        <color theme="1"/>
        <rFont val="Arial"/>
      </rPr>
      <t xml:space="preserve">Зафиксировано, что обладатель языка может указываться с помощью предлога </t>
    </r>
    <r>
      <rPr>
        <i/>
        <sz val="10"/>
        <color theme="1"/>
        <rFont val="Arial"/>
      </rPr>
      <t>у</t>
    </r>
    <r>
      <rPr>
        <sz val="10"/>
        <color theme="1"/>
        <rFont val="Arial"/>
      </rPr>
      <t>, а не одного родительного падежа</t>
    </r>
  </si>
  <si>
    <t>И могу ли я ей признаться, **что у меня язык не поворачивается приказывать этой Анюте**, которую она называет девчонкою? [Антоний Погорельский. Монастырка (1833)]</t>
  </si>
  <si>
    <t>поворотиться/повернуться (на NP-Acc)</t>
  </si>
  <si>
    <r>
      <rPr>
        <sz val="10"/>
        <color theme="1"/>
        <rFont val="Arial"/>
      </rPr>
      <t xml:space="preserve">Зафиксировано, что "невозможное" для произнесения может выражаться именной группой в винительном падеже, присоединенной предлогом </t>
    </r>
    <r>
      <rPr>
        <i/>
        <sz val="10"/>
        <color theme="1"/>
        <rFont val="Arial"/>
      </rPr>
      <t>на</t>
    </r>
  </si>
  <si>
    <t>Перед Яковом у меня язык не поворачивался на ложь. [И. С. Тургенев. Яков Пасынков (1855)]</t>
  </si>
  <si>
    <t>поворотиться/повернуться (чтоб/чтобы V-Inf)</t>
  </si>
  <si>
    <r>
      <rPr>
        <sz val="10"/>
        <color theme="1"/>
        <rFont val="Arial"/>
      </rPr>
      <t xml:space="preserve">Зафиксировано, что инфинитивная клауза теперь может присоединяться целевым союзом </t>
    </r>
    <r>
      <rPr>
        <i/>
        <sz val="10"/>
        <color theme="1"/>
        <rFont val="Arial"/>
      </rPr>
      <t>чтоб</t>
    </r>
  </si>
  <si>
    <t>1857-1865</t>
  </si>
  <si>
    <t>&lt;...&gt; потому, наконец, **что самый язык не поворачивается, чтоб выговорить что-нибудь иное**… [М. Е. Салтыков-Щедрин. Глуповское распутство (1857-1865)]</t>
  </si>
  <si>
    <t>Зафиксированово композициональное употребление колоокации в качестве самостоятельной клаузы.</t>
  </si>
  <si>
    <t>Этого никогда не бывало. Чужехват. И! родимый! Как не бывало. Еще об этом детище после сказывала мне молодка, будто она его грудью кормила и будто он господский сын.  [А. П. Сумароков. Опекун (1765)]</t>
  </si>
  <si>
    <t>Исчезли портреты Кириленко. Ни над трибуной, ни над колоннами. Нигде. Как не бывало. Над трибуной портреты сдвинуты влево, освободившийся прямоугольник пространства заполнен холстом с изображением серпа и молота. Не скажи мне вчера Шелков по телефону об исчезновении кириленковских портретов, мы с Томой, возможно, ничего бы не заметили. Может быть, не заметили многие; во всяком случае, разговоров на эту тему на площади мы не слышали, ну, и сами не заводили. [И. А. Дедков. Дневник (1982)]</t>
  </si>
  <si>
    <t>Зафиксировано, что конструкция начинает стабильно управлять существительным в родительном падеже</t>
  </si>
  <si>
    <t>...а к вечеру, как не бывало и всех щеп, мусора и другого дрязга, и не осталось ни единого камушка и половинки кирпичной. [А. Т. Болотов. Жизнь и приключения Андрея Болотова, описанные самим им для своих потомков. Письма 91-96 (1800)]</t>
  </si>
  <si>
    <t>2008/1976/1954</t>
  </si>
  <si>
    <t xml:space="preserve"> «Глас» призывал: «Савва здрав буди и больше не греши!» И упало с верха в церкви «богоотметное Саввино писание все заглажено». Как не бывало договора с дьяволом! Исцеленного Савву пригласил государь, «подивились милосердию Божию и несказанному чуду». [Александр Савинов. Купеческий сын и неутомимый бес: загадки XVII века // «Знание - сила», 2008], Желтые листья летят и кружатся по двору, липнут к пальто и к рукам. Как не бывало Италии ― приснилась! Как парусник, вылетающий в море, снасти и паруса ― звучащие!.. [А. И. Цветаева. Сказ о звонаре Московском (1976)], Та самая квартира, ― как не бывало этих 10 лет со дня, как я привез туда своих ― первую семью, поселившуюся в этом доме. [А. Т. Твардовский. Рабочие тетради (1954) // «Знамя», 1989]</t>
  </si>
  <si>
    <t>NP-Gen как не бывало</t>
  </si>
  <si>
    <t>reordering of anchor and filler</t>
  </si>
  <si>
    <t>Зафиксировано, что изменяемая часть конструкции начинает употребляться перед якорем</t>
  </si>
  <si>
    <t>Наконец казну повытаскали, и Пичугин, сменившись с караула, опрометью побежал к своему пепелищу; но домишка со всеми пожитками как не бывало, а жену с ребенком нашел, бедняк, обгоревшими в уголь. [С. П. Жихарев. Записки современника (1806-1809)]</t>
  </si>
  <si>
    <t>После Гриши полбочки соленых огурцов как не бывало. [Геннадий Башкуев. Маленькая война // «Сибирские огни», 2013]</t>
  </si>
  <si>
    <t>Зафиксировано, что у конструкции появляется результативное значение исчезновения, преимущественно с конкретными неодушевленными существительными</t>
  </si>
  <si>
    <t>Зафиксировано, что конструкция начинает употребляться с одушевленными существительными</t>
  </si>
  <si>
    <t>― Тут Лесько метнул в народ последнюю горсть мелкой монеты; все бросились подбирать ― и когда оглянулись, то уж обоих чумаков как не бывало. [О. М. Сомов. Гайдамак (1825)]</t>
  </si>
  <si>
    <t>А когда я проснулся, ничего уже не было совершенно. И тебя тоже как не бывало. Я теперь не знал о тебе очень полно, даже догадываться перестал: кто ты, была ли со мной хоть на крошечку самого краткого мига? [Валерий Володин. Повесть временных лет // «Волга», 2011]</t>
  </si>
  <si>
    <t>как будто и не бывало NP</t>
  </si>
  <si>
    <t>Зафиксировано, что между частями якоря может стоять сочетание "будто и"; изменяемая часть стоит перед якорем</t>
  </si>
  <si>
    <t xml:space="preserve"> На меня смотрят очень холодно. Вчерашнего как будто и не бывало. Анна Петровна находилась в упоении радости от приезда поэта А. С. Пушкина, с которым она давно в дружеской связи. [А. В. Никитенко. Дневник (1827)]</t>
  </si>
  <si>
    <t>Версты четыре мы ехали частью домами местечка Волочиск, частью полями и так прибыли на границу России и Австрии: граница естественная, речка, направо широкая ― пруд, мельница, налево ручеек и в нем удильщики, как будто и не бывало войны, удят рыбу. [М. М. Пришвин. Дневники (1914)]</t>
  </si>
  <si>
    <t>NP как будто и не бывало</t>
  </si>
  <si>
    <t>Зафиксировано, что между частями якоря может стоять сочетание "будто и", изменяемая часть стоит после якоря</t>
  </si>
  <si>
    <t>1835-1841</t>
  </si>
  <si>
    <t>Не одна останется вдова в Глухове, Немирове, Чернигове и других городах. Будет, сердечная, выбегать всякий день на базар, хватаясь за всех проходящих, распознавая каждого из них в очи, нет ли между их одного, милейшего всех. Но много пройдет через город всякого войска, и вечно не будет между ними одного, милейшего всех. Так, как будто и не бывало половины Незамайновского куреня! Как градом выбивает вдруг всю ниву, где, что полновесный червонец, красовался всякий колос, так их выбило и положило. Как же вскинулись козаки! Как схватились все! [Н. В. Гоголь. Тарас Бульба (1835-1841)]</t>
  </si>
  <si>
    <t>Не потому ли, что это ближе мне, человечнее, будто бы только вчера еще изваянное рукою близкого мне автора, и я братски жму руку его через 3-4-5 тысячелетий, которых как будто и не бывало! [Л. О. Пастернак. Записи разных лет (1943)]</t>
  </si>
  <si>
    <t>NP как будто не бывало</t>
  </si>
  <si>
    <t>Зафиксировано, что между частями якоря может стоять элемент "будто", без сочетания с "и"</t>
  </si>
  <si>
    <t>На острове Отаити мы вскоре увидели удивительное действие климата: синих пятен на ногах в три дня как будто не бывало. [Ф. Ф. Беллинсгаузен. Двукратные изыскания в Южном Ледовитом океане и плавание вокруг света в продолжение 1819, 20 и 21 годов, совершенные на шлюпах «Востоке» и «Мирном» под начальством капитана Беллинсгаузена командира шлюпа «Восток», шлюпом «Мирным» начальствовал лейтенант Лазарев (1831)]</t>
  </si>
  <si>
    <t xml:space="preserve"> А тут такой сюрприз ― остановился «московский» поезд ― и «уджангари» как будто не бывало! [Г. А. Сванидзе. Кавалергард // «Волга», 2009]</t>
  </si>
  <si>
    <t>NP-Gen как (будто (и)) не бывало</t>
  </si>
  <si>
    <t>Зафиксировано, что конструкция начинает употребляться с абстрактными существительными со значением состояния, свойства, временного промежутка или погодного явления</t>
  </si>
  <si>
    <t>Всё осветилось. Метели как не бывало. Снег загорелся широким серебряным полем и весь обсыпался хрустальными звездами. [Н. В. Гоголь. Ночь перед Рождеством (1831-1832)]</t>
  </si>
  <si>
    <t>Щемит где-то. Легкости как не бывало. Отодвинул я в сторону чашку, положил перед собой на стол карандаш и пятитысячную купюру да призадумался. [Владимир Годованец. Миниатюры // «Дальний Восток», 2019]</t>
  </si>
  <si>
    <t>Зафиксировано, что конструкция становится автономной клаузой адъюнктного типа</t>
  </si>
  <si>
    <t>Надел Иван набалдашник золотой ― исчезло все, как не бывало; снял ― опять здесь, и бой, и музыка, и армия, и генералы с рапортами; а гусли-самогуды в котомке за плечами. [В. И. Даль. Сказка о Иване Молодом Сержанте, Удалой Голове, без роду, без племени, спроста без прозвища (1832)]</t>
  </si>
  <si>
    <t>Важнее то, что мы имеем в результате: Санталово исчезло, как не бывало, ни зги, ни домов, ни школы, ни баньки. [И. Н. Вирабов. Андрей Вознесенский (2015)]</t>
  </si>
  <si>
    <t>как и не бывало</t>
  </si>
  <si>
    <t>Зафиксировано, что между частями выражения может стоять частица "и"</t>
  </si>
  <si>
    <t xml:space="preserve"> Потом вдруг как и не бывало литературных обозрений! [В. Г. Белинский. Русская литература в 1842 году (1843)]</t>
  </si>
  <si>
    <t>Что ж, демократии нет в наших осинах; это печаль большая; мне чрезвычайно грустно. Как и не бывало ее, как будто она здесь и не валялась. [Валерий Володин. Повесть временных лет // «Волга», 2011]</t>
  </si>
  <si>
    <t>как и не было</t>
  </si>
  <si>
    <t>replacing a component</t>
  </si>
  <si>
    <t>Зафиксировано, что глагол в якоре констррукции может быть совершенного вида.</t>
  </si>
  <si>
    <t>Прощайте, ― выговорил он и быстро исчез, как и не было его. [Е. А. Салиас. Фрейлина императрицы (1887)]</t>
  </si>
  <si>
    <t>Не сегодня завтра пурга заметет следы на кладбище ― как и не было ничего. [Гузель Яхина. Зулейха открывает глаза (2015)]</t>
  </si>
  <si>
    <t>— Легко сказать, сударь, потрудиться, говорят вам, что я тут ни черта не понимаю… [В. Ф. Одоевский. Сказка о мертвом теле, неизвестно кому принадлежащем (1833)] [омонимия не снята]</t>
  </si>
  <si>
    <t>Да потому что мы тут живем, полиция ни черта не делает. [Ночь в Миннеаполисе: протесты, грабежи, селфи и просто наблюдение // РИА Новости, 2020.05]</t>
  </si>
  <si>
    <t xml:space="preserve">ни чёрта Adj-Gen не </t>
  </si>
  <si>
    <t>В корпусе фиксируется вариант конструкции с зависимым прилагательным, относящимся к существительному "чёрт".</t>
  </si>
  <si>
    <t>Понял ли теперь? ― Ни черта рогатого не понимаю, ― говорю. ― Слушай дальше. [Д. И. Стахеев. За Байкалом и на Амуре (1869)] [омонимия не снята]</t>
  </si>
  <si>
    <t>Одним настроем ни черта собачьего не выиграешь. [«Наших мальчиков обидели…». На редакционном сайте www.sovsport.ru продолжается бурное обсуждение событий в Брондбю // Советский спорт, 2005.11]</t>
  </si>
  <si>
    <t xml:space="preserve">Слот Adj заполняется прилагательными "лысый", "рогатый", "собачий". </t>
  </si>
  <si>
    <t>Зафиксировано, что конструкция получает возможность обособленно употребляться в диалоге.</t>
  </si>
  <si>
    <t>― Ну, так как же? ― говорил Турбин растерянно. ― Ни черта, ― сказал Кондрат Семеныч. ― Не робей! И, отворив форточку, он своим хриплым охотничьим голосом гаркнул: ― Васька! [И. А. Бунин. Учитель (1894)] [омонимия не снята]</t>
  </si>
  <si>
    <t>А, все еще успею, все успею. – Ни черта! " После серии громких успешных спектаклей в театре Ленсовета она с другими актерами придумала молитву о том, чтобы не" зазвездить". [Ко дню рождения Алисы Фрейндлих. Смотрим и восхищаемся! // Vesti.ru, 2020.12]</t>
  </si>
  <si>
    <t>ни черта нет(у)</t>
  </si>
  <si>
    <t>Зафиксировано, что начинает употребляться вариант конструкции "ни черта нет(у)", в котором на месте якорного элемента "не" находится "нет(у)".</t>
  </si>
  <si>
    <t>Команда не зависимо от меня также просит о присоединении Сворбе в техническом и хозяйственном отношении к Ревелю, так как в Монзиции ни черта нет и помочь они нам ни в чем не могут, даже провизию достаем постоянно самостоятельно. [М. К. Бахирев. Отчет о действиях Морских сил Рижского залива (1919)] [омонимия не снята]</t>
  </si>
  <si>
    <t>Жизни же не видел, ничего не видел, за душой нет ничего, образования нет («Я поступил в Киевский политехнический!» ― пытался возразить Мурашин), ни черта вообще нет у тебя, и тут жениться, а что ― вот так просто нельзя было? [Ада Самарка. Стрекоза и муравей // «Октябрь», 2013]</t>
  </si>
  <si>
    <t>ни черта не Pred</t>
  </si>
  <si>
    <t>Зафиксировано, что в сфере действия конструкции может находиться неглагольный предикат.</t>
  </si>
  <si>
    <t>А в десяти шагах уже ни черта не видно, а шорохами так богата апрельская ночь, так много из темноты несется подозрительных звуков, что любой из них будит тревогу: «Не идет ли, не ползет ли красноармейская разведка?» [М. А. Шолохов. Тихий Дон. Книга третья (1928-1940)]</t>
  </si>
  <si>
    <t>Ни черта не видно, поэтому на самое интересное натыкаешься совершенно неожиданно ― в дальнем конце площадки. [Л. А. Данилкин. Ленин: Пантократор солнечных пылинок (2017)] [омонимия не снята]</t>
  </si>
  <si>
    <t>ни черта Adj-Gen не VP</t>
  </si>
  <si>
    <t>Появляется вариант конструкции, в котором коллокацию "ни черта" модифиицирует прилагательноею</t>
  </si>
  <si>
    <t>Правда, молочница еще пару раз заходила на квартиру и дико скандалила, требуя возврата своего супруга, однако ни черта хорошего из этого не вышло. [М. М. Зощенко. Не надо спекулировать (1931)]</t>
  </si>
  <si>
    <t>Потому что помойка, она помойка и есть ― ни черта хорошего вы там не увидите. [Сергей Мостовщиков. Мусор (1997) // «Столица», 02.09.1997]</t>
  </si>
  <si>
    <t xml:space="preserve">Слот Adj заполняется в основном прилагательными "хороший", "подобный". </t>
  </si>
  <si>
    <t>о NP-Prep ни гугу</t>
  </si>
  <si>
    <t>Конструкция впервые фиксируется в идиоматическом значении. При этом якорь управляет предлогом "о" и ИГ в предложном падеже.</t>
  </si>
  <si>
    <t>загляни въ журналы; въ теченіи 6-ти лѣтъ посмотри сколько разъ упоминали обо мнѣ, сколько разъ меня хвалили подѣломъ и понапрасно ― а объ [Томъ] нашемъ приятелѣ ни гугу, какъ будто на свѣтѣ его не было. [А. С. Пушкин. Письмо К. Ф. Рылееву (06.1825-07.1825)]</t>
  </si>
  <si>
    <t>А вот о главном — о состоянии СМИ и о распространении информации в нашей стране — ни гугу.</t>
  </si>
  <si>
    <t>NP-Dat ни гугу</t>
  </si>
  <si>
    <t>Зафиксирован вариант конструкции с ИГ в дательном падеже, обозначающей Адресата.</t>
  </si>
  <si>
    <t>Они обнялись, приказчикъ отеръ съ глаза что-то въ родѣ слезы. ― Только смотри, пока никому ни гугу; знай и молчи!</t>
  </si>
  <si>
    <t>Все страстнее, мой возраст, вожделею нуля (уж прости меня за темные страсти, за их необузданность). Только ты об этом никому ни гу-гу. Не то засмеют до зримых, очень прочных отсутствий-умор, до отсутствий ― пустых хохотушек.</t>
  </si>
  <si>
    <t>от NP-Gen ни гугу</t>
  </si>
  <si>
    <t>Зафиксирован вариант конструкции с предлогом "от" и ИГ в родительном падеже.</t>
  </si>
  <si>
    <t>Как ему живется на супружеском положении? От него ни гу-гу. Напиши о них. [Ал. П. Чехов. Письма Антону Павловичу Чехову (1893)]</t>
  </si>
  <si>
    <t>Брат стал мировой знаменитостью, но от родных все это время ― ни гугу. И от него тем более. [Василий Катанян. Прикосновение к идолам (1998)]</t>
  </si>
  <si>
    <t>у NP-Gen ни гугу</t>
  </si>
  <si>
    <t>Зафиксирован вариант конструкции с предлогом "у" и ИГ в родительном падеже.</t>
  </si>
  <si>
    <t>Пошла я по дворам, по заоконью, думаю: «Если у кого сидит Настасья, то, верно, не спят те, а разговаривают». Обошла дворов десять ― ни у кого ни гугу: все спят.</t>
  </si>
  <si>
    <t>Бои в устьях Кубани и Дона, отступление кавказской армии на Керчь. А у нас пока ни гу-гу. «В последний час» сообщил ― Изюм.</t>
  </si>
  <si>
    <t>про NP-Acc ни гугу</t>
  </si>
  <si>
    <t>Зафиксированно, что именная группа, обозначающая Тему, теперь может употребляться в данной конструкции с предлогом "про".</t>
  </si>
  <si>
    <t>Да только, слышь ты, никому ни гу-гу про это дело, а блюди ты его втайне: знай молчок, допрежь всего, и тогды будет тебе всякая благодать от вышнего. [В. В. Крестовский. Петербургские трущобы. Книга о сытых и голодных. Ч. 6 (1867)]</t>
  </si>
  <si>
    <t>но мама, не будь дурой, наказала дочери ― про «дядей» ни гу-гу, а то по мозгам дам. .</t>
  </si>
  <si>
    <t>NP-Nom ни гугу</t>
  </si>
  <si>
    <t>Зафиксировано, что конструкция получает возможность употребляться вместо других минимизаторов, напр. "ни бум-бум", "ни-ни", "ни фига"; ситуация, описываемая конструкцией, теперь может быть не связана с молчанием или запретом говорить.</t>
  </si>
  <si>
    <t>После всенощной Дзинбоо, христианин из Одавара, живущий в Асакуса, привел «каро» из Одавара, страдающего головною болью и схватившегося за Христа ― «желает-де креститься», а вероучения ― ни гу-гу.</t>
  </si>
  <si>
    <t>Я ни гу-гу по-чешски, малыш – по-русски.</t>
  </si>
  <si>
    <t>Употребление "чуть свет" в значении "очень рано, на рассвете" (с глаголами, обозначающими начало какого-то действия, или с глаголами совершенного вида).</t>
  </si>
  <si>
    <t>Завтре чуть свет запряги лошадь в телегу: едем в поле. [В. Т. Нарежный. Российский Жилблаз, или Похождения князя Гаврилы Симоновича Чистякова (1814)]</t>
  </si>
  <si>
    <t>Утром, чуть свет, начались сборы в дорогу. [Виктор Шереметьев. Путешествие в «забытый край» // «Дальний Восток», 2019]</t>
  </si>
  <si>
    <t>"Чуть свет" получает возможность употребляться в хабитуальных контекстах.</t>
  </si>
  <si>
    <t>Чуть свет вставала она и бродила далеко, далеко, по обоим берегам Днепра, расспрашивала у всех встречных о своей дочери, искала тела ее по песку прибрежному и каждый день с грустью и горькими слезами возвращалась домой одна-одинехонька: не было ни слуху, ни весточки о милой ее Горпинке! [О. М. Сомов. Русалка (1829)]</t>
  </si>
  <si>
    <t>И в отличие, скажем, от аристократической Тверской или Арбата, где вечером и ночью кипела светская жизнь, в купеческом Замоскворечье спать ложились рано и вставали чуть свет. [Ольга Борисова. Самый «московский» музей // «Наука в России», 2012]</t>
  </si>
  <si>
    <t>Употребление "чуть свет" в значении "очень рано, на рассвете", обозначающем начало промежутка времени, в течение которого совершается действие, с непредельными глаголами (не в хабитуалисе).</t>
  </si>
  <si>
    <t>1830-1835</t>
  </si>
  <si>
    <t>На другой день, чуть свет, г. Гончаров был уже у меня, и мы вместе поехали к нему смотреть лошадей. [Е. Ф. Комаровский. Записки (1830-1835)]</t>
  </si>
  <si>
    <t>Утром, чуть свет, я уже был на ногах. [Виктор Шереметьев. Путешествие в «забытый край» // «Дальний Восток», 2019]</t>
  </si>
  <si>
    <t>V чуть свет</t>
  </si>
  <si>
    <t>Употребление "чуть свет" в значении "очень рано, на рассвете", обозначающем промежуток времени, в течение которого совершается действие, с глаголами несовершенного вида (обычно в значении praesens historicum).</t>
  </si>
  <si>
    <t>― говорю я. ― Можно и переменить: в Питере фатеры есть всякие». Эти мои слова, надо полагать, они на ус и намотали. На другой день старушонка моя чуть свет ко мне стучится. Объяснимши, что я там слишком понравился, вдруг мне открывает, что приказали-де просить, что не могу ли я на свой счет фатеру для них приискать, так как я человек богатый и для меня это большого расчета не сделает, «Ладно, говорю, мы в этом не постоим», ― и в тот же день приискал две комнаты с кухней, по-моему, слишком порядочные, и сейчас же им весть даю. Приезжает ко мне сама тетка на извозчике, благодарность говорит мне большую и просит, чтобы я позволил ей посмотреть. Свез я ее, оглядела, не нравится, и то нехорошо, и то ненарядно, и окна на двор. [А. Ф. Писемский. Питерщик (1852)]</t>
  </si>
  <si>
    <t>В понедельник чуть свет под дверью шкворчихинского кабинета, паршиво чувствуя себя в гражданской одёжке, в полном комплекте маялись вчерашние герои – не столько с бодуна, сколько от неопределенности дальнейшей жизни (всем светило увольненье из рядов без зачёта срока службы). [Георгий Елин. Командир Очакова (1998)]</t>
  </si>
  <si>
    <t>accusative</t>
  </si>
  <si>
    <t>куда ни кинь/как ни кинь, так клин/везде клин/всюду клин</t>
  </si>
  <si>
    <t>Выражение впервые фиксируется в составе пословицы "Куда ни кинь, всюду клин/Как ни кинь, так клин/etc", выражает значение безвыходной ситуации</t>
  </si>
  <si>
    <t>Право, становится скучно и даже досадно: нет в виду никакой выслуги и, пожалуй, придется опять приняться за поэзию или таскаться по театрам: да на беду и театры закрыты до пасхи ― куда ни кинь, так клин. [С. П. Жихарев. Записки современника (1806-1809)]</t>
  </si>
  <si>
    <t>Так что куда ни кинь, всюду клин, просто клин клиныч клинушкин. [Валерий Володин. Повесть временных лет // «Волга», 2011]</t>
  </si>
  <si>
    <t>куда ни кинь</t>
  </si>
  <si>
    <t>Зафиксировано, что зависимая клауза больше не входит в якорь конструкции</t>
  </si>
  <si>
    <t>А мне что? Куда ни кинь, все выходит хорошо… Н-да-а. [Г. И. Недетовский (О. Забытый). Родня (1880)]</t>
  </si>
  <si>
    <t>Вечно среди девчонок. В общем, куда ни кинь — «ботаник». «Ботаник» Сережа. [Александр Брейтман. Опыты быстротекущей жизни // «Дальний Восток», 2019]</t>
  </si>
  <si>
    <t>Зафиксировано, что изменяется значение конструкции: уходит негативная оценка, остается значение "как ни подумай, с какой стороны ни рассуди", вес с безвыходности перемещается на разные образы мыслей относительно некой ситуации</t>
  </si>
  <si>
    <t>куда ни кинь Cl</t>
  </si>
  <si>
    <t>Зафиксировано, что клауза, которую присоединяет якорь конструкции, не вводится с помощью союза, парного к союзу "куда".</t>
  </si>
  <si>
    <t>Свобода личности немыслима без соотнесения со средой, а русская воля всегда только для себя. Но, в отличие от «мессианства демократических свобод», ― на деле только для элиты, ― которыми по чужому наущению чрезмерно увлечены властвующие, русская воля спрятана в глубоких тайниках народной души, никак не проявляя себя. Однако случается в истории, когда свободу слишком неуемно эксплуатируют одни, беспощадно ущемляя других, когда чаша несправедливости становится с краями полна и, не приведи Господь, воля вырывается наружу. Подумав об этом, Вера поймала себя на мысли: куда ни кинь, везде упрешься в нынешний день. Время сгущается. Увидела издали красно-белую пряничную церковь в начале Комсомольского проспекта, в народе нареченную Капельской, и припомнила выступление отца Дмитрия Смирнова в Доме литераторов, куда тоже попала по случаю. Не обремененная домашними хлопотами, она любила общественные диспуты, хотя не всегда понимала их суть. [Анатолий Салуцкий. Немой набат // «Москва», 2019]</t>
  </si>
  <si>
    <t>как ни кинь</t>
  </si>
  <si>
    <t>Как ни кинь ― все ладно; как ни скажи ― все хорошо. [М. Е. Салтыков-Щедрин. Письма о провинции (1868-1870)]</t>
  </si>
  <si>
    <t>Куда деться рыбаку, который, как ни кинь, всюду несет убытки? [Это настоящий грабеж! (2003) // «Рыбак Приморья», 23.01.2003]</t>
  </si>
  <si>
    <t>как ни кинь Cl</t>
  </si>
  <si>
    <t>Выражениев первые фиксируется в значении "куда ни посмотри"/"о чем ни подумай" (смотря по семантике зависимой NP)</t>
  </si>
  <si>
    <t>1791-1798</t>
  </si>
  <si>
    <t>Размышлять грустно: куда ни кинь свою думу, везде дурно, непостоянно, коловратно; одни вздохи сердца, когда стремятся к тому, кто их делить хочет, ― вот жизнь прямая, единственный способ смягчить и самую жестокую судьбу. [И. М. Долгоруков. Повесть о рождении моем, происхождении и всей моей жизни, писанная мной самим и начатая в Москве, 1788-го года в августе месяце, на 25-ом году моей жизни / Часть 4 / 1791-1798 (1791-1822)]</t>
  </si>
  <si>
    <t>У нас на Петроградской стороне, куда ни кинь взор, видишь синие вывески с большими белыми буквами, подведенные красным: [Н. Б. Лебина. Cоветская повседневность: нормы и аномалии. От военного коммунизма к большому стилю // Cоветская повседневность: нормы и аномалии. От военного коммунизма к большому стилю, 2015]</t>
  </si>
  <si>
    <t>NP-Instr/NP-Acc</t>
  </si>
  <si>
    <t>Зафиксировано, что в качестве зависимого компонента могут выступать только слова "глаз", "взгляд", "око" (семантика ограничивается соответствующе)</t>
  </si>
  <si>
    <t>Куда ни кинь оком, везде твои люди. [А. О. Корнилович. Андрей Безыменный (Старинная повесть) (1832)]</t>
  </si>
  <si>
    <t>куда ни кинешь</t>
  </si>
  <si>
    <t>Зафиксирован вариант якоря "куда ни кинешь" с той же семантикой и дистрибуцией, как у "куда ни кинь"</t>
  </si>
  <si>
    <t>Обработанный край: куда ни кинешь глазом, всё деревни; яркая зелень у подошвы вечных снегов Арарата. [А. С. Грибоедов. Эриванский поход (1827)]</t>
  </si>
  <si>
    <t>Когда-то в этих местах устраивались придворные пикники, во что сейчас поверить почти невозможно: куда ни кинешь взгляд ― ржавое железо и строительный хлам. [Стамбул (2011)]</t>
  </si>
  <si>
    <t>Зафиксировано, что выражение может употребляться в виде "куда ни кинь" без зависимой NP</t>
  </si>
  <si>
    <t>И вообще… Молодая продавщица в булочной на Среднем: ну и красавица! Статная, спокойная, ровная, русые волосы, строгие голубые глаза, румяные губы чуть усмехаются… Эх, да кругом, куда ни кинь, капроновые чулочки да красные туфельки. Но среди них, хорошеньких девушек, очень много «нечисти»; я уж их приучаюсь распознавать по виду, но ещё не приучился к мысли, что каждая хорошенькая фигурка в более или менее коротком пальто может оказаться проституткой. А та девушка в автобусе была славная. Но я ни разу не видел её в фас, maximum вполоборота, слева…*** [Р. Г. Назиров. Дневниковые записи (1952)]</t>
  </si>
  <si>
    <t>Было непонятно, куда пролетарий собирается обрушить свой гневный снаряд ― куда ни кинь, всюду были одни видеооператоры. [Виктор Пелевин. Бэтман Аполло (2013)]</t>
  </si>
  <si>
    <t>куда надо VP</t>
  </si>
  <si>
    <t>Конструкция впервые фиксируется в идиоматическом употреблении.</t>
  </si>
  <si>
    <t>Не соловьюшка во зеленомъ саду , Мой сердечной другъ въ высокомъ перему , Онъ погорницѣ похаживаетъ , Калену спрѣлу направливаетъ , Дубовой лучокЪ натягиваетъ , Красна дѣвица отправливаетъ , Куда надо принаравливаетъ .</t>
  </si>
  <si>
    <t>Ваши так называемые «придурки» — мелкая сошка. Это край паутины, а ниточки от нее ведут… куда надо ведут…  [Екатерина Завершнева. Высотка (2012)]</t>
  </si>
  <si>
    <t>VP куда надо</t>
  </si>
  <si>
    <t>Зафиксировано, что глагольная группа начинает употребляться после якоря</t>
  </si>
  <si>
    <t>Эти сумасброды идутъ куда надо , и дѣлаютъ , что должно [Гюго, Труженики моря, перевод Стебницкого]</t>
  </si>
  <si>
    <t>Движимый именно последним, я подошел, снял трубку и опустил куда надо монету. [Юрий Лепский. В поисках Бродского // «Дальний Восток», 2019]</t>
  </si>
  <si>
    <t>Зафиксировано, что конструкция начинает самостоятельно употребляться в ответных репликах на вопрос "Куда...?", с повторением вопросительного элемента "куда".</t>
  </si>
  <si>
    <t>― Куда мы едем? ― спрашивает дрожащим голосом молодая. ― Куда надо, ― отвечает он сквозь зубы. Наконец стало рассветать. [М. П. Погодин. Васильев вечер // «Телескоп», 1831]</t>
  </si>
  <si>
    <t>Куда поедем? Куда надо туда и поедем. В [Владимир Кузнецов. Часовой // «Волга», 2013]</t>
  </si>
  <si>
    <t>Звфиксировано, что у конструкции развивается эвфемистичное употребление (=в некие учреждения, связанные с органами безопасности, полицией и подобными институциями)</t>
  </si>
  <si>
    <t>1912-1914</t>
  </si>
  <si>
    <t>Пусть ваши полисмены берут одиноких слепцов за руку и ведут куда надо. [А. Т. Аверченко. Слепцы (1912-1914)]</t>
  </si>
  <si>
    <t>считалось, что всё в порядке. Куда надо рапортовали, что проведена беседа [Л. Ермолинская, C. М. Толстая. Этнолингвист Светлана Толстая: Нас обвиняли в том, что мы проповедуем религию (27.10.2015)]</t>
  </si>
  <si>
    <t>VP не туда, куда надо</t>
  </si>
  <si>
    <t>Зафиксировано, что в якорную часть факультативно добавляется элемент "не туда"</t>
  </si>
  <si>
    <t>Я сомнѣваюсь ; вы привезли меня не туда , куда надо [Дмитриев, Авантюристка]</t>
  </si>
  <si>
    <t>Геллена стоит послушно и даже не думает шалить: она знает, что может случиться, если заклятие угодит не туда, куда надо. [Ольга Онойко. Некромантисса (2014)]</t>
  </si>
  <si>
    <t>VP туда, куда надо</t>
  </si>
  <si>
    <t xml:space="preserve">В якорной части зафиксировано употребление элемента "туда" без частицы "не" </t>
  </si>
  <si>
    <t>Вот первый министр, обращающий свою деятельность туда, куда надо, то есть на настоящие народные нужды, ― и это привело всех в восторг. [А. В. Никитенко. Дневник (1843)]</t>
  </si>
  <si>
    <t>А когда поступал (или поступит) приказ — готовое к боевому применению специзделие вывозилось туда, куда надо: на ракетную позицию, к аэродрому дальней авиации, пирсам для подводных лодок… [Геннадий Ведерников. Ядерные тайны Дальнего Востока // «Дальний Восток», 2019]</t>
  </si>
  <si>
    <t>1770-1811</t>
  </si>
  <si>
    <t>VP ни сном ни духом</t>
  </si>
  <si>
    <t>Зафиксировано первое вхождение конструкции с идиоматическим значением с глаголом знания.</t>
  </si>
  <si>
    <t>Через три дня надо было играть сговор, а она **не знала о своей участи ни сном ни духом**. [А. А. Бестужев-Марлинский. Латник (1832)]</t>
  </si>
  <si>
    <t>Ксения поступила на первый курс биофака МГУ и сейчас на картошке, где-то в Московской или в Калужской области, а может быть, уже вернулась, учится и **ни сном, ни духом не знает** ничего об Адаме и Александре. [Вацлав Михальский. Прощеное воскресенье // Октябрь, 2009]</t>
  </si>
  <si>
    <t>(VP) ни сном ни духом</t>
  </si>
  <si>
    <t>Зафиксирован вариант конструкции, в котором допустимо опущение глагола или глагольной группы.</t>
  </si>
  <si>
    <t>Он удивился и ответил, что действует в твоих же интересах и напишет тебе сам, что книга-де представлена на конкурс им самим вкупе со мною (а я — **ни сном ни духом**) без твоего ведома. [Ал. П. Чехов. Письма Антону Павловичу Чехову (1887)]</t>
  </si>
  <si>
    <t>— Вы вот получили деньги по Сашиной расписке, а он **ни сном, ни духом**. [Сергей Шикера. Египетское метро // «Волга», 2016]</t>
  </si>
  <si>
    <t>Зафиксирована конструкция, употребляемая без изменяемых частей в диалоге.</t>
  </si>
  <si>
    <t>Видит бог. **Ни сном ни духом**. Зачем же милиция! [В. П. Катаев. Миллион терзаний (1930)]</t>
  </si>
  <si>
    <t>— А он вообще знал про вас? — **Ни сном ни духом**. Святой человек! [Алексей Иванов. Комьюнити (2012)]</t>
  </si>
  <si>
    <t>(VP) ни сном ни духом PP</t>
  </si>
  <si>
    <t>Зафиксирован вариант конструкции, в котором от "ни сном ни духом" может зависеть предложная группа.</t>
  </si>
  <si>
    <t>А про что вы имеете в виду?» — это староста группы Оксаночка, она полгода как из Богодухова, она в самом деле **ни сном ни духом о чем бы то ни было**. [Марина Вишневецкая. Вышел месяц из тумана (1997)]</t>
  </si>
  <si>
    <t>Прокурор **про беспорядки ни сном ни духом**, только по поводу Кобякова этого озабочен. [Виктор Ремизов. Воля вольная // «Новый мир», 2013]</t>
  </si>
  <si>
    <t>(VP) ни сном ни духом Cl</t>
  </si>
  <si>
    <t>Зафиксирован вариант конструкции, в котором от "ни сном ни духом" может зависеть клауза.</t>
  </si>
  <si>
    <t>То есть иду я себе спокойненько по Губернаторскому, и **ни сном ни духом, какие** тут, в двух шагах, бушуют страсти! [Сергей Шикера. Стень (1998) // «Волга», 2009]</t>
  </si>
  <si>
    <t>2008-2009</t>
  </si>
  <si>
    <t>**Ни сном ни духом, кто** вы, что. [С. А. Самсонов. Кислородный предел (2008-2009)]</t>
  </si>
  <si>
    <t>NP/PronP-Nom не чета NP/PronP-Dat</t>
  </si>
  <si>
    <t>Зафиксировано первое употребление конструкции с идиоматическим значением</t>
  </si>
  <si>
    <t>Съ нетерпѣніемъ ожидаю Шильонскаго Узника; это не чета Пери и достойно такова переводчика каковъ пѣвецъ Громобоя и Старушки. [А. С. Пушкин. Письмо Н. И. Гнедичу (1822.06.27)]</t>
  </si>
  <si>
    <t>$Мы тут одни, нам люди не чета. [Денис Ларионов. Эскапизм, соблазн и галлюциноз: история русской нарколитературы от Гоголя до Пепперштейна (2019.03)]</t>
  </si>
  <si>
    <t>(NP/PronP-Nom) не чета NP/PronP-Dat</t>
  </si>
  <si>
    <t>Зафиксирован вариант конструкции, у которого может быть не заполненной валентность в именительном падеже</t>
  </si>
  <si>
    <t>Уж не чета какому-нибудь нынешнему балагуру, который как начнет москаля везтъ, да еще и языком таким, будто ему три дня есть не давали, то хоть берись за шапку, да из хаты. [Н. В. Гоголь. Вечер накануне Ивана Купала (1831-1832)]</t>
  </si>
  <si>
    <t>Не чета тем, что в телевизоре кувыркаются. [Ким Балков. Балалайка // «Сибирские огни», 2013]</t>
  </si>
  <si>
    <t>(PP/NP/PronP-Nom) не чета NP/PronP-Dat</t>
  </si>
  <si>
    <t>new syntactic role: adjunct of PP</t>
  </si>
  <si>
    <t>Зафиксирован вариант конструкции, в котором валентность, заполняемая группой в именительном падеже, может быть заполнена предложной группой.</t>
  </si>
  <si>
    <t>1879-1881</t>
  </si>
  <si>
    <t>Евреи как древний, много испытавший народ знают это по опыту; пятилетних детей они сажают за грамоту, да еще за какую, — не чета нашей, усваиваемой теперь по звуковому и другим новейшим способам. [Н. И. Пирогов. Вопросы жизни. Дневник старого врача (1879-1881)]</t>
  </si>
  <si>
    <t>В других подразделениях не чета нашим ЧП. [Семен Данилюк. Бизнес-класс (2003)]</t>
  </si>
  <si>
    <t>(PP/VP/NP/PronP-Nom) не чета NP/PronP-Dat</t>
  </si>
  <si>
    <t>Зафиксировано, что конструкция может употребляться как адъюнкт не только именной или местоименной, но и глагольной группы (глагол является предикатом процесса или существования, отличным от быть)</t>
  </si>
  <si>
    <t>— Я отправлю его к своим дальним родственникам, Мнишкам. Они живут богато, не чета нам. Там Станиславу будет, что посмотреть. [Н. Н. Алексеев. Лжецаревич (1899)]</t>
  </si>
  <si>
    <t>Но работал, стервец, грамотно, не чета Коле Ежову, — не подкопаешься. [Григорий Фукс. Двое в барабане // «Звезда», 2003]</t>
  </si>
  <si>
    <t>(PP/VP/NP/PronP) не чета NP/PronP-Dat</t>
  </si>
  <si>
    <t>Зафиксирован вариант конструкции, в котором валентность, заполняемая группой в именительном падеже, может быть заполнена группой в ином падеже</t>
  </si>
  <si>
    <t>Якову сделали выгородку из стеклоблоков, там он и сидел на пару с «КРК» — сверхмощным раухером, не чета переносному «Алконосту», который был у него на турбазе. [Андрей Лазарчук. Все, способные держать оружие... (1995)]</t>
  </si>
  <si>
    <t>Когда мы с каким-то особым снисхождением, как к малолетнему, относимся к литературе и в частности литературной критике 20-х годов, то забываем, что она состояла из взрослых, большей частью сформировавшихся до революциилюдей, нередко получивших образование не чета нынешнему, воспитанных зачастую не только на классике, но и на изысках «серебряного века». [С. Г. Боровиков. Нечто, снятое с якоря… // «Волга», 2011]</t>
  </si>
  <si>
    <t>ни разу не VP</t>
  </si>
  <si>
    <t>Конструкция впервые фиксируется в композциональном значении:кто-либо не делал что-то ни одного раза.</t>
  </si>
  <si>
    <t>Съ того самаго времени, какъ два государства въ мирной союзъ вступили, понынѣ наши люди къ вамъ въ срединное государство торговать ѣздятъ часто, и всегда получаютъ отъ Его Величества превосходнаго и Святѣйшаго Хана высочайшую милость, а къ намъ въ Россію изъ вашихъ людей никто не приѣзжалъ ни разу, теперь васъ господъ у себя видимъ; но не знаемъ, имѣете ли къ Россіи нашей какое дѣло? [А. Л. Леонтьев [перевод отчета Ту Ли-чэня с маньчжурского]. Путешествие китайского посланника к калмыцкому Аюке-хану (1762)]</t>
  </si>
  <si>
    <t>Неужели вы так и не встретились ни разу? [Юрий Лепский. В поисках Бродского // «Дальний Восток», 2019]</t>
  </si>
  <si>
    <t>Зафиксировано, что у якоря конструкции мог быть модификатор-числительное; его утрата фиксируется в начале 20 века.</t>
  </si>
  <si>
    <t>1766-1768</t>
  </si>
  <si>
    <t>Сию комнату пробежать надобно весьма поспешно, и должно стараться, чтоб не зевнуть ни одного разу, ибо везде предстоит тебе погибель. [М. Д. Чулков. Пересмешник, или Славенские сказки (1766-1768)]</t>
  </si>
  <si>
    <t>Был ли когда такой любовник на свете, которому его любовница не солгала бы менее трех раз, которого она не мучила бы, не терзала бы ни одного разу. [Юр. Юркун. Дурная компания (1915)]</t>
  </si>
  <si>
    <t>ни разу не AP</t>
  </si>
  <si>
    <t>Зафиксировано, что в изменяемой части конструкции может появляться прилагательное</t>
  </si>
  <si>
    <t>Океан да небо, то грозные, то милостивые, но ни разу не ласковые. [К. М. Станюкович. Дуэль в океане (1901)]</t>
  </si>
  <si>
    <t>И если в 19 в. процент финского населения стал увеличиваться, то это ни разу не ползучая экспансия как в случае с Балканами. [Форум: Сепаратисты провезли по Петербургу Маннергейма (2012)]</t>
  </si>
  <si>
    <t>Зафиксировано новое значение конструкции: референт именной группы, которая управляет конструкцией, не имеет никаких общих свойств с референтом группы в изменяемой части конструкции</t>
  </si>
  <si>
    <t>Подобно своему сингапурскому кумиру Артамонов ― ни разу не демократ. [Дмитрий Соколов-Митрич. Медленно и неправильно // «Русский репортер», 2013]</t>
  </si>
  <si>
    <t>ни разу PP не VP</t>
  </si>
  <si>
    <t>Зафиксировано, что у якоря конструкции может появляться зависимое-предложная группа.</t>
  </si>
  <si>
    <t>Она его не видела ни разу в жизни и пошла к нему, готовая на все. [Д. М. Шварц. Дневник (1941)]</t>
  </si>
  <si>
    <t>― Я еще ни разу в жизни не пировал в столь ранний час. [Сергей Жемайтис. Большая лагуна (1977)]</t>
  </si>
  <si>
    <t>У конструкции зафиксировано новое значение: вероятность события, названного глаголом в изменяемой части конструкции, очень низка</t>
  </si>
  <si>
    <t>После изобретения фотографии владыка объяснит искусство светописи колебательным действием злых духов ― и раз навсегда откажется сниматься на дагеротип, ― а после строительства магистрали Петербург-Москва ни разу не согласится ехать из столицы в столицу поездом; на лошадках пусть и дольше, но благонадежнее… [Александр Архангельский. Александр I (2000)]</t>
  </si>
  <si>
    <t>ни разу не NP</t>
  </si>
  <si>
    <t>Зафиксировано, что в изменяемой части  конструкции может появляться имя.</t>
  </si>
  <si>
    <t>И люди, ещё вчера понимавшие, что прыткий мужичонка, который появился неизвестно откуда, никаким собственником быть не может, ибо не с чего – как зачарованные, смотрят, как директор завода (тоже ни разу не владелец) «передаёт ему контрольный пакет акций», или делает ещё что-то непонятное, но, видимо, законное… [Константин Крылов. Право владеть (2003) // «Спецназ России», 15.08.2003]</t>
  </si>
  <si>
    <t>большая половина NP-Gen</t>
  </si>
  <si>
    <t>Конструкция впервые зафиксированова в древнерусском языке, когда "половина" могло означать "одна из двух приблизительно разных частей" [Романова и др.: 231]</t>
  </si>
  <si>
    <t>1111—1305</t>
  </si>
  <si>
    <t>Всеволода· Володимера· и мꙑслѧшеть противитисѧ Юргю брату своѥму· но Бъ҃ не попусти лиху бꙑти· бл҃горазу(м̑)нꙑи кнѧ(з̑) Юрги· призва ихъ на снє(м̑) в Суждаль· и исправивше все нелюбьє межю собою· (и) поклонишасѧ Юрью вси· имуще ѥго ѡц҃мъ собѣ и г(с̑)нмъ· цѣловаша кр(с̑)тъ· семтѧ(б̑) въ· з҃· дн҃ь· в канунъ Рж(с̑)тву ст҃ꙑꙗ Бц҃а· и праздьновавше Рж(с̑)тво ст҃ꙑꙗ Бц҃а· ѹ свщ҃наго єп(с̑)па Митрофана· бꙑвше весели· и ѡдаренꙑ с мужи своими· и розъѣхашасѧ⁘ Того(ж̑)· лѣ(т̑) Кирилъ ѥп(с̑)пъ· Ростовьскꙑи· и ѡставивъ єп(с̑)пью приде в Суждаль к ст҃ому Дмитрию· в свою келью· хотѧ лѣчити свою немочь· ꙗже бѣ ѥму внутрь· бѧше же ѥму лице измѣнилосѧ· акꙑ почернѣло ѿ недуга· ѹстнѣ ѡтолстѣли и носъ К тому же и єще приде на нь искушеньє· акꙑ на Иєва· въ єдинъ дн҃ь м(с̑)ца се(м̑)тѧ(б̑)· въ· з҃· все богатьство ѿꙗсѧ ѿ него нѣкакою тѧжею судившю Ꙗрославу тако· ту сущю ѥму на сонмѣ· бѧше(т̑) бо Кирилъ ба҃тъ· ѕ҃· кунами· и селꙑ· и всѣ(м̑) товаро(м̑)· и книгами· и просто рещи такъ бѣ богатъ всѣ(м̑)· такъ ни єдинъ п(с̑)пъ бꙑвъ в Суждальстѣи ѡбласти· ѡн же ѡ все(м̑) ѡ то(м̑) вздасть Бв҃и хвалу· пострижесѧ в скиму того(ж̑) м(с̑)ца· въ· ѕ҃ӏ· дн҃ь· и нар(ч̑)ено бꙑ(с̑) имѧ ѥму Кирьꙗкъ· а что сѧ ѥму ѡста то роздаꙗ любимꙑ(м̑)· и нищи(м̑)⁘ Того(ж̑)· лѣ(т̑)· Стр(с̑)ть новаго мч҃нка Х(с̑)ва· ѥгоже ѹбиша Болгаре в Велико(м̑) градѣ ихъ сь бꙑ(с̑) иного ꙗзꙑка· не Руска(г̑) хр(с̑)ьꙗн же сꙑ· имѣꙗше имѣньѥ много· гостешбу дѣꙗ по градо(м̑)· вниде в Болгарьскꙑи гра· ѡни же ѥмше нудиша и много дн҃ии ласканьє(м̑)· и прѣщеньє(м̑) ѿврещисѧ Х(с̑)а и вѣрꙑ хр(с̑)ьꙗньскꙑꙗ ѡн же не покорисѧ· но всѧ ѡставивъ· изволи паче ѹмрети за Х(с̑)а ѹсѣченъ бꙑ(с̑)· м(с̑)ца априлѧ въ· а҃· дн҃ь ѥгоже Русь хр(с̑)ьꙗне вземше тѣло положиша в гробѣ· идеже вси хр(с̑)ьꙗне лежа(т̑) и створи Бъ҃ мл(с̑)ть вскорѣ за кровь ѥго· погорѣ ѹ него болшаꙗ половина города Великаго а пото(м̑) ѡставшаꙗ часть· загараше(т̑)сѧ дн҃мъ [Суздальская летопись (1111—1305)]</t>
  </si>
  <si>
    <t>От восторга у него кружилась голова: вот та жизнь, вести которую он мечтал большую половину биографии. [И. Ю. Стогов. Буги-вуги-Book. Авторский путеводитель по Петербургу, которого больше нет (2012)]</t>
  </si>
  <si>
    <t>большая половина из NP-Gen</t>
  </si>
  <si>
    <t>Зафиксирована новая модель управления: якорь конструкции управляет группой предлога "из"</t>
  </si>
  <si>
    <t>Я этому верю, беру карты, меня вводят в один дом, где указывают мне собрание сих счастливцев, из которых большая половина сидели в отчаянии, без кафтанов и без камзолов; это меня несколько устрашило, но приятели мои принимаются за убедительные свои доказательства и говорят, что когда двое играют, то неотменно должно, чтоб один из них проиграл, а другой выиграл. [И. А. Крылов. Почта Духов, или Ученая, нравственная и критическая переписка арабского философа Маликульмулька с водяными, воздушными и подземными духами (1789)]</t>
  </si>
  <si>
    <t>И вот, когда с Марфой Ивановной в первом замужестве произошло вышеописанное несчастье и добрые родители ее стали искать любимой доченьке другого мужа, соседка Химка с низкого берега, которая медовые пряники пекла только для себя и целыми днями ела их, а детей своих многочисленных не глядела и нисколько не расстраивалась оттого, что бо’льшая половина из них поумирала во младенчестве, тут воспрянула всем своим беспечным духом и вновь самым рьяным образом стала возбуждать у сына Митрофана мысли о женитьбе на выгодной невесте. [Юрий Петкевич. Возвращение на родину (2001)]</t>
  </si>
  <si>
    <t>AdvP большая половина</t>
  </si>
  <si>
    <t>Зафиксировано, что у якоря конструкции могут появляться зависимые-наречия</t>
  </si>
  <si>
    <t>При всемъ однако же семъ младый Государь и любимецъ Его ясно видѣли, что доколѣ Турки обладать будутъ моремъ и осажденные свободно получать съ онаго могутъ новыя силы, дотолѣ не можно ожидать успѣха, тѣмъ паче, что въ войскѣ Россійскомъ находилась гораздо большая половина Стрѣльцовъ и подобныхъ имъ, которые меньше еще способны были къ осадамъ, нежели къ полевому сраженію, что и самые регулярные полки были еще весьма новы, и впервые только видятъ непріятеля; что недоставало ни искусныхъ Инженеровъ, ни минеровъ, ни артиллеристовъ и ниже Офицеровъ; и что наконецъ наступившая дурная осенняя погода препятствовала и подвозу провіанта, въ которомъ начинали уже чувствовать недостатокъ; а всѣ сіи вмѣстѣ взятыя причины и побуждали оставить осаду. [Иван Голиков. Историческое изображеніе жизни и всѣхъ дѣлъ славнаго женевца, Франца Яковлевича (Франциска Iякова) Лефорта (1800)]</t>
  </si>
  <si>
    <t>― По моему мнению, ― начал князь довольно тихо, ― по моему мнению, вы, господин Докторенко, во всем том, что сказали сейчас, на половину совершенно правы, даже я согласен, что на гораздо большую половину, и я бы совершенно был с вами согласен, если бы вы не пропустили чего-то в ваших словах. [Ф. М. Достоевский. Идиот (1869)]</t>
  </si>
  <si>
    <t>Зафиксировано композициональное употребление конструкции, где "душа" встречается в значении метафизической сущности</t>
  </si>
  <si>
    <t>Народ за то обыкновенно везде негодует на правление и, в противном случае возъярясь и взбесясь, до крайностей великих доходит и стоит за свои заблуждения, не щадя ни души ни тела. [Д. С. Аничков. Рассуждение из натуральной богословии о начале и происшествии натурального богопочитания (1769)]</t>
  </si>
  <si>
    <t>Они все шагают, шагают, уже не ощущая себя, не ощущая ни души, ни тела. [Владимир Тыцких. Через три войны // «Дальний Восток», 2019]</t>
  </si>
  <si>
    <t>VP ни (одной/единой) души</t>
  </si>
  <si>
    <t>Зафиксирован вариант конструкции со значением отсутствие людей. Конструкция отрицательно поляризована.</t>
  </si>
  <si>
    <t>1763-1774</t>
  </si>
  <si>
    <t>Брата своего он сюда привезти боится, чтоб еще скорее ему шеи не сломили, а здесь ни одной души не имеет, кто б ему был истинный друг. [Д. И. Фонвизин. Письма родным (1763-1774)]</t>
  </si>
  <si>
    <t>За год ведь здесь ни души не встретишь. [Александр Купер. Истопник (главы из романа) // «Дальний Восток», 2019]</t>
  </si>
  <si>
    <t>Зафиксирован вариант конструкции с идиоматическим значением с фиксированным якорем: "ни души" зависит от глагола или глагольной группы (в роли глагольной группы часто выступает "нет" или нулевая связка). От "души" может зависеть "одной" или "единой"</t>
  </si>
  <si>
    <t>VP ни (одной/единой живой) души</t>
  </si>
  <si>
    <t>Зафиксирован вариант конструкции, где от души может зависеть не только одной/единой, но и живой</t>
  </si>
  <si>
    <t>Нигде ни одной живой души; везде нечистота, сор и грязь; изломанные и разбросанные грудами стулья, в птичниках мяуканье кошек, ни одного цветка, поломанные и порубленные деревья — везде безобразие и сокрушение, как будто жестокий ураган только что прошел по этим местам свинцовой стопой. [И. И. Лажечников. Гримаса моего доктора (1813)]</t>
  </si>
  <si>
    <t>Да и человеку почему-то не хотелось уходить от них: нигде кругом ни одной живой души, куда ему деваться? [В. А. Марушин. По реке Белой к жемчужине Урала -- пещере Шульган-Таш (2016)]</t>
  </si>
  <si>
    <t>VP ни (одной/единой живой) души (Cl)</t>
  </si>
  <si>
    <r>
      <rPr>
        <sz val="10"/>
        <color theme="1"/>
        <rFont val="Arial"/>
      </rPr>
      <t>Зафиксирован вариант, при котором от "</t>
    </r>
    <r>
      <rPr>
        <i/>
        <sz val="10"/>
        <color theme="1"/>
        <rFont val="Arial"/>
      </rPr>
      <t>души"</t>
    </r>
    <r>
      <rPr>
        <sz val="10"/>
        <color theme="1"/>
        <rFont val="Arial"/>
      </rPr>
      <t xml:space="preserve"> может зависеть клауза.</t>
    </r>
  </si>
  <si>
    <t>— Во всемъ благочестивомъ домѣ не было ни души, которая не старалась бы намъ превѣжливымъ образомъ услуживать, и мы жили въ Якутинѣ съ удовольствіемъ до времени занятія Москвы злодѣемъ; послѣ чего, расплатясь съ добрымъ управителемъ, уѣхали мы изъ дому друзей человѣчества. [М. Д. Потемкинъ. Письмо къ Издателямъ изъ Дорогобужа // «Сынъ отечества», 1813]</t>
  </si>
  <si>
    <t>Во всей пьесе нет ни одной души, которой бы героиня была дорога. [Аркадий Белинков. Сдача и гибель советского интеллигента. Юрий Олеша / Проглоченная флейта (1958-1968)]</t>
  </si>
  <si>
    <t>VP ни (одной/единой Adj) души</t>
  </si>
  <si>
    <t>loss of a compatibility constraint</t>
  </si>
  <si>
    <t>Зафиксирован вариант конструкции, при котором в качестве прилагательного, зависящего от "души", может быть не только "живой", но и любое другое прилагательное, называющее признак людей, на отсутствие которых указывает конструкция. От "души" может зависеть несколько прилагательных сразу.</t>
  </si>
  <si>
    <t>1813-1814</t>
  </si>
  <si>
    <t>Въ Базелѣ не понравилось мнѣ, и нѣтъ ни души знакомой, для того я тамъ не остался. [А. С. Шишков. Письма жене (1813-1814)]</t>
  </si>
  <si>
    <t>Ветер носил туда-сюда какие-то черные хлопья, на засыпанных древних мусором улицах догнивали брошенные машины, среди которых суетились огромные костлявые крысы — целые стаи крыс! И ни одной живой человеческой души… Пашка сел на корточки, закрыл глаза, сжал кулаки. [Михаил Тырин. «Будет немножечко больно» (2014)]</t>
  </si>
  <si>
    <t>Зафиксирован вариант конструкции, при котором при наличии нулевой связки эксплицитно выраженное отрицание может отсутствовать. Таким образом, можно говорить о потере в данном контексте такого крайнего проявления отрицательной поляризации.</t>
  </si>
  <si>
    <t>Все было тихо в селении и по горам окрестным: на дорогах и улицах ни души... стада овец лежали в тени скал... буйволы теснились в грязном водоеме у ключа, выставляя одни морды из болота. [А. А. Бестужев-Марлинский. Аммалат-бек (1831)]</t>
  </si>
  <si>
    <t>Вышли вдвоем. Вокруг ни души. В домиках у пристани никаких признаков жизни, все закрыто. [А. Ф. Чернавский. «Византийское время». Рассказы о паломничестве на Афон в 2019 году (2019)]</t>
  </si>
  <si>
    <t>ни (одной/единой Adj) души</t>
  </si>
  <si>
    <t>Зафиксирован вариант конструкции, который может быть использован самостоятельно в нарративе</t>
  </si>
  <si>
    <t>Опера, виртуозы, артисты, капелла, все там, и мне решительно нечего делать, некуда пойти. Ни души знакомой. Положение мое было бы незавидно, если бы душа моя не носила в себе неотлучной собеседницы, тебя, Матильда... [Н. В. Кукольник. Максим Созонтович Березовский (1844)]</t>
  </si>
  <si>
    <t>Просто «келья — призрак». Ни души! Монахи, наверное, отдыхают в своих кельях-закуточках перед ночной службой. [А. Ф. Чернавский. «Византийское время». Рассказы о паломничестве на Афон в 2019 году (2019)]</t>
  </si>
  <si>
    <t>VP ни (одной/единой) души NP-Gen</t>
  </si>
  <si>
    <t>Зафиксирован вариант конструкции, при котором рестриктор для круга людей, отсутствие которых обозначает конструкция, может задаваться не прилагательным, а именной группой в родительном падеже. В таком случае валентность прилагательного может быть заполнена только прилагательными "одной/единой".</t>
  </si>
  <si>
    <t>— Только ружья наперевес... ура! та-ра-та-та-та! Неприятеля ни души. Знаете, все удивились. [Л. Н. Толстой. Рубка леса. Рассказ юнкера (1855)]</t>
  </si>
  <si>
    <t>От тех, кто действительно чего-то стоит, — не просто отвернуться, а так обдать презрением, чтобы уж никаких сомнений — рядом равных с ним ни души. [И. Н. Вирабов. Андрей Вознесенский (2015)]</t>
  </si>
  <si>
    <t>Зафиксировано, что в этот период времени валентность на глагольную группу, от которой зависит "ни души", заполняется почти исключительно "не + нулевая связка, нет, видеть, показаться, встретиться, найтись" и подобными бытийными глаголами</t>
  </si>
  <si>
    <t>— Тут вот и наш скот вместе ходит, — объясняет толстовец, — Лев Николаевич никогда ничего против этого не скажет, позволяет... Ни души не видно кругом. Белый каменный дом со своею зеленою крышею и стеклянною верандою кажется точно нежилым, да и на самом деле в нем заняты хозяином только две крайние комнатки в нижнем этаже с маленькими окнами в сад и черным узким входом с неряшливо содержимого двора, рядом со зданием людской кухни... [А. К. Гермониус. В Ясной Поляне. У Льва Толстого (1897)]</t>
  </si>
  <si>
    <t>Мы попали во двор того самого п-образного строения — там не было ни души и стояла абсолютная тишина. [Роман Романов. Вom caminho, или Пилигримуши на Пути Святого Иакова // «Дальний Восток», 2019]</t>
  </si>
  <si>
    <t>VP ни (одной/единой) души из NP-Gen.Pl</t>
  </si>
  <si>
    <t>Зафиксирован вариант конструкции, где рестриктор может быть выражен "из" + именем/именной группой в родительном падеже.</t>
  </si>
  <si>
    <t>Подошел инженер О. и рассказал новости: из пароходной команды нет ни души. [Н. А. Тэффи. Воспоминания (1932)]</t>
  </si>
  <si>
    <t>Стояло несколько коек, из людей — ни души. [И. Е. Селиванов. Cеливанов И. Е., Катаева Н. Г. И была жизнь... (1981)]</t>
  </si>
  <si>
    <t>NP-Dat NP-Gen не занимать</t>
  </si>
  <si>
    <t>Idiomatic source</t>
  </si>
  <si>
    <t>Конструкция впервые зафиксирована в её идиоматическом значении -- наличие у кого-либо какого-либо свойства в высокой степени</t>
  </si>
  <si>
    <t>1783-1786</t>
  </si>
  <si>
    <t>Не думай того, чтоб он нашел на дуру!..  **Мне**, слава богу, **ума не занимать**!  Я тотчас пойду… [Д. И. Фонвизин. Бригадир (1783-1786)]</t>
  </si>
  <si>
    <t>А там, кто знает, она же актриса, Тамара Трегубова, а **сестрице ее выдержки не занимать**, это уж я точно знаю, под прицелом, хоть и газовым, постояла. [Александр Мардань. Тайна на троих // «Дальний Восток», 2019]</t>
  </si>
  <si>
    <t>NP-Gen не занимать</t>
  </si>
  <si>
    <t>В начале возникновения конструкции валентность обладаемого могли заполнять только неисчисляемые имена существительные.</t>
  </si>
  <si>
    <t>NP-Dat не занимать</t>
  </si>
  <si>
    <t>В начале возникновения конструкции валентность обладателя могли заполнять только одушевленные имена существительные.</t>
  </si>
  <si>
    <t>NP-Dat/в NP-LOC NP-Gen не занимать стать</t>
  </si>
  <si>
    <t>Зафиксирована форма якоря конструкции "не занфимать стать". "Стать" -- устаревшая модальная частица, употреблявшаяся после отрицательного инфинитива и означавшая уверенность говорящего в пропозиции, названной в инфинитивной клаузе [Ожегов, Шведова 1992].</t>
  </si>
  <si>
    <t>Много ли человеку надобно: кусок хлеба для утоления голода ― он у меня в котомке; чашка воды для спасения от жажды, но ― возьми горсть снега, так и напился, а **снегу в Руси** видишь сколько ― **не занимать стать** (незнакомец обвел около себя рукою, указывая на сугробы, окружавшие все окрест их); сажень места, где прилечь живому… мертвому, ― нечего о себе заботиться: сыщется земля-матушка, в которой грешные кости согреются от зимы смертной, найдется лоскут холстины, в который завернут землю, земле отдаваемую, и руки, которыми уровняют твою могилу, чтобы проложить по ней дорогу живым! [Н. А. Полевой. Клятва при гробе Господнем (1832)]</t>
  </si>
  <si>
    <t>2004-2008</t>
  </si>
  <si>
    <t>Не знаю в русской литературе другого писателя, столь одержимого требованиями Совести, а уж **русской литературе совестливости не занимать стать**. [С. Б. Рассадин. Книга прощаний. Воспоминания о друзьях и не только о них (2004-2008) ]</t>
  </si>
  <si>
    <t>NP-Dat/в NP-LOC не занимать</t>
  </si>
  <si>
    <t>Зафиксировано, что валентность обладателя в конструкции получает возможность быть заполненной неодушевленным именем.</t>
  </si>
  <si>
    <t>Потому как **популярности ему** всегда было **не занимать** ― жрет всего 5 литров на сотню, длина ― 3 метра (по тесным евроулочкам кататься в самый раз), цена ― привет студентам, да и внешнее обаяние налицо. [Top 10 культовых автомобилей (2003) // «Хулиган», 15.12.2003]</t>
  </si>
  <si>
    <t>в NP-LOC не занимать</t>
  </si>
  <si>
    <t>Зафиксировано, что в конструкции неодушевленный посессор получает возможность вводиться с помощью предлога "в".</t>
  </si>
  <si>
    <t>Но вслед за тем протестант не удержался, стал хулить и православие, тогда Оокава стал на защиту православного учения и в свою очередь напал на протестантизм, и так как **в нем дефектов не занимать стать**, и все сквозят, точно дырявая рубаха, то невзрачную наготу протестантства Павлу Оокава нетрудно было обнаружить; разбил он того проповедника вполне, и вся аудитория была на его стороне, а Павел Хорикоси торжествовал в своем православном одушевлении. [архиепископ Николай Японский (Касаткин). Дневник (1903)]</t>
  </si>
  <si>
    <t>Зафиксировано, что валентность обладаемого получили возможность заполнять исчисляемые имена существительные.</t>
  </si>
  <si>
    <t>1853-1861</t>
  </si>
  <si>
    <t>Это, разумеется, дает повод к толкам; ну, и **знакомых-то у меня**, слава богу, **не занимать стать** ― довольно!.. [И. С. Никитин. Письма (1853-1861)]</t>
  </si>
  <si>
    <t>Это была кинопародия на **коммерческие фильмы, которых** тогда тоже было **не занимать стать** на наших экранах. [Василий Катанян. Прикосновение к идолам (1998)]</t>
  </si>
  <si>
    <t>у NP-LOC не занимать</t>
  </si>
  <si>
    <t>Зафиксирован новый вариант маркирования посессора: с помощью предлога "у".</t>
  </si>
  <si>
    <t>А у нас таковых ― надо сознаться ― не занимать-стать пока. [В. В. Крестовский. Петербургские трущобы. Книга о сытых и голодных. Части 1-3 (1864) ]</t>
  </si>
  <si>
    <t>С одной стороны, в этом нет ничего удивительного: хулиганства у нас не занимать. [А. А. Тарковский. Мартиролог. Дневники 1970--1986 (1977)]</t>
  </si>
  <si>
    <t>Зафиксировано, что что конструкция получает возможность означать большое количество чего-либо в мире, а не у конкретного посессора, который не выражен и не подразумевается.</t>
  </si>
  <si>
    <t>Но этого [нет] и в мыслях; а просто, зря гноят силы людей ― тот же катехизатор мог бы быть несравненно полезнее в другом месте, где действительно требуется проповедник, а таких мест не занимать-стать, здесь же ни за что ни про что губит целый год на дело, которое мог бы делать один вместо двоих, и приучается к лени, опускается, каких я теперь и вижу Нараяма и Ооцуки, просто лежебоки и дармоеды. [архиепископ Николай Японский (Касаткин). Дневники (1881)]</t>
  </si>
  <si>
    <t>Надеемся, что читателя не смутят, если мы будем пользоваться им в том смысле, который сейчас был точно определен.  Тепла вокруг нас не занимать стать.  Но, увы, вся эта энергия движения молекул совершенно бесполезна: она не может быть превращена в работу. [А. И. Китайгородский,  Л. Д. Ландау. Физика для всех. Молекулы (1978)]</t>
  </si>
  <si>
    <t>Конструкция впервые фиксируется в идиоматическом значении "какой-либо поступок неуместен в какой-либо ситуации"</t>
  </si>
  <si>
    <t>Зачем изволил поместить женитьбу в послужной список? Это, право, ни к селу ни к городу! [Ф. В. Ростопчин. Ох, французы! (1812)]</t>
  </si>
  <si>
    <t>― Песня такая есть, ― говорит она ни к селу ни к городу. [Александра Тайц. Остров сокровищ // «Сибирские огни», 2012]</t>
  </si>
  <si>
    <t>Когда конструкция впервые фиксируется, её синтаксическая роль -- предикат.</t>
  </si>
  <si>
    <t>Эстетам он ни к селу ни к городу: ничего сверхъестественного, но из-за географии миновать Норрмальм не получится ― центр. [Григорий Гольденцвайг. Стокгольм (2011)]</t>
  </si>
  <si>
    <t>VP ни к селу ни к городу</t>
  </si>
  <si>
    <t>Зафиксирована новая синтакческая роль конструкции: адъюнкт глагольной группы.</t>
  </si>
  <si>
    <t>― Нет, батюшка, мы говорили про себя и даже не видали его, а он сам вдруг взбеленился ни к селу, ни к городу, ― отвечал мещанин. [Ф. В. Булгарин. Димитрий Самозванец (1830)]</t>
  </si>
  <si>
    <t>NP ни к селу ни к городу</t>
  </si>
  <si>
    <t>Зафиксирована новая синтакческая роль конструкции: адъюнкт именной группы</t>
  </si>
  <si>
    <t>Все возвратились в архондарик, опричь нас с консулом, очень обидевшимся пренебрежением оратора к России и восхвалением паши ни к селу ни к городу. [архимандрит Антонин (Капустин). Дневник (1881)]</t>
  </si>
  <si>
    <t>Прочерк рассеянный, сделанный кем-то чужим, посторонним, растяпой, ленивцем, давно и привычно скучающим на службе, в тексте, которому жить да жить еще, без таких вот, ни к селу ни к городу, прочерков, жить да жить, пережить поколения, позабыться, на время, чтобы, разом вспомнившись, оживая, возвратиться, уже навсегда. [В. Д. Алейников. Тадзимас (2002)]</t>
  </si>
  <si>
    <t>NP/VP Adv ни к селу ни к городу</t>
  </si>
  <si>
    <t>Зафиксировано, что у якорая конструкции появляется возможность модификации наречием.</t>
  </si>
  <si>
    <t>Вот уж поистине ни к селу, ни к городу видение. [архимандрит Антонин (Капустин). Дневник (1881)]</t>
  </si>
  <si>
    <t>― Ну, это уж совсем ни к селу ни к городу. [Галина Щербакова. Подробности мелких чувств (2000)]</t>
  </si>
  <si>
    <t>Зафиксировано, что у конструкции возникает новое значение: "какое-либо событие произошло неожиданно для кого-либо".</t>
  </si>
  <si>
    <t>Вот так на спинке Каринкиного жилета ни к селу ни к городу образовался карман. [Наринэ Абгарян. Всё о Манюне (сборник) (2012)]</t>
  </si>
  <si>
    <t>XP ни о чём</t>
  </si>
  <si>
    <t>Зафиксирован композициональный источник конструкции -- отрицательно поляризованное местомение с предлогом.</t>
  </si>
  <si>
    <t>XIV—XV вв</t>
  </si>
  <si>
    <t>Всякой бо вещи ястье и питье и богатство ищется, а въ брани ни о чем же, точию о души своей коиждо".[]Стефанит и Ихнилат (XIV—XV вв.)</t>
  </si>
  <si>
    <t>Беспомощное, спокойное, ни о чем не беспокоящееся, навсегда уже равнодушное к себе, к судьбе своей и никак уже не могущее повлиять на судьбу многотерпеливого села Кокошкино. [Владимир Тыцких. Через три войны // «Дальний Восток», 2019]</t>
  </si>
  <si>
    <t>Зафиксировано, что при сочетании с именами, называющими ту или иную форму речи, "ни о чём" начинает употребляться без какого-либо лицензора отрицательно поляризованной единицы. В этом случае конструкция означает, что у результата речевой деятельности нет никакого смысла.</t>
  </si>
  <si>
    <t>Под эту призму становится обыкновенно подруга девушки, и ― боже мой! ― сколько тут является важных открытий ничего, тайных разговоров ни о чем, писем и записок, стихов и альбомов, узоров по канве и пересылки нот, где стихи Жуковского и Пушкина, понятные только перегоревшей душе, поются на голос романса королевы Гортензии и «Фрейшиц» переделан в вальсы и кадрили безбожными врагами музыки! []Н. А. Полевой. Эмма (1834)</t>
  </si>
  <si>
    <t>Сабашников — пишет театральные пьесы для одного актера, сам их печатает, сам читает; пьесы ни о чем, как и поздравление, долгий разговор ни о чем, даже не очень остроумный. [Александр Мардань. Тайна на троих // «Дальний Восток», 2019]</t>
  </si>
  <si>
    <t>VP  ни о чём</t>
  </si>
  <si>
    <t>Зафиксировано, что "ни о чём" может употребляться без лицензора с глаголами речи.</t>
  </si>
  <si>
    <t>Мы, русские, можем без преувеличения сказать о себе, что, образуясь да образуясь, уже достигли половины этого совершенства: мы уже очень хорошо и плавно разговариваем ни о чем и только не знаем, как сделать, чтобы, собравшись вместе, не говорить о ком-нибудь. [О. И. Сенковский. Теория образованной беседы (1835)]</t>
  </si>
  <si>
    <t>Мерно взбулькивая, журча, пошептывая нежностью преображенными плесками, вскрикнув ни с того ни с сего несуразное раздухарившейся вдруг бесшабашной, загульной волной, речка твердит ни о чем, течет ни о чем, она не подозревает, о чем я, о чем же я в затишках своих существую, и остерегается нарушить мой забывшийся, как бы лишь по касательной присутствующий здесь покой неуместной своей и меня отягчившей бы враз мыслью ли, жизнью ль. [Валерий Володин. Там, на краешке бессмертного лета. Быль // «Волга», 2016]</t>
  </si>
  <si>
    <t>NP/VP Adv ни о чём</t>
  </si>
  <si>
    <t>Зафиксировано, что если "ни о чём" используется без лицензора, то это выражение может не иметь отрицательных коннотаций. В этом случае оно означает, что содержание результата (речевой) деятельности трудно описать</t>
  </si>
  <si>
    <t>Мертвенно охватившее забвенье длится иногда еще с несдвижимой в чувствах зимы, и тогда обнаруживаешь, что очутился в немыслимо странных ― с морозного взгляда ― пределах лета, очнулся вне чуть ли не намертво привыкших к тебе снега и белизны, влюбленных в тебя втихаря и безответно морозов, ― снулая жизнь, которая покинула твое зимнее измедленное запустенье и непоправимо как будто бы отдалилась, внезапно возвращается прояснившей волной, долгое время тобой пустовавшей, а теперь спохватившейся щедростью с лихвой затопившей, ― средь речисто, пречисто звенящего, кузнечиково стрекочущего, неумолчно лепечущего полынным прогорклого лета, едва ли не наугад сотворенного из страстных избытком своим видений, на древнем от песчаной вечности бережке незатейливо осмысленной речки, тщетно все пытающейся уже давно и бережно и безбрежно привести тебя в чувство своим драгоценнейшим разговором ни о чем, а точней ― обо всем, что ни есть, что только ни бывает в этом с потайной изнанки прекрасном мире. [Валерий Володин. Там, на краешке бессмертного лета. Быль // «Волга», 2016 ]</t>
  </si>
  <si>
    <t>Зафиксировано, что "ни о чём" без лицензора получает возможность сочетаться с именами, не называющими результат речевой деятельности.</t>
  </si>
  <si>
    <t>1958-1973</t>
  </si>
  <si>
    <t>Но ни образование, ни воспитание, ни опыт ничуть не подводят нас к величайшему испытанию жизни: к аресту ни за что и к следствию ни о чём. [ А. И. Солженицын. Архипелаг ГУЛаг (1958-1973)]</t>
  </si>
  <si>
    <t>1998-2007</t>
  </si>
  <si>
    <t>Витают, зависают мысли ни о чем, о том, что видится, ― аптека-улица-фонарь, трамвай-скамейка-урна-еще скамейка, сосиска-булочка-горчица, собака-витрина-дерево… [ Михаил Гиголашвили. Экобаба и дикарь (1998-2007) // «Зарубежные записки», 2009 ]</t>
  </si>
  <si>
    <t>NP (Cop) ни о чём</t>
  </si>
  <si>
    <t>Зафиксировано, что "ни о чём" без лицензора получает возможность употребляться в качестве предиката.</t>
  </si>
  <si>
    <t>Он вообще обходится без нравоучений. Его поэзия ― ни о чем. О чем «Евгений Онегин»? [М. С. Фонотов. Дикие орхидеи ситниковского лога // «Уральская новь», 2003]</t>
  </si>
  <si>
    <t>Закон не нужен Какая-то дурацкая статья ни о чем. В Чечне война идет. [Дискуссия // «Русский репортер», 2014]</t>
  </si>
  <si>
    <t>Зафиксировано, что если "ни о чём" является предикатом, то оно может характеризовать любое имя, не связанное с речевой деятельностью. В этом случае эта идиома означает, что объект, который она характеризует -- некачественный; его невозможно использовать.</t>
  </si>
  <si>
    <t>Я ими уже почти 2 года занимаюсь, другой машины просто не надо. Клюгер ни о чем. У Ёпта хороший Ипс ― Жирный такой:))) У мну Синговские есть ― дешевле, кожа рожа все дела:))) [Форум: Какой из минивэнов взять? (07.2008)]</t>
  </si>
  <si>
    <t>Askitreja. Вариант ― ни о чём, по-моему… RUMALI. [Форум: Древний Рим и общество потребления (10.2010)]</t>
  </si>
  <si>
    <t>(NP) все (NP) до одного (NP-Gen)/(NP) все (NP) до единого (NP-Gen)</t>
  </si>
  <si>
    <t>Зафиксировано употребление выражения в идиоматическом значении. Может употребляться с зависимым словом, выражающим минимальную составляющую квантифицируемого множества</t>
  </si>
  <si>
    <t>1682-1709</t>
  </si>
  <si>
    <t>А буде им… к высылке учинишь кому хотя малую поноровку и к Москве их [к] указному сроку всех до одного человека не вышлешь, и тебе за то от  нас […] быть в опале… [И. А. Желябужский. Дневные записки (1682-1709)]</t>
  </si>
  <si>
    <t>Уральцы торопят его, торопят время, как будто оно не приближает их к войне, к фронту, к ранам и смерти, а ведет к чему-то лучшему и счастливому, о чем все до одного, не исключая рядового Ваганова, давно и страстно мечтают. [Владимир Тыцких. Через три войны // «Дальний Восток», 2019]</t>
  </si>
  <si>
    <t>Зафиксировано употребление выражения со множеством неживых объектов.</t>
  </si>
  <si>
    <t>1764-1765</t>
  </si>
  <si>
    <t>А нельзя сказать, чтоб все до одного желания наши таковы были, на которые бы благоразумие и об общей пользе попечение всегда соглашаться дозволяло. [С. А. Порошин. Семена Порошина записки, служащие к истории Его Императорского Высочества Благоверного Государя Цесаревича и Великого Князя Павла Петровича [Извлечения] (1764-1765)]</t>
  </si>
  <si>
    <t xml:space="preserve">Они были с ключиком, надел их Ахмаду на руки — носи. Рации все до одной побиты. Среди камней лежали чудом уцелевшие деформированные буханки хлеба, солдатские фляжки, в них булькала вода. [Валентин Никитин. Время сладкого янтака (главы из романа) // «Дальний Восток», 2019] </t>
  </si>
  <si>
    <t>(NP) все (NP) до одного/(NP) все (NP) до единого</t>
  </si>
  <si>
    <t>Зафиксировано употребление выражения с недискретным множеством объектов.</t>
  </si>
  <si>
    <t>Он позвонил кухарку, велел позвать Антропова, приказал ему, чтобы вся команда, до одного, собралась в конвойную, а через час отправился туда сам и не возвращался вплоть до ужина. [И. В. Омулевский. Острожный художник // Художественный журнал, 1882]</t>
  </si>
  <si>
    <t>Можно совершенно уверенно утверждать – прими Корнилов сторону большевиков, и весь полк до единого человека последовал бы за ним, заняв на страницах истории место где-то между латышскими стрелками и мадьярами Белы Куна. [Армен Асриян. Логика сильных (2003) // «Спецназ России», 15.02.2003]</t>
  </si>
  <si>
    <t>Зафиксированы употребления с частицами и "почти", вставленными между частями выражения.</t>
  </si>
  <si>
    <t>По счастию старика, в собрании тогда особенные места назначены были для чужестранных, в которые приметя старик, что в них лакедемоняне сидели, принужден был выйти к ним, где по приближении его лакедемоняне, народ больше набожный и добродетельный, нежели вежливый и ученый, привстали старику все даже до единого и с великим почтением посадили его с собой. [С. Е. Десницкий. Слово о прямом и ближайшем способе к научению юриспруденции (1768)] [омонимия не снята]</t>
  </si>
  <si>
    <t>1939-1941</t>
  </si>
  <si>
    <t>Все же наши ребята, почти до одного, чем-нибудь да болели, конечно не серьезно. [Александр Гнедин. Письма (1939-1941)]</t>
  </si>
  <si>
    <t xml:space="preserve">до одного (NP-Gen) (NP) все (NP)/до единого (NP-Gen) (NP) все (NP) </t>
  </si>
  <si>
    <t>Зафиксировано постпозитивное употребление "весь" по отношению к "до одного" или "до единого".</t>
  </si>
  <si>
    <t>А хотя бы и до единого младенца «зныщылы» вы всех татар, все же осталось бы против нас врагов немало, и не у кого было бы нам «шукать» опоры! [М. П. Старицкий. Молодость Мазепы // «Московский листок», 1898]</t>
  </si>
  <si>
    <t>И только благодаря тому обстоятельству, что почти до одного человека в этой мастерской все люди были сочувствующими или причастными к движению, то они, конечно, молчали о таких выходках со стороны некоторых невоздержанных людей. [И. В. Бабушкин. Воспоминания (1901)]</t>
  </si>
  <si>
    <t>(NP) (все) (NP) до одного (NP-Gen)/(NP) (все) (NP) до единого (NP-Gen)</t>
  </si>
  <si>
    <t>Зафиксированы употребления со следующим свойством: "весь" из части якоря становится своеобразным лицензором, и теперь его место могут занимать слова, сходные с ним по значению ("полностью","каждый", "целый" и пр.)</t>
  </si>
  <si>
    <t>…до единого каждый лепесток достиг предела пышности, красоты и силы… [Б. А. Садовской. Лебединые клики (1911)]</t>
  </si>
  <si>
    <t xml:space="preserve">Кстати, комитет на сегодняшний день уже полностью арестован, до одного человека. [Василий Аксенов. Любовь к электричеству (1969)] </t>
  </si>
  <si>
    <t>NP (VP) в своём уме</t>
  </si>
  <si>
    <t>Зафиксировано использование в значении "вести себя нормально, быть адекватным".</t>
  </si>
  <si>
    <t>Три дня тому назад я видел тебя; ты еще был здоров, в своем уме... [А. Н. Плещеев. Дружеские советы (1849)]</t>
  </si>
  <si>
    <t>Если он достанет из папки-инструкции конверт, вскроет его, прочтет и наберет код, следовательно, он в своем уме и ему можно доверить ручное управление. [Л. А. Данилкин. Юрий Гагарин (2011)]</t>
  </si>
  <si>
    <t>NP (VP) не в своём уме</t>
  </si>
  <si>
    <t>Зафиксировано использование в значении "быть сумасшедшим".</t>
  </si>
  <si>
    <t>В расходной тетради, вместо итога, явилась чья-то мужская голова — Юлия Цезаря, по ее сказкам матери. В часы, назначенные поварне, ей хотелось танцевать, в часы уроков на арфе — молиться. То забывала она ключи в ящике, то вместо сладкого миндалю насыпала для пирожного горького, то оставляла стул посреди комнаты — вещь, которая для матери ее была страшнее планеты, грозящей стоптать землю. Наконец уж и сам отец заметил, что дочь не в своем уме, когда она налила ему кофе без сахару и в задумчивости сорвала какой-то чудесный тюльпан, что искони считалось смертным грехом в доме его. — Два аршина с четвертью! — вскричал он, отворив большие глаза. — Это что-нибудь да значит! Между тем, однакож, как Амур готовил суматоху в семье Саарвайерзена, судьба сбиралась изломать его стрелы. [А. А. Бестужев-Марлинский. Лейтенант Белозор (1830)]</t>
  </si>
  <si>
    <t>Рядом девка в самом соку, и даже более того. Как насчет близких контактов четвертой степени, неужели не было такой мысли? Скажите честно. — Я же говорил, она немного того, — ответил Сараев. — Не совсем в своем уме. — Да, я заметил. Ну, так это же скорее плюс. Зачем вам ее ум? — Демид вздохнул. [Сергей Шикера. Выбор натуры // «Волга», 2014]</t>
  </si>
  <si>
    <t>Зафиксировано использование в значении "вести себя странно, необычно".</t>
  </si>
  <si>
    <t>Кузовкин [(] поспешно) . Соврал-с, Ольга Петровна, непременно соврал-с. Что пришло на язык, то и сказал. Виноват-с. Не в своем уме находился. Ольга. Однако... с чего бы, кажется, пришло вам в голову... Кузовкин. А бог знает, с чего. [И. С. Тургенев. Нахлебник (1848)]</t>
  </si>
  <si>
    <t>Никто в своём уме не приютит нелегала. [Марина Ясинская. Уйти красиво (2015)]</t>
  </si>
  <si>
    <t>NP (VP) (не) в своём уме</t>
  </si>
  <si>
    <t>Зафиксировано употребление выражения с проявляющимися свойствами отрицательно поляризованной единицы: отрицательная частица может пропадать, если выражение стоит в лицензирующем контексте.</t>
  </si>
  <si>
    <t>— Александр, ты не бредишь? Ты в своем уме? — Я в своем уме, — отвечал он. [И. С. Тургенев. Несчастная (1868)]</t>
  </si>
  <si>
    <t>Потом сестра звонила мне, ругалась: «Ты в своем уме?! [Светлана Беллендир. Уфа - Луганск. Дорога дружбы // «Бельские просторы», 2018]</t>
  </si>
  <si>
    <t>PronInt PronPers-Dat/NP-Dat угодно</t>
  </si>
  <si>
    <t>Зафиксировано композициональное употребление конструкции: частица "угодно" сообщает о соответствии чьей-то воле/желанию</t>
  </si>
  <si>
    <t>1119 -1199</t>
  </si>
  <si>
    <t xml:space="preserve"> се бъ҃ волю свою како єму ѹгодно. тако створилъ єсть. [Киевская летопись (1119—1199)]</t>
  </si>
  <si>
    <t>Это уж как Хозяину будет угодно, — сказал Данилин, снова показывая куда-то вверх. [Аркадий Мацанов. Мастер и подмастерье (2016) // «Ковчег», 2015]</t>
  </si>
  <si>
    <t>Зафиксировано идиоматичное употребление конструкции: безразличие говорящего к выбору другого участника, возможность любого выбора</t>
  </si>
  <si>
    <t>Однако, собравши хотя последние силы, сказал он слуге, что удовольствует его господина, как ему угодно, и, очень мало посидя у меня, без всех любовных церемоний со мной расстался и поехал от меня весьма смущен и в превеликой трусости. [М. Д. Чулков. Пригожая повариха, или Похождение развратной женщины (1770)]</t>
  </si>
  <si>
    <t>О да, господа, вы свободны не только звать, но и идти куда вам угодно, хотя бы в болото. [Л. А. Данилкин. Ленин: Пантократор солнечных пылинок (2017)]</t>
  </si>
  <si>
    <t>Зафиксировано, что бенефициант наличия неограниченного выбора может быть генерическим.</t>
  </si>
  <si>
    <t xml:space="preserve">Если я хочу на кого из визирей писать сатиру, то должен обыкновенно трафить на порок, коему он более подвержен; но и тут принужден часто входить в самые мелкости, чтобы он себя узнал, что до оды, то там совсем другой порядок: можно набрать сколько угодно похвал, поднести кому угодно; и нет визиря, который бы описания всех возможных достоинств не принял сколком с своей высокой особы». [И. А. Крылов. Каиб. Восточная повесть (1792)] </t>
  </si>
  <si>
    <t>Наоборот, их страдания он надеялся обернуть в свою пользу и писал: «Именно теперь и только теперь, когда в голодных местах едят людей и на дорогах валяются сотни, если не тысячи, трупов, мы можем (и поэтому должны) провести изъятие церковных ценностей с самой бешеной и беспощадной энергией и не останавливаясь [перед] подавлением какого угодно сопротивления”. [cвященник Александр Мазырин. Патриотическое служение святого Патриарха Тихона // «Церковь богословие история», 2020]</t>
  </si>
  <si>
    <t>дальше ехать/идти некуда</t>
  </si>
  <si>
    <t>Зафиксированы употребления источника конструкции: фразеологизм "дальше ехать/идти некуда" со значением финальной точки, высшей степени чего-то. Употребляется обычно самостоятельно.</t>
  </si>
  <si>
    <t>Он завершает собою науку. Дальше идти некуда. Конечно, можно еще расширять, обогащать науку новыми открытиями фактов (новых планет, комет и т. д.), улучшать методы вычисления, проводить основной закон до мельчайших частностей, расширять его область на другие системы и т. д. [Н. Я. Данилевский. Россия и Европа (1869)]</t>
  </si>
  <si>
    <t>Дальше ехать некуда, решите вы — и ошибётесь. [Вадим Эрлихман. Микроскопом по истории // «Родина», 2008]</t>
  </si>
  <si>
    <t>дальше некуда</t>
  </si>
  <si>
    <t>Зафиксированные употребления без компонента "идти/ехать". Употребляется обычно самостоятельно.</t>
  </si>
  <si>
    <t>Цивилизация зашла в тупик. Дальше некуда. Обещали, что прогресс умственный приведет ― не вышло. [Л. Н. Толстой. Записные книжки (1900-1910)]</t>
  </si>
  <si>
    <t>В магазине цены: хлеб — 24 рубля буханка, сахар — 430 рублей килограмм, колбаса — 1450 рублей килограмм, копчёная — 1950 рублей килограмм, масло сливочное — 1450 рублей. Дальше некуда. 20 января 1994 года. [Наталья Радулова. Как выживали в 1990-е. Воспоминания из соцсетей (23.03.2020) // 2020]</t>
  </si>
  <si>
    <t>такой/такая/такое/так, что дальше некуда</t>
  </si>
  <si>
    <t>Зафиксированные употребления в конструкции к "такой Х, что" и подобных, которая, в свою очередь, является адъюнктом определения; то есть выражение употребляется уже менее синтаксически обособленно от остального предложения.</t>
  </si>
  <si>
    <t>― Но жулик это уж верно. Такая бестия, что дальше некуда. Что ни начнет делать, все у него перерасход. [П. С. Романов. Неподходящий человек (1926)]</t>
  </si>
  <si>
    <t>Но Августа это не испугало – его только что шокировали так, что дальше некуда. [Елена Сафронова. Так проходит слава земная // «Бельские просторы», 2018]</t>
  </si>
  <si>
    <t>дальше/больше/хуже некуда</t>
  </si>
  <si>
    <t>Употребления в якоре конструкции вместо "дальше" также "хуже" и "больше".</t>
  </si>
  <si>
    <t>Небось не сладко живете? — Хуже некуда! Среди толпы Федор заметил Васяню, тихо пробирающегося к нему. [А. А. Богданов. Федор Шуруп (1930)]</t>
  </si>
  <si>
    <t>И, если Бамбора назвал меня этим погонялом, значит, ему действительно хуже некуда. [Валентин Бердичевский. Цирк // «Дальний Восток», 2019]</t>
  </si>
  <si>
    <t>Adv-Cmp/Adj-Cmp некуда</t>
  </si>
  <si>
    <t>Зафиксированы употребления в сравнительной степени любых прилагательных, наречий и слов категории состояния.</t>
  </si>
  <si>
    <t>4 января. Вторник. Была в воскресенье вечером у Юрия. Этот вечер мы были совсем близко, ближе некуда. Прорываются фразы: «мы будем», «у нас будет» и т.д. Мне казалось, что я по поводу этого вечера целые страницы напишу, а и две-то строчки только написать не могла. И не могу писать! [И. Н. Кнорринг. Дневник (1927)]</t>
  </si>
  <si>
    <t>Я баба простая... — Проще некуда, — усмехнулся Донцов. — С твоими-то пониманиями... [Анатолий Салуцкий. Немой набат // «Москва», 2019]</t>
  </si>
  <si>
    <t>Зафиксированные употребления выражения в позиции предиката (как обычное прилагательное) (также в качестве аргументов таких глаголов как "оказаться", "быть" и пр.).</t>
  </si>
  <si>
    <t>1942-1952</t>
  </si>
  <si>
    <t>Глаз у меня, будьте покойны, верней некуда! [Михаил Бубеннов. Белая береза / части 3-6 (1942-1952)]</t>
  </si>
  <si>
    <t>— Так, духу-покровителю больше не наливаем, — уверенно произнес Виктор Михайлович, двигая к себе бутылку, которая и без того была к нему ближе некуда. [А. Б. Сальников. Петровы в гриппе и вокруг него // «Волга», 2016]</t>
  </si>
  <si>
    <t>Зафиксированные употребления выражения в позиции адъюнкта именной группы (как обычное прилагательное).</t>
  </si>
  <si>
    <t>Работу ты нашёл себе лучше некуда . [Андрей Волос. Недвижимость (2000) // «Новый Мир», 2001]</t>
  </si>
  <si>
    <t>Зафиксированные употребления выражения в позиции адъюнкта или аргумента глагольной группы (как обычное наречие).</t>
  </si>
  <si>
    <t>На первый взгляд позаботились о рабочих, а на самом деле обеспечили покой себе: если нет простоя, значит, мы хорошие руководители, и дела на вверенном нам предприятии идут лучше некуда. [Владимир Белов. Вперед, «полосатые…» // «Юность», 1963]</t>
  </si>
  <si>
    <t>Только в этом же 1948-м ему — казалось бы, уже взлетевшему выше некуда, к тому же любимцу Сталина — выделили подобающую его статусу квартиру на улице Горького, 27. [В. О. Авченко. Фадеев (2017)]</t>
  </si>
  <si>
    <t>Зафиксированные употребления "дальше некуда" в качестве адъюнкта прилагательного.</t>
  </si>
  <si>
    <t>Совсем забыл, там же был отзыв из твоего отдела. Такой хвалебный, дальше некуда. Виктор потер руки. [Даниил Гранин. Искатели (1954)]</t>
  </si>
  <si>
    <t>Это, если смотреть на нее невооруженным взглядом, а вооруженным она фальшивая дальше некуда. [М. Б. Бару. Повесть о двух головах // «Волга», 2014]</t>
  </si>
  <si>
    <t>не то что Cl</t>
  </si>
  <si>
    <t>У конструкции есть композициональный источник: отрицание указательного местоимения, от которого зависит клауза с союзом/союзным словом "что".</t>
  </si>
  <si>
    <t>Все твое, свѣта отца нашего, не то что на росходъ приказнымъ людемъ послать, и пьемъ и ѣдимъ и носимъ все твое святителское, и опрочи Господа Бога, и пресвятые Богородицы, и тебе свѣта, милостиваго отца нашего, помошника къ себѣ никого не имѣемъ, и впредъ надежду возлагаемъ на Господа Бога и на твою, свѣта отца нашего, милость и заступленіе; а безъ твоего, отца нашего, милости и заступленія, что отъ насъ строителю и стряпчему сдѣлать, ты воленъ, свѣтъ отецъ и съ нами: Божіи да твои раби. [Отписка архимандрита Филофея патриарху Никону с объяснением по грамоте патриарха от 7 мая 1666 года (1666.05.25—1666.05.31)]</t>
  </si>
  <si>
    <t>Любит делать то, что ему хочется, а не то, что надо. [Аристарх Ромашин. Заветное желание // «Дальний Восток», 2019]</t>
  </si>
  <si>
    <t>XP не то что XP</t>
  </si>
  <si>
    <t xml:space="preserve">Зафиксировано, что "не то что" становится одним союзом. Значение этого союза -- противопоставлять группу, которая от него зависит, другой группе, которая называет что-то, что  обладает тем же свойством, что и группа в сфере действия союза, но в большей степени. </t>
  </si>
  <si>
    <t>А что, г(о)с(у)д(а)рь, мое холопа твоего за жит(ь)е, вѣдама тебѣ г(о)с(у)д(а)рю: отца, матери, роду и племяни никово нет, не то что, г(о)с(у)д(а)рь, в дому твоем г(о)с(у)д(а)рском, и нигде нет. [Челобитная дворового человека П. Иванова А. И. Безобразову (1689.10)]</t>
  </si>
  <si>
    <t>А теперь-то и все человечьи магазины закрылись, не то что собачьи. [Гульчера Быкова. Лорд и хозяйственное мыло // «Дальний Восток», 2019]</t>
  </si>
  <si>
    <t>extension: loss of scalarity</t>
  </si>
  <si>
    <t>У конструкции зафиксировано новое значение: группа, которая находится в сфере действия союза "не то что" и обладает каким-либо свойством, противопоставляется группе, которая обладает противоположным свойством.</t>
  </si>
  <si>
    <t>Сице бо он в своей Апологии к неверным римляном глаголет: «Аще бы, ― рече, ― явне мы вам неприятельми восхотели быти, не то что отмстительми тайными, скудная ли была бы нам сила множества и воинства? [архиепископ Феофан (Прокопович). Слово о власти и чести царской… (1718)]</t>
  </si>
  <si>
    <t>Голова болела, но не так, как прежде, — это была боль наружная, несерьезная, не то, что раньше — нутряная, глубинная боль, доводящая до безысходности, разрывающая мозг и душу. [Николай Крупин. Головная боль // «Дальний Восток», 2019]</t>
  </si>
  <si>
    <t>extension: adding of scalarity</t>
  </si>
  <si>
    <t>У конструкции зафиксировано новое значение: группа, которая находится в сфере действия союза "не то что" и обладает каким-либо свойством, противопоставляется группе, которая обладает обладает тем же свойством в меньшей степени</t>
  </si>
  <si>
    <t>Не то что болен, однако ж не вовсе здоров, матушка; не худо бы его полечить. [М. Н. Загоскин. Искуситель (1838)]</t>
  </si>
  <si>
    <t>Такие вещи можно в любой мастерской слепить, не то что на крупном питерском заводе. [Александр Бармин. Трудолюбы, дармоеды и кибернетика // «Дальний Восток», 2019]</t>
  </si>
  <si>
    <t>У конструкции зафиксировано новое значение: группа, которая находится в сфере действия союза "не то что" и обладает каким-либо свойством, противопоставляется группе, которая обладает обладает похожим свойством. Таким образом, новое значение союза -- уточнение.</t>
  </si>
  <si>
    <t>Он был человек уже немолодой, но свежий и здоровый, усы и чуб были не то что седые, а серые. [Т. Г. Шевченко. Наймичка (1844)]</t>
  </si>
  <si>
    <t>Их какое-то время не то что не замечали ― боялись понять до конца, что это означает, что надвигается на город”, ― напишет человек, выживший после страшной блокады Ленинграда. [cвященник Вячеслав Суховецкий. К вопросу о положении омского духовенства в 1920 году // «Церковь богословие история», 2020]</t>
  </si>
  <si>
    <t>не то что XP не то что XP</t>
  </si>
  <si>
    <t>Зафиксирован новый вид якоря конструкции: парный союз "не то что ... не то что".</t>
  </si>
  <si>
    <t>Вот я приехал сюда и живу себе, — не то что под опалою, не то что в милости, а так, ни то ни се!.. [М. Н. Загоскин. Брынский лес (1846)]</t>
  </si>
  <si>
    <t>Я буду не то что чиновник министерства, не то что частный человек. [И. С. Аксаков. Письма родным (1849-1856)]</t>
  </si>
  <si>
    <t>У конструкции зафиксировано новое значение: в сфере действия обоих частей парного союза находятся группы, обладающие двумя противоположными свойствами. При этом сам парный союз указывает на то, что группа, которую хараткеризуют группы в сфере его действия, не обладает ни одним из названных свойств в полной мере.</t>
  </si>
  <si>
    <t>не то что XP</t>
  </si>
  <si>
    <t>Зафиксировано, что у конструкции исчезает компонент изменяемой части -- группа, такая же, как и группа в сфере действия союза "не то что".</t>
  </si>
  <si>
    <t>1850-1856</t>
  </si>
  <si>
    <t>— Так ты отказываешься? — спросил я Сидора. — Оно не то что отказ, да ведь кабы Бог помог миновать поганое место, так бы ничто себе, а то сам знаешь, на базаре другой головы не купишь [П. П. Ершов. Осенние вечера. Рассказы от скуки. (1850-1856)].</t>
  </si>
  <si>
    <t>Это было не то что раньше, когда даже самый благочестивый человек мог утомиться от многочасового стояния в церкви без понимания того, что происходит пред глазами. [протоиерей А. Г. Гупало. Церковное пение нагайбаков верхнеуральского уезда Оренбургской губернии // «Церковь богословие история», 2020 ]</t>
  </si>
  <si>
    <t>У конструкции возникает новое значение: группа, от которой зависит союз "не то что" означает то, что не в полной мере может быть описано группой, которая находится в сфере действия союза.</t>
  </si>
  <si>
    <t>Публикация в «Правде» была не то что разгромной ― в конце концов, книга получила Сталинскую премию, по ней уже снималось кино. [В. О. Авченко. Фадеев (2017)]</t>
  </si>
  <si>
    <t>место</t>
  </si>
  <si>
    <t>Зафиксированные употребления в локативном значении.</t>
  </si>
  <si>
    <t>945 (нач. XII века)</t>
  </si>
  <si>
    <t>И ѡ томъ аще ѡбрѧщють Русь кубару Гречьскую въвержену на коемъ любо мѣстѣ, да не преѡбидѧть ея. [Договор князя Игоря с греками (944–945). Повесть временных лет (нач. XII в.)]</t>
  </si>
  <si>
    <t>В Госдуме тоже пытаются бороться с курением, отвели для этого специальные места, однако сами же депутаты Госдумы, которые должны подавать всем пример (и я в этом полностью согласен с губернатором Пензенской области), постоянно нарушают правила и продолжают курить везде, как и курили. [Форум: Всемирный день отказа от курения (2011)]</t>
  </si>
  <si>
    <t xml:space="preserve">Зафиксированные употребления в новом значении: появляется темпоральная семантика, метафорический переход ПРОСТРАНСТВО → ВРЕМЯ. </t>
  </si>
  <si>
    <r>
      <rPr>
        <sz val="10"/>
        <color theme="1"/>
        <rFont val="Arial"/>
      </rPr>
      <t>... єсть ту манастъıрь &lt;...&gt; на Болдиных горахъ и до сего мѣста. [Лаврентьевская летопись, 193 (107</t>
    </r>
    <r>
      <rPr>
        <sz val="10"/>
        <color theme="1"/>
        <rFont val="Arial"/>
      </rPr>
      <t>4)]</t>
    </r>
  </si>
  <si>
    <t>Такие, которые, надеясь на родительское защищение, по службе и по должностям своим ни к чему не прилежали, пока достойный или случайный родитель их поддерживал, по тех мест недостоинства их закрывались, но вместе со смертью того, и все пороки их явны всем стали. [M.M. Щербатов. Размышления о смертном часе (1788)]</t>
  </si>
  <si>
    <t>по PronDem-Acc места</t>
  </si>
  <si>
    <t>Зафиксированы употребления конструкции "по DEM-ACC.PL места", употребляемой с разными указательными местоимениями. Встречается и в локативном, и в темпоральном значении.</t>
  </si>
  <si>
    <t>1477–1480</t>
  </si>
  <si>
    <t>И единому прерѣкоша: "Постригися ― здравъ будеши!", а другому рече: "Иди, молви своимъ другомъ: по ся мѣста не украдите, не разбиете, останите грѣховъ своих". [Повесть о житии Михаила Клопского (1477—1480)]</t>
  </si>
  <si>
    <t>А на Подчернева, г(о)с(у)д(а)рь, мы холопи твои ездили, прудов осматривали и старосту подчерневскова и крестьян спрашивали, вычистены л(ь) пруды и по каторое места. [Грамотка приказчиков А. Никифорова и Е. Сергеева из д. Тельчья (1681.01)]</t>
  </si>
  <si>
    <t>по ка места</t>
  </si>
  <si>
    <t>Выделение конструкции "по ка места". Сохраняется и локативная, и темпоральная семантика.</t>
  </si>
  <si>
    <t>... а поеди, господине, и мы тебе межу укажем, по ка места земля митрополичя Каринского села. [Правая грамота, суда С. Д. Кроткого, по докладу в. кн. Дмитрию Ивановичу, посельскому Сухому и крестьянам митрополичьего села Каринского, Переяславского у., на селище Горлышовское, бывшее у них в споре с Ф. И., А. И. и Я. И. Струниными (1498.03)]</t>
  </si>
  <si>
    <t>Мы по ка мѣста стали похат(ь), дали они, и Марка с крепостьми на ту землю приежал, Ивана Апухтина люди приежали с крепостьми, и Марко хотел к тѣ[бе] г(о)с(у)д(а)рю про все то дело отписат(ь). [Грамотка приказчика В. Иванова и старосты А. Тарасова из д. Завалова (1687.04)]</t>
  </si>
  <si>
    <t>по ка мест</t>
  </si>
  <si>
    <t>erosion</t>
  </si>
  <si>
    <t>Зафиксированные употребления с выпавшей финалей -а, рассогласованным местоимением и существительным.</t>
  </si>
  <si>
    <t>1562–1563</t>
  </si>
  <si>
    <t>... к тому селу и к деревням истори потегло, по ка мест ходила соха и коса и топор, с лесы, и з болоты, и с луги, с пашенными, и не с пашенными в наследье вечных благ впрок без выкупа и без отмены. [Данная кн. Дмитрия Ивановича Немого Иос.-Вол. монастыря иг. Леониду на с. Локныш в Локнышск. ст. Рузск. у (1562—1563)]</t>
  </si>
  <si>
    <t>1568–1569</t>
  </si>
  <si>
    <t>... со всем угодьем, что х той деревне истари потягло, по ка мест ходила соха и коса и топор. [Данная Сувора и Михаила Безобразовых детей Хворостинина, Иос-Вол. монастыря иг. Леониду на дер. Высокую в Локнышск. ст. Рузск. у (1568—1569)]</t>
  </si>
  <si>
    <t>покаместа</t>
  </si>
  <si>
    <t>Зафиксированные употребления сращённого варианта "покаместа". Сохраняется и локативная, и темпоральная семантика.</t>
  </si>
  <si>
    <t>1526–1527</t>
  </si>
  <si>
    <t>... а по тем межа[м] и ямы покопаны, с луги и с лесом, покаместа тех деревень топор и соха и коса ходила. [Купчая с отводом арх. Чудова монастыря Ионы с братьею у Андрея Меньшого Иванова сына Говоркова на дд. Лысуха, Субочево, Подохсты и луг Шапкинский в Сурожском ст. Московского у (1526—1527)]</t>
  </si>
  <si>
    <t>Покаместа живы, потаместа будем вспоминать нераздельно с Вами эти милые места с самыми лучшими чувствами. [С. Ф. Платонов. Письма (1910)]</t>
  </si>
  <si>
    <t>покамест</t>
  </si>
  <si>
    <t>Зафиксированные употребления сращённого варианта "покамест" только в темпоральной семантике. Локальная полностью пропадает.</t>
  </si>
  <si>
    <t>... Сава Дмитревич Сюзев дал есми в дом светаго Спаса и светаго Благовещенья архимариту Малафею з братиею свою вотчинную пустошь селища Спаское на речке на Куллюсерме, в Курмышском уезде, со всем, покамест плуг ходил и коса, и з бортным ухожеем, что к той пустоши пришла, промеж Урги и Уронги и Мухины. [Данная грамота С. Д. Сюзова архимандриту митрополичьего нижегородского Благовещенского монастыря Малахии на пустошь селища Спасского, в Курмышском у (1399.01)]</t>
  </si>
  <si>
    <t>Сайт покамест не восстановлен, хотя много времени уже прошло. [Наши дети: Подростки (2004)]</t>
  </si>
  <si>
    <t>VP на ночь глядя</t>
  </si>
  <si>
    <t>Зафиксировано употребление выражения с негативной коннотацией: «поздно вечером, в неуместное время».</t>
  </si>
  <si>
    <t>— Угораздила же его нелегкая истопить печь на ночь глядя! [К. П. Масальский. Стрельцы (1832)]</t>
  </si>
  <si>
    <t>Вот ведь, черт побери, опять в чащу — на ночь глядя! [Роман Романов. Вom caminho, или Пилигримуши на Пути Святого Иакова // «Дальний Восток», 2019]</t>
  </si>
  <si>
    <t>(VP) на ночь глядя</t>
  </si>
  <si>
    <t>Зафиксированные употребления с опущенной глагольной вершиной.</t>
  </si>
  <si>
    <t>― Куда же это вы, на ночь глядя? ― сказал мой товарищ. [В. Г. Короленко. Марусина заимка (1899)]</t>
  </si>
  <si>
    <t>Зафиксированные употребления с расширенным списком субъектов действия (не обязательно человек), сочетаемость с неодушевлёнными субъектами, деятельность которых не может восприниматься неестественной для данного времени суток. Теперь выражение может модифицировать не только человеческую деятельность.</t>
  </si>
  <si>
    <t>Вечер-то больно хорош — как бы только, на ночь глядя, дождика не было. [Юрий Слёзкин. Бабье лето (1911)]</t>
  </si>
  <si>
    <t>И только тут до меня дошло, что набравший крейсерскую скорость поезд, на ночь глядя, несет меня без остановок к конечной станции итальянской Швейцарии, городу Лугано… [Владимир Краснов. Альпийские сны (17.11.2012) // «Новгородские ведомости», 2012]</t>
  </si>
  <si>
    <t>Зафиксированные употребления выражения без негативной окраски, как указание на позднее время суток.</t>
  </si>
  <si>
    <t>Употребления с конструкцией в качестве самостоятельного высказывания, синтаксически обособленного от остального предложения.</t>
  </si>
  <si>
    <t>― Как?! На ночь глядя? ― воскликнула Равская. [Виктор Пронин. Самоубийство (1978)]</t>
  </si>
  <si>
    <t>― Ты бы, Коть, не уходил! На ночь глядя… [С. И. Шуляк. Квартира номер девять. Роман с чертовщиной // «Волга», 2013]</t>
  </si>
  <si>
    <t>VP тютелька в тютельку</t>
  </si>
  <si>
    <t>Зафиксировано употребление выражения в идиоматическом значении "ровно, точно, как раз", с глаголами швейного дела и по отношению к предметам одежды</t>
  </si>
  <si>
    <t>[Варвара Сергеевна (жен, сестра Гулячкина)] Платье на Настьке сошлось тютелька в тютельку.
 [Н. Р. Эрдман. Мандат (1924)]</t>
  </si>
  <si>
    <t>На Машу же пальто пришлось тютелька в тютельку.
 [Галина Щербакова. Три любви Маши Передреевой (2002)]</t>
  </si>
  <si>
    <t>(VP) тютелька в тютельку</t>
  </si>
  <si>
    <t>Конструкция, ранее бывшая аргументом глагола, начинает употребляться обособленно</t>
  </si>
  <si>
    <t>— Правильно!  Тютелька в тютельку!  Копейка в копейку!
 [А. С. Макаренко. Случай в походе (1937)]</t>
  </si>
  <si>
    <t>Тютелька в тютельку.  — Где ты набрал этого барахла? — спросил Федота Иван Филиппович, разглядывая детские вещи, разложенные по всей мастерской.
 [Елена Макарова. Ни гу-гу (1978-2008) // «Ковчег», 2014]</t>
  </si>
  <si>
    <t>Значение "ровно, точно, как раз" характеризует не только действия, направленные на предметы одежды, но и психологические явления</t>
  </si>
  <si>
    <t>Есть же культурная и симпатичная молодежь, с которой я сошелся «тютелька в тютельку» бы! [Г. С. Эфрон. Дневники. Т. 1. 1940 (1940)]</t>
  </si>
  <si>
    <t>Глаша, закончив печать, отключила машину от электричества и посчитала пачки.  Всё сходилось тютелька в тютельку.  — Усё, дядь Гриш!  [Александр Балашов. Марашка на носу вождя // «Ковчег», 2015]</t>
  </si>
  <si>
    <t>Выражение начинает использоваться в идиоматичном значении с глаголами, отличными от тех, которые обозначают швейное дело</t>
  </si>
  <si>
    <t>Есть же культурная и симпатичная молодежь, с которой я сошелся «тютелька в тютельку» бы!
 [Г. С. Эфрон. Дневники. Т. 1. 1940 (1940)]</t>
  </si>
  <si>
    <t>Глаша, закончив печать, отключила машину от электричества и посчитала пачки.  Всё сходилось тютелька в тютельку.  — Усё, дядь Гриш!
 [Александр Балашов. Марашка на носу вождя // «Ковчег», 2015]</t>
  </si>
  <si>
    <t>Выражение перестает быть аргументом глагольной группы</t>
  </si>
  <si>
    <t>На растрескавшейся эмали котла остаются сажевые следы, зато мера точная, тютелька в тютельку — две ладошки.
 [Николай Дубов. Мальчик у моря (1966)]</t>
  </si>
  <si>
    <t>Вот тютелька в тютельку семечка, вернее, осиновый
 [Владимир Ланг. Калейдоскоп детства // «Ковчег», 2013]</t>
  </si>
  <si>
    <t>NP тютелька в тютельку</t>
  </si>
  <si>
    <t>Выражение начинает выступать в роли адъюнкта именной группы</t>
  </si>
  <si>
    <t xml:space="preserve">тютелька в тютельку </t>
  </si>
  <si>
    <t>Выражение становится предикатом</t>
  </si>
  <si>
    <t>1983-1984</t>
  </si>
  <si>
    <t>низкие, а в самый раз, тютелька в тютельку!» Ну погладь, погладь
 [Геннадий Алексеев. Зеленые берега (1983-1984)]</t>
  </si>
  <si>
    <t>Мои чувства к вам были тютелька в тютельку как ваши ко
 [Владимир Соколов. Заметки переводчика // «Дальний Восток», 2019]</t>
  </si>
  <si>
    <t>VP PronInt  (ни) попало</t>
  </si>
  <si>
    <t>Зафиксировано, что конструкция возникла из сочетания "глагол повреждения + PronInt  + попало". Её композициональное значение-инсточник: попадание по любому объекту, нанесение урона любому объекту</t>
  </si>
  <si>
    <t>«Mem Gott, Jesus, Maria!» ― кричал немец, не переставая, однако, упираться сколько было силы и исправно действовать ногами и руками по чему ни попало.  [В. Т. Нарежный. Российский Жилблаз, или Похождения князя Гаврилы Симоновича Чистякова (1814)]</t>
  </si>
  <si>
    <t>1998-2004</t>
  </si>
  <si>
    <t>Это Афанасьев, Ионис и брат Мстислав вбежали в клетку и принялись по чем попало палками колотить Багиру, нередко попадая и по мне.  [Вальтер Запашный. Риск. Борьба. Любовь (1998-2004)]</t>
  </si>
  <si>
    <t>VP PronInt попало</t>
  </si>
  <si>
    <t>Зафиксировано некомпозицональное значение конструкции: любое действие, направленное на большое количество случайных объектов</t>
  </si>
  <si>
    <t>От изнурения лошадей иные полки вышли ночью, седлы вывезли на повозках, а мы церемонияльным маршем прошли все лагери; а потом кто в чем попало. [М. П. Загряжский. Записки (1770-1811)]</t>
  </si>
  <si>
    <t>На шахматной доске шестьдесят четыре клетки, ограничен и набор фигур и пешек, и ходить они могут не как попало, а по определенным правилам.  [Любовь Шконда. «Двенадцать звуков разной высоты». О книге стихов Александра Куликова // «Дальний Восток», 2019]</t>
  </si>
  <si>
    <t>PronInt  ни попало</t>
  </si>
  <si>
    <t>Зафиксирован новый вариант якоря "ни попало".</t>
  </si>
  <si>
    <t>Он же такого крутого нраву, что упаси господи; того и смотрю, что резнет меня чем ни попало; рассуди ж, моя матушка, вить долго ль до беды: раскроит череп разом [Д. И. Фонвизин. Бригадир (1783-1786)]</t>
  </si>
  <si>
    <t>Начать с того, что лишний раз высморкаешься, от души утрешься, неуличенно ладонью под носом с развратной свободой елозя, прочистишь забитые чем ни попало физиологические каналы.[Валерий Володин. Повесть временных лет // «Волга», 2011]</t>
  </si>
  <si>
    <t>PronInt  (ни) попадя</t>
  </si>
  <si>
    <t>Зафиксирован новый вариант якоря "(ни) попадя".</t>
  </si>
  <si>
    <t>Какая жена мужа выдаст, а я тебя чем ни попадя, я тебя всего искусаю за мужа, коли сила не возмет; откачнись без греха, а то быть тебе либо без глаз, либо без бороды. [П. А. Плавильщиков. Бобыль (1790)]</t>
  </si>
  <si>
    <t>Так этих аборигенок изобразил, что, кажется, они тут круглый год качаются на волнах, как ундины, да ещё и кричат, что ни попадя. [Олег Воропаев. Предзимний сезон // «Бельские просторы», 2018]</t>
  </si>
  <si>
    <t>как (ни) попало / попадя</t>
  </si>
  <si>
    <t>У варианта конструкции "как (ни) попало" зафиксировано новое значение: плохое качество выполнения какого-либо действия</t>
  </si>
  <si>
    <t>Шаховской не имеет большого вкуса, он худой писатель ― что ж; он такой? ― неглупый человек, который, замечая все смешное или замысловатое в обществах, пришед домой, все записывает и потом как ни попало вклеивает в свои комедии. [А. С. Пушкин. Лицейский дневник (1815)]</t>
  </si>
  <si>
    <t>Современные же — я уж не знаю, можно ли их назвать переводчиками, писателями и поэтами точно нельзя — переводят как попало. [Владимир Соколов. Заметки переводчика // «Дальний Восток», 2019]</t>
  </si>
  <si>
    <t>без году неделя, как VP</t>
  </si>
  <si>
    <t>Описание непродолжительного периода статской службы, начало которой отмечается в придаточном с союзом как</t>
  </si>
  <si>
    <t>1752-1823</t>
  </si>
  <si>
    <t>Онъ, безъ году недѣля, какъ показался въ канцелярiи, а мы день и ночь трудились, и размѣщаемся теперь подругимъ присутственнымъ мѣстамъ на меньшiя ваканцiи!</t>
  </si>
  <si>
    <t>без году неделю</t>
  </si>
  <si>
    <t>Возможность употребления второго имени выражения в Винительном падеже</t>
  </si>
  <si>
    <t>И я вѣдь безъ году недѣлю жила съ хозяиномъ [М. П. Погожин. Марфа, посадница Новгородская: трагедия в пяти дѣйствиях в стихах (1830)]</t>
  </si>
  <si>
    <t>Василиса, я понимаю, что ты без году неделю работаешь у нас, но ты-то, Герман.. [Елена Гавар. Человек без гожи (2023)]</t>
  </si>
  <si>
    <t>без года неделю</t>
  </si>
  <si>
    <t>Возможность употребления второго имени выражения в Винительном падеже при Родительном падеже первого имени</t>
  </si>
  <si>
    <t>Вы, может быть, здесь без года неделю живете, а я к здешнему дому всегда была приближена, потому не только Алексей Алексеевичу, а еще и батюшке ихнему Алексею Прокофьичу, дай Бог ему царство небесное, мой покойник служил [А. А. Потехин. Виноватая (1868)]</t>
  </si>
  <si>
    <t>Поэтому первое время, говоря о новой бригаде, приходилось уточнять: «Это бригада не того Глебова, а другого -- Владимира, самотлорца, совсем молодого, того, что мастером без года неделю [Рафаэль Гольдберг. Этот молодой Глебов // «Техника - молодежи», 1974]</t>
  </si>
  <si>
    <t>без года неделя</t>
  </si>
  <si>
    <t>Возможность употребления Родительного падежа первого имени выражения</t>
  </si>
  <si>
    <t>Вот, Мирон Липатыч, без года неделя вы живете в здешнем доме, а уж поминутно без спросу отлучаетесь; как ни хватись, вас дома нет [А. Н. Островский. Невольницы (1881)]</t>
  </si>
  <si>
    <t>Без года неделя председатель, а на людей кидаешься! [Наши достижения (1936)]</t>
  </si>
  <si>
    <t>без году неделя NP</t>
  </si>
  <si>
    <t>Вершиной сочетания с идиомой теперь может также быть имя</t>
  </si>
  <si>
    <t>1843-1845</t>
  </si>
  <si>
    <t>Есть люди, которые верят, или только делают вид, что верят, будто Карамзиным русский язык совершенно утвердился и дальше идти не может: много благодарны за этот язык-скороспелку, которому только без году неделя, а он уж и состарелся! [В. Г. Белинский. Собрание сочинений. В 9-ти томах. Т. 7. Статьи, рецензии и заметки, декабрь 1843 -- август 1845. (1843-1845)]</t>
  </si>
  <si>
    <r>
      <rPr>
        <u/>
        <sz val="10"/>
        <color rgb="FF1F1F1F"/>
        <rFont val="Arial"/>
      </rPr>
      <t>У меня сразу ассоциация с событиями многолетней Кавказской войны, по окончанию которой горцам запретили лишь одно: торговлю людьми. А у самих без году неделя люди шли на аукционах как скот [</t>
    </r>
    <r>
      <rPr>
        <u/>
        <sz val="10"/>
        <color rgb="FF1155CC"/>
        <rFont val="Arial"/>
      </rPr>
      <t>https://forum.vgd.ru/6171/133734/</t>
    </r>
    <r>
      <rPr>
        <u/>
        <sz val="10"/>
        <color rgb="FF1F1F1F"/>
        <rFont val="Arial"/>
      </rPr>
      <t>]</t>
    </r>
  </si>
  <si>
    <t>без году неделя VP/</t>
  </si>
  <si>
    <t>Выражение может употребляться без придаточного с как</t>
  </si>
  <si>
    <t>без году неделя NP/VP</t>
  </si>
  <si>
    <t>Семантический переход, основанный на смежности значения выражения "недолгий промежуток времени" с "несколько дней"</t>
  </si>
  <si>
    <t>Мошкинъ, такъ тотъ - съ, окрoмя того, слабости человѣческой подверженъ, безъ году недѣлю трезвымъ его увидишь... [Russkoe slovo. (1865)]</t>
  </si>
  <si>
    <t>Скоро без году неделя шатаюсь по присутственным местам, Библиотекам, барам и борделям [vk (28.09.2018)]</t>
  </si>
  <si>
    <t>без году неделя назад</t>
  </si>
  <si>
    <t>После выражения добавляется "назад"</t>
  </si>
  <si>
    <t>А все оттого, конечно, что привычки еще у насъ нѣтъ, на примѣръ прошлаго нельзя сослаться, потому что все это началось у насъ безъ году недѣлю назад, да и то изъ подражанiя, а не самостоятельно [Отечественныя записки (1869)]</t>
  </si>
  <si>
    <t>Он окончил Кембридж без году неделю назад, но производит самое приятное впечатление [Элоиза Джеймс. Три недели с леди Икс (2015)]</t>
  </si>
  <si>
    <t>Ранее выражение подразумевало короткий срок и неопытность, теперь может употребляться для выражения восхищения опытностью и успехами человека с коротким сроком работы</t>
  </si>
  <si>
    <t>В артели без году неделя, а уже старший конюх, ведает всем колхозным тяглом [А. И. Мусатов. Большая весна (1957)]</t>
  </si>
  <si>
    <t>Подумать только, без году неделя в Москве, а уже печатается в ведущих органах [Василий Аксенов. Таинственная страсть (2007)]</t>
  </si>
  <si>
    <t>VP без году неделя</t>
  </si>
  <si>
    <t>Глагол в сочетании с идиомой теперь может быть переходным</t>
  </si>
  <si>
    <t>Много ли вы меня знаете? Как простые люди говорят, без году неделя... Ваша болезнь сблизила нас, это точно... [П. Д. Боборыкин. Проездом (1884)]</t>
  </si>
  <si>
    <t>Некогда было задумываться, почему первая его мысль была не о жене, а об этой женщине, которую и знал-то без году неделю, но всю эту «неделю без году» жил только ею [Когда уходит человек. (2020). Россия: Время.]</t>
  </si>
  <si>
    <t>VP до упора (N-Gen) (в N-Acc)</t>
  </si>
  <si>
    <r>
      <rPr>
        <sz val="10"/>
        <color theme="1"/>
        <rFont val="Arial"/>
      </rPr>
      <t>Зафиксированные употребления конструкции в терминологизованном значении, где предлог "</t>
    </r>
    <r>
      <rPr>
        <i/>
        <sz val="10"/>
        <color theme="1"/>
        <rFont val="Arial"/>
      </rPr>
      <t xml:space="preserve">до" </t>
    </r>
    <r>
      <rPr>
        <sz val="10"/>
        <color theme="1"/>
        <rFont val="Arial"/>
      </rPr>
      <t>управляет якорным компонентом "</t>
    </r>
    <r>
      <rPr>
        <i/>
        <sz val="10"/>
        <color theme="1"/>
        <rFont val="Arial"/>
      </rPr>
      <t>упор"</t>
    </r>
    <r>
      <rPr>
        <sz val="10"/>
        <color theme="1"/>
        <rFont val="Arial"/>
      </rPr>
      <t>.</t>
    </r>
  </si>
  <si>
    <t>Положим, что пушечка ввинчена въ трубку h до упора головою своею i (…) [Н. Щеглов. Сѣверный Муравей: газета промышленности, изданная на 1830 год. Том 1]</t>
  </si>
  <si>
    <t>Наклон в сторону до упора руками в стену — оставаться в этом положении 10 секунд, вернуться в исходную позицию. [С. Валентинов. Двигаемся, чтобы похудеть // «Наука и жизнь», 2007]</t>
  </si>
  <si>
    <t>VP до упора</t>
  </si>
  <si>
    <t xml:space="preserve">Зафиксированные употребления конструкции в пространственном значении без зависимых. </t>
  </si>
  <si>
    <t>Потомъ устанавливаетъ сборку въ пазы подвижной доски лакировочнаго прибора, поднимаетъ посредствомъ рычага планку со стерженьками ( гребень) , такъ, чтобы стерженьки вышли изъ ящика съ лакомъ , имѣя на концахъ своихъ по каплѣ лаку ; потомъ передвинувъ подвижную доску съ сборкою впередъ до упора, вдругъ опускаетъ планку со стержнями и такимъ образомъ переноситъ въ капсюли весь лакъ , приставшій къ стерженькамъ. [Polnoe sobranie zakonov Rossijskoj Imperii. (1847). Russia: (n.p.).]</t>
  </si>
  <si>
    <t>Идите до упора налево, совершите прыжок назад и доберитесь до вершины стены, на которую можно взобраться, затем прыгните направо. [Властелин колец: Голлум. Прохождение игры (2023) // gameawards.ru]</t>
  </si>
  <si>
    <t xml:space="preserve">VP до упора </t>
  </si>
  <si>
    <t>Зафиксированные употребления конструкции c пространственным значением метафорического характера в контексте описания движения/расположения.</t>
  </si>
  <si>
    <t>Зафиксированные употребления конструкции в количественном значении объёма.</t>
  </si>
  <si>
    <t>Намолимся тогда, наѣдимся до упора всякаго добраго, что захотимъ, споемъ, что захотимъ, все подѣлаемъ! [Новое слово (1896)]</t>
  </si>
  <si>
    <t>В первый вечер ресторан вообще был заполнен до упора, официанты подавать вина не успевали. [Туры в Hotel Grand Bavaro Princess 5, Пунта Кана, Доминикана (отзыв) // pegas-agent.ru]</t>
  </si>
  <si>
    <t>Зафиксированные употребления конструкции, где на первый план выходит сема высокой степени, при вершинах определённых типов (в особенности при глаголах (действиях, деятельностях, занятиях и состояниях) и девербативах) реализуется темпоральное значение (идея продолжительности или достижения результата)).</t>
  </si>
  <si>
    <t>Пушкин Центр студенчества составляли натуралисты. Доведение «до упора» в натуру было их целью. Отзывы, похвалы, отборы в оригиналы и первые категории отличали эти работы. [К. С. Петров-Водкин. Моя повесть. Часть 2. Пространство Эвклида (1932)]</t>
  </si>
  <si>
    <t>2000-2023</t>
  </si>
  <si>
    <t>Последние просто работают до упора – если есть, что делать, надо это сделать. [ruSkell]</t>
  </si>
  <si>
    <t>NP до упора</t>
  </si>
  <si>
    <t>Зафиксированные употребления с присоединением к отглагольным существительным (значение высокой степени).</t>
  </si>
  <si>
    <t>Доведение «до упора» в натуру было их целью. [К. С. Петров-Водкин. Моя повесть. Часть 2. Пространство Эвклида (1932)]</t>
  </si>
  <si>
    <t>...при последующем разгоне даже при значительном нажатии на педаль акселератора (но не до упора) понижающие пережачи не включаются при скорости 24 км/ч и более... [Автомобильный и городской транспорт, том 2 (1965)]</t>
  </si>
  <si>
    <t>Adj до упора</t>
  </si>
  <si>
    <t>Зафиксированные употребления с присоединением к прилагательным (значение высокой степени).</t>
  </si>
  <si>
    <t>1981-1984</t>
  </si>
  <si>
    <t>Водолазы челюсть тогда нашли. Мироненко счастлив до упора. Тащит их в кабак. [Сергей Довлатов. Компромисс (1981-1984)]</t>
  </si>
  <si>
    <t>Главная героиня - глупая до упора, продажная идиотка, настолько поверхностная, что страшно видеть её. [Отзыв на фильм "Завтрак у Тиффани" (2022) // kinopoisk.ru]</t>
  </si>
  <si>
    <t>Ptcp до упора</t>
  </si>
  <si>
    <t>new syntactic role: adjunct of PtcpP</t>
  </si>
  <si>
    <t>Зафиксированные употребления с присоединением к причастиям (значение высокой степени).</t>
  </si>
  <si>
    <t>Есть такое красивое слово—паллиатив. Некоторые не до упора начитанные граждане могут подумать, что это некий роскошный цветок вроде палевого гладиолуса. Увы, паллиатив — значит временная мера, полумера — одним словом, времянка, бакинская пробка.</t>
  </si>
  <si>
    <t>Евтушенко читает лекции в Америке. Профессор поэзии! «Абсюрд». Профессионализм дошедший до упора. Вдоль и поперёк изъездил поэзию. [С. Кирошка. Мир на каждый день // proza.ru]</t>
  </si>
  <si>
    <t>VP не до упора</t>
  </si>
  <si>
    <t>Зафиксированные употребления с отрицанием.</t>
  </si>
  <si>
    <t>Придерживая розетку, затягиваем винты, но не до самого упора. [Монтаж розеток (2023)]</t>
  </si>
  <si>
    <t>Зафиксированные употребления с присоединением к именной вершине, не являющейся отглагольным существительным.</t>
  </si>
  <si>
    <t>Блестящее сочинение Курта Воннегута (см. «Неман», № 8), поначалу я это не чувствовал ― должно быть, не вчитался; но «марсианская армия» великолепна в своей безысходности, в «пессимизме» до упора; «беспамятство», как лучшее оружие против человека и человечности, изображенное Айтматовым, было воссоздано в том же роде еще раньше, много раньше ― тем же Воннегутом (конец 60-х годов). [И. А. Дедков. Дневник (1982)]</t>
  </si>
  <si>
    <t>Вопреки названию, посвящена истории Рима с начала и до упора. [ruSkell]</t>
  </si>
  <si>
    <t>Появляется способность употребляться в значении высокой степени с глаголами, употребление с которыми ранее было невозможно (с глаголами чувств).</t>
  </si>
  <si>
    <t>Я вас всех, дорогих, не люблю до упора, Я горяч, как норовистый конь. [В. Капгер. Нахальная песня (1981)]</t>
  </si>
  <si>
    <t>Обожаю тебя до упора!!! [Д. М. Майская. Рецензия на "Афоризм" (2023) // stihi.ru]</t>
  </si>
  <si>
    <t xml:space="preserve">до Adj-Gen/Ptcp-Gen/Pron-Gen упора </t>
  </si>
  <si>
    <t>Локомотив вытягивает состав до самого упора вытяжки и останавливается. [B. A. Dlugach. Устройство железнодорожных станций и организаця их работы (1956)]</t>
  </si>
  <si>
    <t>Если до полного упора буду работать в детском доме, то она мне прохода не будет давать. [В. А. Козлов. Альянс несогласных (2022)]</t>
  </si>
  <si>
    <t>вчерашний день</t>
  </si>
  <si>
    <t>Зафиксированные композициональные употребления.</t>
  </si>
  <si>
    <t>1717-1838</t>
  </si>
  <si>
    <t>Многомилостивое ваше ко мне повеление чрез письмо из Питербурха 17 сентября вчерашнего дня здесь получил и по оному две книги купил... [В. Н. Татищев. Письмо Я. В. Брюсу (1717)]</t>
  </si>
  <si>
    <t>Отношения власти и народа он рассматривал в патриархальном духе: «Вчерашний день, 15 мая, счастливейший день по воспоминаниям о том, что было в Москве год тому назад... [М. Н. Начапкин. Роль императора Александра III в сохранении консервативных духовно-нравственных основ русской православной цивилизации // «Церковь богословие история», 2020]</t>
  </si>
  <si>
    <t>Зафиксированные употребления с метонимическим переносом "вчерашний день" = "(недавнее) прошлое"</t>
  </si>
  <si>
    <t>Впрочем, что толковать о вчерашнем дне? Прошлого не воротишь... [М. И. Венюков. Воспоминания о заселении Амура в 1857-1858 годах (1879)]</t>
  </si>
  <si>
    <t>Обсуждать возвращение Крыма под контроль Киева – «все равно что пытаться вернуть вчерашний день или прошлогодний снег», заметил он. [В Крыму назвали решения «Крымской платформы» не имеющими юридической силы // Ведомости, 2021.08]</t>
  </si>
  <si>
    <t>NP вчерашнего дня / NP вчерашних дней</t>
  </si>
  <si>
    <t>Зафиксированные употребления конструкции принадлежности каких-либо вещей вчерашнему дню, в том числе в значении их устарелости.</t>
  </si>
  <si>
    <t>Папа приучил меня болезненно чтить все эти бумажонки, записочки вчерашнего дня. [Л. В. Шапорина. Дневник. Том 1 (1898-1945)]</t>
  </si>
  <si>
    <t>Другой герой вчерашних дней, Анатолий Кашпировский, предстал перед публикой в программе «Пусть говорят» и был чрезвычайно уязвлен тем, что больше говорят о его сопернике, нежели о нем самом. [Ирина Петровская. Гипнотизеры. Уроки Чумака и Кашпировского не прошли даром. Народ к установкам готов // Новая газета, 2017.10]</t>
  </si>
  <si>
    <t>вчерашний день NP-Gen</t>
  </si>
  <si>
    <t>Зафиксированные употребления конструкции, описывающей прошлое контректного существительного, употребляющегося в родительном падеже.</t>
  </si>
  <si>
    <t>Те, что исполнили работу вчерашнего дня истории, в некотором смысле ближе переживаемой жизни, чем незыблемые светочи, намечающие путь к верховным целям. [Вяч. И. Иванов. Достоевский и роман-трагедия (1911)]</t>
  </si>
  <si>
    <t>Молодые авторы рассказывают о сегодняшнем и вчерашнем дне России, и география их историй не ограничивается Садовым кольцом. [Лариса Малюкова. Цой, Собчак, слоны и Ван Гоги. Второго июня открывается главный российский смотр «Кинотавр», который очевидно молодеет // Новая газета, 2018.06]</t>
  </si>
  <si>
    <t>NP – (это) вчерашний день</t>
  </si>
  <si>
    <t>Зафиксированные употребления конструкции "вчерашний день" в качестве именного сказуемого.</t>
  </si>
  <si>
    <t>Часто приходится слышать: это хорошо, но это вчерашний день. [О. Э. Мандельштам. Слово и культура (1921)]</t>
  </si>
  <si>
    <t>Сегодня много шумят о цветных революциях, но они выдохлись, отработав свое. Это вчерашний день. На смену пришла новая концептуальная идея: насыщение руководящего звена стран-мишеней агентами влияния. [Анатолий Салуцкий. Немой набат // «Москва», 2019]</t>
  </si>
  <si>
    <t>PronPoss вчерашний день</t>
  </si>
  <si>
    <t>Зафиксированные употребления притяжательного местоимения с конструкцией.</t>
  </si>
  <si>
    <t>Даже сам Кук, — в последние годы главный носитель московских бацилл, — отрекся от своего вчерашнего дня, отрекся от ленинизма. [А. Ф. Керенский. Голос издалека // «Дни: Еженедельник» (Париж), 1928]</t>
  </si>
  <si>
    <t>Потому что любое впечатление сегодняшнего дня связано с прошедшим. Я неразлучен с моим вчерашним днем. Грибоедовское «все врут календари» для меня ― чистая правда. [Вениамин Смехов. Театр моей памяти (2001)]</t>
  </si>
  <si>
    <t>(PronPoss) вчерашний день (NP)</t>
  </si>
  <si>
    <t>Зафиксированные употребления конструкции, обозначающие не только прошлое какого-либо концепта, но и человека.</t>
  </si>
  <si>
    <t>Та же самая "Алания" ― это так называемый "вчерашний день Газзаева". [Трушин Георгий. ЧЕМПИОНАТ СТРАНЫ ИЛИ — СТОЛИЦЫ? // Труд-7, 2001.03]</t>
  </si>
  <si>
    <t>вчерашний день для NP-Gen / вчерашний день в NP-Loc</t>
  </si>
  <si>
    <t>Зафиксированные употребления конструкции c зависимой именной группой стала, управляющейся посредством предлогов (для, в).</t>
  </si>
  <si>
    <t>А так как повторить то, что было, поймать за хвост вчерашний день в искусстве, как и в жизни, невозможно, то чем старательнее тщится концертант припомнить и воспроизвести все детали прошлого исполнения, тем вернее обрекает он себя на заслуженное творческое поражение. [Григорий Коган. Работа пианиста (1963)]</t>
  </si>
  <si>
    <t>Для них это не просто вчерашний день ― это социальная и культурная архаика. [Борис Дубин. Сдвиг // «Знание-сила», 2012]</t>
  </si>
  <si>
    <t>NP вчерашних дней</t>
  </si>
  <si>
    <t>Описывая человека, контрукция может применяться как в единственном, так и множественном числе.</t>
  </si>
  <si>
    <t>Живы традиции, заложенные чемпионами вчерашних дней, ― боксеры по-прежнему быстры, решительны, бесстрашны. [Л. Соколов. А перспективы хорошие (1971) // «Советский спорт», 10.06.1971]</t>
  </si>
  <si>
    <t>VP в сию минуту</t>
  </si>
  <si>
    <t>Зафиксированные употребления конструкции с указанием на самое ближайшее время, на настоящую минуту.</t>
  </si>
  <si>
    <t>Вот состояние мое каково в сию минуту. [Д. И. Фонвизин. Письма родным (1763-1774)]</t>
  </si>
  <si>
    <t>Но… бывают и те вопросы, ответы на которые не надо в сию же секунду искать, а немного подумать или посчитать до 10-ти. [Женщина + мужчина: Брак (форум) (2004)]</t>
  </si>
  <si>
    <t>VP сию минуту</t>
  </si>
  <si>
    <t>Зафиксированные употребления конструкции без предлога "в". Значение сильно сдвинуто в значение ближайшего будущего.</t>
  </si>
  <si>
    <t>«Я тебе сию минуту плачу за него деньги, ― сказал я, ― но скажи мне, чего он в самой вещи стоит?» ― «Я божусь, ― говорил купец, ― что он из самой лучшей аглинской стали; железа тут не более, как на 9 коп. [И. А. Крылов. Почта Духов, или Ученая, нравственная и критическая переписка арабского философа Маликульмулька с водяными, воздушными и подземными духами (1789)]</t>
  </si>
  <si>
    <t>И объясните сию же минуту: кто был вашим мужем, и почему вы расстались? [Олег Воропаев. Предзимний сезон // «Бельские просторы», 2018]</t>
  </si>
  <si>
    <t>VP сию же минуту</t>
  </si>
  <si>
    <t>Внутрь конструкции может вставляться частица "же". Часто употребляется в побудительных контекстах.</t>
  </si>
  <si>
    <t>Жаль только, что я теперь во фраке; а то, в сию же минуту, отмстил бы тебе за обесчещение моей особы и моего достоинства твоим к моей Кларине посещением; но завтра! завтра в шесть часов поутру, если ты честный человек, то приезжай в улицу Мотожилову и спроси собственный дом Припрыжкина, где найдешь меня и мою шпагу к твоим услугам; а поле сражения можешь ты выбрать, где тебе угодно. [И. А. Крылов. Почта Духов, или Ученая, нравственная и критическая переписка арабского философа Маликульмулька с водяными, воздушными и подземными духами (1789)]</t>
  </si>
  <si>
    <t>VP сию (же) секунду</t>
  </si>
  <si>
    <t>Зафиксированные употребления варианта конструкции "сию секунду".</t>
  </si>
  <si>
    <t>Целуем ручки, челом бьем, падаем до ног за ваши драгоценные два послания, из которых последнее от 31-го прочли сию секунду. [П. В. Киреевский. Письма А. П. Елагиной (1835)]</t>
  </si>
  <si>
    <t>Данные о дорожной ситуации, полученные несколькими мгновениями ранее, дополняют знание о том, что происходит сию секунду. [Технологии // «Кот Шрёдингера», 2017]</t>
  </si>
  <si>
    <t>Зафиксированные употребления конструкции со значением "сразу".</t>
  </si>
  <si>
    <t>Въ домѣ, напр., я отслужу молебенъ и сію минуту ухожу. [священник Александр Розанов. Записки сельскаго священника (1882)]</t>
  </si>
  <si>
    <t>Он даже не сию секунду кинулся вышибать дух из Немченко, но сначала попил горячего чаю со сладкими всхлипами: «Ох краса-авец!», сделал нежный контрольный звонок: «Скоренько заеду на минуточку», провел инструктаж для своих быков, и уже в седьмом часу вечера Колин джип, тяжелый, как бронетранспортер, вкатился на улицу Рокоссовского. [Игорь Сахновский. Человек, который знал все (2007)]</t>
  </si>
  <si>
    <t>Зафиксированные употребления конструкции, образованной от прилагательного "эпизодический", которое, в свою очередь, образовано от существительного "эпизод". Значение соотносится с значением слова "эпизод" - "самостоятельный и законченный элемент художественного произведения". Значение: характеристика события, которое случается "эпизодами", то есть буквально событие с несколькими вхождениями (эпизодами).</t>
  </si>
  <si>
    <t>Он может вывести на сцену весь Восток со всеми блестящими его картинами, и сих грозных завоевателей, кои из ущелий азиатских являлись периодически в Европе для обновления вырождавшихся ее жителей; он может представить Италию, в которой начала заниматься тогда заря просвещения, — даже Крестовые походы могут войти эпизодически в его описания. [М. П. Погодин. Письмо о русских романах (1827)]</t>
  </si>
  <si>
    <t>При этом религиозные сюжеты в сводках КубЧК за 1921 г. присутствовали лишь эпизодически, а имевшаяся редкая информация была общей или же носила локальный и вторичный характер, не представляя общей картины поведения духовенства. [Н. В. Кияшко. ВЧК и проблема поиска модели религиозной политики Советского государства в 1921-1922 гг. // «Церковь богословие история», 2020]</t>
  </si>
  <si>
    <t>Зафиксированные употребления конструкции со значением: характеристика события, которое нерегулярно повторяется.</t>
  </si>
  <si>
    <t>Дочь пограничныхъ странъ къ востоку и западу, — Греко-Арабская философія оставалась чуждою сердцу Аравійскаго государства; она цвѣтетъ на концахъ его, по его распаденіи, и притомъ не постоянно, — является и исчезаетъ эпизодически. [П. Б.[И. М. Богословский-Платонов]. Арабы и ихъ философія // «Москвитянинъ», 1850]</t>
  </si>
  <si>
    <t>В 1937 году журнал был закрыт и только благодаря прошениям председателя бюро Хабаровского отделения ССП С. М. Бытового и литературного актива журнал продолжил свое издание, а с 1941 года выходил эпизодически. [Наталья Гребенюкова. К юбилею писательской организации // «Дальний Восток», 2019]</t>
  </si>
  <si>
    <t>Зафиксированные употребления конструкции в значении "случайно".</t>
  </si>
  <si>
    <t>Мы думаем даже, что такое, преисполненное внутренней песни существо, как Черный, и могло впасть в жизнь другого лица не иначе, как эпизодически: иначе, жизнь была бы не драмой, а ликованием, а этого не могла иметь в намерениях талантливая писательница по тому одному, что этого не бывает в действительности. [М. Е. Салтыков-Щедрин. Рецензии (1863-1864)]</t>
  </si>
  <si>
    <t>Если здесь и бывали иногда женщины, то явно эпизодически. [Любимый под цвет обоев // «Истории из жизни», 2004]</t>
  </si>
  <si>
    <t>Зафиксированные употребления конструкции с совершенным видом. После этого свойство употребления с перфективами слабеет.</t>
  </si>
  <si>
    <t>Черт вошел в роман лишь эпизодически, но в мыслях место его было, по-видимому, центральное и, во всяком случае, значительное. [И. Ф. Анненский. Вторая книга отражений (1909)]</t>
  </si>
  <si>
    <t>Зафиксированные употребления конструкции в значении: "урывочно, обрывками". Меняется также семантическая сочетаемость: теперь может употребляться с непредельными глаголами.</t>
  </si>
  <si>
    <t>Знал я Райку больше года, правда, эпизодически, а как иначе: в поход — из похода. [Михаил Панин. Камикадзе // «Звезда», 2002]</t>
  </si>
  <si>
    <t>Не говоря о самом Саше и Марине, я знал и Марью Ивановну, и (эпизодически) Арсения Александровича, Андрея; я даже участвовал в работе над фильмом о Лазо. [М. С. Харитонов. Стенография конца века. Из дневниковых записей (2007)]</t>
  </si>
  <si>
    <t>NP-Nom Cop не за горами</t>
  </si>
  <si>
    <t>Зафиксированные употребления конструкции в значении близости в пространстве.</t>
  </si>
  <si>
    <t>Петербург не за горами, я и сам могу к тебе приехать. [Н. И. Новиков. Живописец. Третье издание 1775 г. Часть I (1775)]</t>
  </si>
  <si>
    <t>Он теперь совсем не за горами, До него трамвай вас довезет. [Владимир Войнович. Замысел (1999)]</t>
  </si>
  <si>
    <t>Зафиксированные употребления конструкции в метафорическом временном значении.</t>
  </si>
  <si>
    <t>Бог весть, братец, а смерть не за горами [С. П. Жихарев. Записки современника (1806-1809)]</t>
  </si>
  <si>
    <t>дальше будет много интересного , любопытного и запоминающегося ! Моя тысяча тоже не за горами:))) [tangrusha, блог, 2023]</t>
  </si>
  <si>
    <t>NP-Nom Cop не за горами, но за NP-Instr-Pl / NP-Nom Cop не за горами, а за NP-Instr-Pl</t>
  </si>
  <si>
    <t>Зафиксированные употребления варианта конструкции «N не за горами, а(но) за …».</t>
  </si>
  <si>
    <t>Так всегда у нас: когда правда высказана кулаком -- мир не за горами, а за плечами. [Н. А. Полевой. Клятва при гробе Господнем (1832)]</t>
  </si>
  <si>
    <t>Фуле покусился на «самое святое», что у них есть, хронологию майя, по которой «конец света» -- вот он, не за горами, а за месяцами. [Олег Губин. 2012: конец света майя не покажется? // «Знание - сила», 2011]</t>
  </si>
  <si>
    <t>NP-Nom Cop уже не за горами</t>
  </si>
  <si>
    <t>Зафиксированные употребления варианта конструкции «уже не за горами».</t>
  </si>
  <si>
    <t>Насчет моего поручения Вы пишете, милый отесинька: «год уже не за горами». [И. С. Аксаков. Письма родным (1849-1856)]</t>
  </si>
  <si>
    <t>Понимаешь, что уже не за горами свадьба, дети, работа – и это круто! [пост, 2022]</t>
  </si>
  <si>
    <t>NP-Nom Verb (уже) не за горами</t>
  </si>
  <si>
    <t>Зафиксированные употребления конструкции, являющейся аргументом не копулы, а полноценного глагола.</t>
  </si>
  <si>
    <t>Смерть стояла не за горами, и 9 марта 1871 года он умер, на тридцатом году жизни, от отека легких. [Г. И. Успенский. Федор Михайлович Решетников (1874)]</t>
  </si>
  <si>
    <t>Что ж, общеевропейская война маячила уже не за горами, а в Испании так и вовсе была в разгаре. [Николай Климонтович. Парадокс о европейце // «Октябрь», 2013]</t>
  </si>
  <si>
    <t>NP-Nom Verb/Cop (уже) не за горами, не за морями</t>
  </si>
  <si>
    <t>Зафиксированные употребления варианта конструкции "не за морями, не за горами".</t>
  </si>
  <si>
    <t>А свое-то, и дом с коньком, и береза старая, не за морями, не за горами родное гнездо, не по железной дорого ехать -- рукой подать. [Владимир Тендряков. Не ко двору (1954)]</t>
  </si>
  <si>
    <t>Не за горами, не за морями живем. [Федор Абрамов. Пелагея (1967)]</t>
  </si>
  <si>
    <t>NP-Nom Verb/Cop (уже) совсем не за горами</t>
  </si>
  <si>
    <t>Зафиксированные употребления варианта конструкции с интенсификатором: «совсем не за горами».</t>
  </si>
  <si>
    <t>Reader@izvestia.ru Через десять лет, то есть совсем не за горами, 200-летний юбилей Отечественной войны 1812 года и Бородинской битвы. [О, дым Отечества, ты сладок и приятен. Reader@izvestia.ru (2002) // «Известия», 31.03.2002]</t>
  </si>
  <si>
    <t>VP до победного N-Gen</t>
  </si>
  <si>
    <t xml:space="preserve">Зафиксированные употребления конструкции в композициональном значении. </t>
  </si>
  <si>
    <r>
      <rPr>
        <sz val="10"/>
        <color theme="1"/>
        <rFont val="Arial"/>
      </rPr>
      <t xml:space="preserve">Он оторвал уже угол картины от потолка и оставил свою варварскую мысль </t>
    </r>
    <r>
      <rPr>
        <b/>
        <sz val="10"/>
        <color theme="1"/>
        <rFont val="Arial"/>
      </rPr>
      <t>до обратного победного возвращения</t>
    </r>
    <r>
      <rPr>
        <sz val="10"/>
        <color theme="1"/>
        <rFont val="Arial"/>
      </rPr>
      <t xml:space="preserve"> из России, но Господу было угодно решить иначе, и бежавшему императору оставалось только спасаться, а не святотатствовать над историческими памятниками седой старины, и потому эта картина сохранилась от дерзкой руки Аркольского героя, но оторванный императором угол нарочно не приделывался к потолку и оставался в свою очередь памятником события. [А. А. Черкасов. Из записок сибирского охотника (Часть 4) (1884)]</t>
    </r>
  </si>
  <si>
    <t>Ба молча выслушала все претензии, вернулась домой, выкрутила Маньке ухо до победного хруста и повела к Арарату — извиняться. [Наринэ Абгарян. Всё о Манюне (сборник) (2012)]</t>
  </si>
  <si>
    <t>VP до победного конца</t>
  </si>
  <si>
    <t xml:space="preserve">Зафиксированные употребления конструкции с элементом "конец" в значении "до полного, окончательного успеха" в контекстах, связанных с войнами, битвами и прочими противостояниями. Может употребляться с непредельными глаголами. </t>
  </si>
  <si>
    <t>Шли стройно, играла музыка Марсельезу и несли красные плакаты с надписями: «Да здравствует свободная Россия!» — «Воевать до победного конца!» [Н. А. Иванова (Панчулидзева). Дневник (1917)]</t>
  </si>
  <si>
    <t>К власти пришло Временное правительство, подтвердившее верность союзническому долгу и готовность сражаться с врагом до победного конца. [Сергей Базанов. Россия в огне // «Наука в России», 2014]</t>
  </si>
  <si>
    <t>NP до победного конца</t>
  </si>
  <si>
    <t>Зафиксированные употребления конструкции, относящейся к именной группе, а не к глагольной (в основном с существительным "война"). В военный период "Война до победного конца!" было устойчивым выражением.</t>
  </si>
  <si>
    <t>Даже теперь их победа не так страшна и вредна для России, нежели была бы победа всех остальных партий (которым все безразлично — за войну до победного конца, т. е. за разорение). [А. Н. Бенуа. Дневник (1917) // Бенуа А. Н. Дневник. 1916—1918. — М.: «Захаров», 2010. — 768 с. (3-е изд. — в 2016 г.), 2010|2001]</t>
  </si>
  <si>
    <t>Еще в порыве патриотизма и затмившей разум эйфории сотни и тысячи людей выходили на улицы европейских городов, выступая в поддержку войны до победного конца. [Николай Постников. Трагедия, рассказанная в письмах // «Эксперт», 2014]</t>
  </si>
  <si>
    <t xml:space="preserve">VP до победного </t>
  </si>
  <si>
    <t>Зафиксированные употребления конструкции без имени в генитиве.</t>
  </si>
  <si>
    <t>Это что царя-то сшибли, а какой-то там Керенский на его место, это ничего не обозначает, раз опять объявлена война до победного, а правды не разыщешь. [С. Н. Сергеев-Ценский. Кость в голове (1932)]</t>
  </si>
  <si>
    <t>Но зато боец, воюет до победного, а это хорошее качество. [Александра Маринина. Ангелы на льду не выживают. Т. 1 (2014)]</t>
  </si>
  <si>
    <t>VP до победного (N-Gen)</t>
  </si>
  <si>
    <t>Употребление выражения в любых успешно завершенных действиях. Выражение из конкретного значения перешло к более абстрактному.</t>
  </si>
  <si>
    <r>
      <rPr>
        <sz val="10"/>
        <color theme="1"/>
        <rFont val="Arial"/>
      </rPr>
      <t>В тех рискованных обстоятельствах, которыми влюбленные мужчины мопассановского типа так легко «</t>
    </r>
    <r>
      <rPr>
        <b/>
        <sz val="10"/>
        <color theme="1"/>
        <rFont val="Arial"/>
      </rPr>
      <t>покоряют</t>
    </r>
    <r>
      <rPr>
        <sz val="10"/>
        <color theme="1"/>
        <rFont val="Arial"/>
      </rPr>
      <t>» женщину ―</t>
    </r>
    <r>
      <rPr>
        <b/>
        <sz val="10"/>
        <color theme="1"/>
        <rFont val="Arial"/>
      </rPr>
      <t xml:space="preserve"> до победного конца</t>
    </r>
    <r>
      <rPr>
        <sz val="10"/>
        <color theme="1"/>
        <rFont val="Arial"/>
      </rPr>
      <t>, герой этого тончайше целомудренного в своей рискованности романа говорит испуганной собственным страстным порывом, чистой, хотя и не очень молодой девушке: «Все будет постольку, поскольку вы хотите и как вы хотите». [В. Г. Малахиева-Мирович. Маятник жизни моей: дневник русской женщины 1930-1954 (1933)]</t>
    </r>
  </si>
  <si>
    <t>Оставалось одно: тихонько сжульничать (как давеча выразилась Ирина) и несколько километров проехать на машине, а дальше уже как ни в чем не бывало продолжать поход — вплоть до победного конца. [Роман Романов. Вom caminho, или Пилигримуши на Пути Святого Иакова // «Дальний Восток», 2019]</t>
  </si>
  <si>
    <t>сидеть до победного (конца)</t>
  </si>
  <si>
    <t>Зафиксированные употребления варианта конструкции с непредельным глаголом "сидеть": новое значение, связанное с исчерпанием временного лимита.</t>
  </si>
  <si>
    <r>
      <rPr>
        <sz val="10"/>
        <color theme="1"/>
        <rFont val="Arial"/>
      </rPr>
      <t xml:space="preserve">― Так давненько уже. Но решил </t>
    </r>
    <r>
      <rPr>
        <b/>
        <sz val="10"/>
        <color theme="1"/>
        <rFont val="Arial"/>
      </rPr>
      <t>сидеть до победного конца</t>
    </r>
    <r>
      <rPr>
        <sz val="10"/>
        <color theme="1"/>
        <rFont val="Arial"/>
      </rPr>
      <t>. Я такой человек: если пообещал ― надо сделать. [Валентин Распутин. Деньги для Марии (1967)]</t>
    </r>
  </si>
  <si>
    <t>Дети – не взрослые, они не будут сидеть за столом до самого победного конца. [Araneum Russicum, 2019]</t>
  </si>
  <si>
    <t>ждать до победного (конца)</t>
  </si>
  <si>
    <t>Зафиксированные употребления варианта конструкции с непредельным глаголом "ждать": новое значение, связанное с исчерпанием временного лимита.</t>
  </si>
  <si>
    <r>
      <rPr>
        <sz val="10"/>
        <color theme="1"/>
        <rFont val="Arial"/>
      </rPr>
      <t xml:space="preserve">Капитан послал радиограмму в Иркутск о том, что мы задерживаемся, и о том, что автобусы должны нас </t>
    </r>
    <r>
      <rPr>
        <b/>
        <sz val="10"/>
        <color theme="1"/>
        <rFont val="Arial"/>
      </rPr>
      <t>ждать</t>
    </r>
    <r>
      <rPr>
        <sz val="10"/>
        <color theme="1"/>
        <rFont val="Arial"/>
      </rPr>
      <t xml:space="preserve"> в Листвянке </t>
    </r>
    <r>
      <rPr>
        <b/>
        <sz val="10"/>
        <color theme="1"/>
        <rFont val="Arial"/>
      </rPr>
      <t>до победного</t>
    </r>
    <r>
      <rPr>
        <sz val="10"/>
        <color theme="1"/>
        <rFont val="Arial"/>
      </rPr>
      <t>. [Воспоминания о Шкловском (1996)]</t>
    </r>
  </si>
  <si>
    <t>как поступить. Или же попробовать , или же ждать до победного. [Araneum Russicum, 2013]</t>
  </si>
  <si>
    <t>случаться NP-Nom</t>
  </si>
  <si>
    <t>1700-1722</t>
  </si>
  <si>
    <t>Сице и ныне различным людем сие случается: увидит священник, или проповедник, что на одежду невинности, на душу чисту человеческую, спал угль адский, жар пекельный, грех какой смертный: хощет сберечь человека того, но он не желает сего скорбнаго слышать. [митрополит Стефан (Яворский). Проповеди (1700-1722)]</t>
  </si>
  <si>
    <t>Из-за малых денег беды великие случаются, а из-за больших — преступления, войны. [Владимир Вещунов. Перекат // «Дальний Восток», 2019]</t>
  </si>
  <si>
    <t>случаться, что Cl</t>
  </si>
  <si>
    <t>Конструкция получает возможность управлять финитной клаузой</t>
  </si>
  <si>
    <t>Случается, что и прошению не льзя не удовлетворити: то уже глаголете, сие есть не от мене, сам на себе да плачет. [митрополит Стефан (Яворский). Проповеди (1700-1722)]</t>
  </si>
  <si>
    <t>Теперь же случается так, что эти книги приносят в храм как ненужные, оставшиеся после умерших родственников. [протоиерей П. И. Мангилев, диакон А. Ф. Тютюбеев. Собрание старопечатных книг библиотеки храма в честь Рождества Христова г. Екатеринбурга (на Уралмаше) // «Церковь богословие история», 2020]</t>
  </si>
  <si>
    <t>NP-Dat случаться VP-Inf</t>
  </si>
  <si>
    <t>Конструкция получает возможность управлять нефинитной клаузой, при этом глагольная группа выражает класс состояний</t>
  </si>
  <si>
    <t>покривление же их не есть доказательное, чтоб все равное имели, ибо ретко целых видеть случается, может же быть, что другия гораздо премяе находятся. [В. Н. Татищев. Сказание о звере мамонте (1730)]</t>
  </si>
  <si>
    <t>Когда мне случалось отсутствовать, функцию гида в порочную индустрию современного кинематографа исполняла моя жена — Светлана. [Арсений Москаленко. Amor magister optimus. Любовь – лучший учитель // «Дальний Восток», 2019]</t>
  </si>
  <si>
    <t>VP-Inf</t>
  </si>
  <si>
    <t>extension: new type of V dependent</t>
  </si>
  <si>
    <t>Пропадает ограничение, что зависимая глагольная группа должна принадлежать к акциональному классу состояний</t>
  </si>
  <si>
    <t>Тут же в доме началось дебошство, пьянство так великое, что невозможно описать, и многим случалось от того умирать. [Б. И. Куракин. Гистория о царе Петре Алексеевиче и ближних к нему людях (Начало самостоятельного правления Петра) (1709)]</t>
  </si>
  <si>
    <t>Мне случалось в Охотском районе вместе с эвенами преодолевать кочкарник верхом на олене. [Виктор Шереметьев. Путешествие в «забытый край» // «Дальний Восток», 2019]</t>
  </si>
  <si>
    <t>случаться Cl</t>
  </si>
  <si>
    <t>"Случалось" получает возможность управлять клаузой бессоюзно</t>
  </si>
  <si>
    <t>Я ему не давал покою, но никогда не видал от него неудовольствия. Случалось, он засыпает, я раскличу. Сидит, поджавши ножки: «Ну, говори, ведь нового ничего, одно и то же?» ― «Что ж говорить, когда ты сердишься». [М. П. Загряжский. Записки (1770-1811)]</t>
  </si>
  <si>
    <t>Это приводит к массовому падежу оленей, случалось, гибли и люди. [Виктор Шереметьев. Путешествие в «забытый край» // «Дальний Восток», 2019]</t>
  </si>
  <si>
    <t>случаться</t>
  </si>
  <si>
    <t>Бессоюзная конструкция приобретает положительную поляризованность</t>
  </si>
  <si>
    <t>Стать командующим, имея на носу эвакуацию морем, ― незавидная перспектива, но как раз это и не позволило Ефимову колебаться. [Константин Симонов. Так называемая личная жизнь/ Четыре шага (1956-1965)]</t>
  </si>
  <si>
    <t>NP на носу</t>
  </si>
  <si>
    <t>Зафиксировано употребление коллокации "на носу" в композициональном значении</t>
  </si>
  <si>
    <t>Того ж дни купил писменой голова Семен Василевич Чаплин Талай-тайшына ж улусу у черных калмаков малово 7 лет, Турухменские земли, именем Якшы Дузометев, волосом рус, очи кари, лицем кругл, под левым глазом язвина — лошад розшыбла — да на носу под правым глазом язвина ж. [ 1 марта по 20 августа 1627 (7135) г. Таможенные книги сборов: пошлины и пошерстного с лошадей и пошлины с ясырей в городе и на калмацком торге. Сбор целовальников Ивана Гордыдова и Федьки Сидорова (1627.03.01—1627.08.20)]</t>
  </si>
  <si>
    <t>На носу сидели мои древние роговые очки, в руках был убогий портфель. [Наталья Емельянова. Путешественник // «Дальний Восток», 2019]</t>
  </si>
  <si>
    <t>Зафиксировано идиоматическое значение конструкции: что-либо находится очень близко в пространстве от говорящих</t>
  </si>
  <si>
    <t>Давыдов является к Бенигсену: «Князь Багратион, ― говорит, ― прислал меня доложить вашему высокопревосходительству, что неприятель у нас на носу…» [А. С. Пушкин. Лицейский дневник (1815)]</t>
  </si>
  <si>
    <t>А тут ― картинка на носу: гусенок. Человек сразу гусенка углядит. [Борис Васильев. Не стреляйте в белых лебедей (1973)]</t>
  </si>
  <si>
    <t>NP-Nom на носу</t>
  </si>
  <si>
    <t>Зафиксировано, что именная группа, которую модифицирует якорь конструкции "на носу", может быть только в именительном падеже</t>
  </si>
  <si>
    <t>— Пропадет баба!.. — и сокрушенно вздохнул: — Квартальный отчет на носу… [Владимир Вещунов. Перекат // «Дальний Восток», 2019]</t>
  </si>
  <si>
    <t>Зафиксировано, что конструкция может означать близость какого-либо события во времени от времени речи</t>
  </si>
  <si>
    <t>― У страха очи велики, боярин! и в щелку пролезешь, как смерть на носу. [М. Н. Загоскин. Юрий Милославский, или русские в 1612 году (1829)]</t>
  </si>
  <si>
    <t>NP-Nom VP на носу</t>
  </si>
  <si>
    <t>Зафиксировано, что "на носу" может зависеть от глагола, который не является глаголом-связкой</t>
  </si>
  <si>
    <t>Хорошо говорить о смерти, когда она за тридевять земель, а как висит на носу, так, прошу не погневаться, молодец, и тебе небо с овчинку покажется! [М. Н. Загоскин. Аскольдова могила (1833)]</t>
  </si>
  <si>
    <r>
      <rPr>
        <sz val="10"/>
        <color rgb="FF000000"/>
        <rFont val="Arial"/>
      </rPr>
      <t>1956-1965</t>
    </r>
  </si>
  <si>
    <t>VP без продыху</t>
  </si>
  <si>
    <t>Зафиксирован композициональный источник конструкции: делать что-либо без продыха = делать что-либо настолько интенсивно, что нарушается дыхание.</t>
  </si>
  <si>
    <t>И вот на этом , — Торнтон ткнул пальцем в годовалого малыша , оравшего без продыху второй час подряд , — все ![АиФ Суббота-воскресенье № 36. 06/09/2002]</t>
  </si>
  <si>
    <t>Гнутся гости, в меньшинстве две минуты без продыха отбиваются и стелятся под шайбы. [Кирилл Беляков. «Салават Юлаев» вышел в финал Кубка Гагарина![ВИДЕО] // Советский спорт, 2011.04]</t>
  </si>
  <si>
    <t>Зафиксировано новое значение конструкции: делать что-либо без отдыха. Конструкция означает, что действие или событие, которое длится или длилось некоторое время, оценивается негативно.</t>
  </si>
  <si>
    <t>1923-1929</t>
  </si>
  <si>
    <t>И вот ― пять суток без продыху читал рукописи, планировал и изобретал ― с прочими соредакторами. [Е. И. Замятин, М. А. Волошин. «Пишу вам из России...» (Письма Евгения Замятина к Максимилиану Волошину) (1923-1929)]</t>
  </si>
  <si>
    <t>– Тут народ пашет без продыху, а он…[Ирина Комарова, Прощай, молодость!, 2020]</t>
  </si>
  <si>
    <t>Зафиксировано новое значение конструкции: что-либо происходит без перерыва.</t>
  </si>
  <si>
    <t>1970-2000</t>
  </si>
  <si>
    <t>Тот, которого я разбудил из постели, оказалось, имеет отгулы, почему и спит без продыха. [Евгений Попов. Мыслящий тростник (1970-2000)]</t>
  </si>
  <si>
    <t>Ревел он по тятеньке целую неделю без продыху. [Владимир Герасимов, Авдеевы тропы, 2021]</t>
  </si>
  <si>
    <t>NP VP без продыху</t>
  </si>
  <si>
    <r>
      <rPr>
        <sz val="9"/>
        <color rgb="FF000000"/>
        <rFont val="Arial, sans-serif"/>
      </rPr>
      <t>extension: new type of N head</t>
    </r>
  </si>
  <si>
    <t>Зафиксировано, что конструкция может употребляться в предложениях с неодушевлённым подлежащим.</t>
  </si>
  <si>
    <t>Примерно так же обстояло в Орехово-Зуеве: дожди хлестали семь дней и семь ночей, без продыха и без милосердия, земля земная исчезла вместе с небесами небесными… [Венедикт Ерофеев. Вальпургиева ночь, или Шаги командора (1985)]</t>
  </si>
  <si>
    <t>– Ну… дул без продыху дичайший ветер. [Клэр Харкап, Хэтти Браун и фальшивые слоны, 2020]</t>
  </si>
  <si>
    <t>Зафиксировано, что конструкция может употребляться при описании событий, которые не оцениваются негативно.</t>
  </si>
  <si>
    <t>Вон у моего нового соседа через дорогу печь с утра топится в избе. А день опять поднимается без продыху. За день я услышу со всех сторон это «деется» бессчетно. [Валентин Распутин. На родине (1999)]</t>
  </si>
  <si>
    <t>Первые вычислительные машины в Союзе работали без продыху. [https://gikk.ru/operating-systems/pod-rukovodstvom-razrabotany-strela-ural-1-mify-ssha-otstalost/, 2023]</t>
  </si>
  <si>
    <t>Зафиксировано, что у конструкции появляется хабитуальное значение: она означает регуларно повторяющиеся действия.</t>
  </si>
  <si>
    <t>Пьет с горя без продыху, вместе с ним и батя.[Всем сестрам… (сборник), Мария Метлицкая, 2012г.]</t>
  </si>
  <si>
    <t>Выглядел безумец так, словно пил без продыху недели две: землистый цвет помятого лица, глубоко запавшие, чуть приоткрытые глаза. [Иван Снежный, Жрец. Свиток второй, 2019]</t>
  </si>
  <si>
    <t>Зафиксирован композициональный источник конструкции.</t>
  </si>
  <si>
    <t>Приехал, а у нас всенощная, и я около часу стоял, дрожа и переминаясь с ноги на ногу [И. А. Гончаров. Письма (1842)]</t>
  </si>
  <si>
    <t>Переглянулся с Длугошем ― тот тоже стал в тупик, переминается с ноги на ногу, а совета не подает… [А. В. Амфитеатров. Жар-цвет (1895)]</t>
  </si>
  <si>
    <t>NP переминаться с ноги на ногу</t>
  </si>
  <si>
    <r>
      <rPr>
        <sz val="9"/>
        <color rgb="FF000000"/>
        <rFont val="Arial, sans-serif"/>
      </rPr>
      <t>extension: new type of N head</t>
    </r>
  </si>
  <si>
    <t>Зафиксировано, что у клаузы, где употреблена конструкция, может быть неодушевлённый субъект</t>
  </si>
  <si>
    <t>Пестрые дохи недовольно, сердито переминались с ноги на ногу. [В. Я. Зазубрин. Два мира (1921)]</t>
  </si>
  <si>
    <t>Уже после второго ― в одном из торговых залов книжного магазина «Москва» переминалась с ноги на ногу тишина. [Татьяна Соломатина. Мой одесский язык (2011)]</t>
  </si>
  <si>
    <t>Зафиксировано новое значение конструкции: совершать незначительные движения, слабо меняться</t>
  </si>
  <si>
    <t>кануть</t>
  </si>
  <si>
    <t>Зафиксирован глагол "кануть", вариант глагола "капнуть"</t>
  </si>
  <si>
    <t>1570—1595</t>
  </si>
  <si>
    <t>Аз же на ню невосклонно зрях и видѣх милостивое ея лице, очи же ея бяху слез исполнены, едва мало на пречистое лице ея не канут [Автобиографическая повесть Мартирия Зеленецкого (1570—1595)]</t>
  </si>
  <si>
    <t>слезы Марьи Ивановны как будто канули ему на сердце. [А. Ф. Вельтман. Приключения, почерпнутые из моря житейского. Саломея (1848)]</t>
  </si>
  <si>
    <t>(как) кануть на дно</t>
  </si>
  <si>
    <t>Зафиксировано возникновение идиомы "(как) кануть на дно". Её значение: "исчезнуть, потеряться"</t>
  </si>
  <si>
    <t>1791-1822</t>
  </si>
  <si>
    <t>все как на дно кануло и замерло в архивах сенатских по вышеписанному хорошему правилу: пускай лежит ― обойдется! [И. М. Долгоруков. Повесть о рождении моем, происхождении и всей моей жизни, писанная мной самим и начатая в Москве, 1788-го года в августе месяце, на 25-ом году моей жизни / Часть 4 / 1791-1798 (1791-1822)]</t>
  </si>
  <si>
    <t>Итог известен: неверным «соплям» уже не место в современном мегаполисе, вместе с классической литературой они канули на дно архивов. [Владимир Лапенков. Ars rossica: литературная Россия и фабула глобализации // «Звезда», 2003]</t>
  </si>
  <si>
    <t>(как) кануть в воду</t>
  </si>
  <si>
    <t>Зафиксирован вариант идиомы "(как) кануть в воду".</t>
  </si>
  <si>
    <t>С первой станции она писала ко мне дважды; с третьего ночлега еще одно письмо; с границы поручила одному встречному знакомцу мне кланяться, и с тех пор ни от ней, ни об ней никакого известия: словно в воду канула! [А. А. Бестужев-Марлинский. Испытание (1830)]</t>
  </si>
  <si>
    <t>Я обмер и похолодел, казалось, что они сейчас канут в воду и мне предстоит остаться один на один с речной громадиной. [Владимир Василиненко. Повелительница речных глубин, или Исповедь амурского браконьера // «Дальний Восток», 2019]</t>
  </si>
  <si>
    <t>кануть в вечность</t>
  </si>
  <si>
    <t>Зафиксирован вариант идиомы "кануть в вечность"</t>
  </si>
  <si>
    <t>Итак и 1834-го года первый месяц канул в вечность! [В. К. Кюхельбекер. Из «Дневника» (1832)]</t>
  </si>
  <si>
    <t>Искусство штопки колгот под мерное говорение радио, детское слово «коржик», ― оно кануло в вечность вместе с ирисками, леденцами «Спорт» и беспечно обглоданной четвертушкой украинского. [К. В. Арутюнова. Падает снег, летит птица // «Волга», 2016]</t>
  </si>
  <si>
    <t>кануть в NP</t>
  </si>
  <si>
    <t>Зафиксирован вариант идиомы "кануть в Х", где Х -- среда, в которой исчезло что-либо</t>
  </si>
  <si>
    <t>Какая-то святая тишина налегла на весь дом: ни дверь не стукнет, ни кольцо в ворота не брякнет и слово неосторожное не канет в эту глубокую тишь. [И. И. Лажечников. Басурман (1838)]</t>
  </si>
  <si>
    <t>По-прежнему ничего не понимавший Петр Демидович крикнул Вере, чтобы подала острый нож, и длинный, чье имя кануло в историю, на ходу потеряв заячью ушанку, сиганул вниз по лестничным маршам. [Анатолий Салуцкий. Немой набат // «Москва», 2019]</t>
  </si>
  <si>
    <t>кануть в Лету</t>
  </si>
  <si>
    <t>Зафиксирован вариант идиомы "кануть в Лету", его значение: умереть</t>
  </si>
  <si>
    <t>1856-1857</t>
  </si>
  <si>
    <t>И затем Подгоняйчиков, со всею помадой и новыми брюками, навек канул в Лету. [М. Е. Салтыков-Щедрин. Губернские очерки (1856-1857)]</t>
  </si>
  <si>
    <t>Клуб (с уголками: политическим, военным, аграрным и даже культурным, где имелись астролябия, подзорная труба и старый граммофон с дюжиной пластинок ― наследство канувшего в лету мукомола Вагнера). [Гузель Яхина. Дети мои (2018)]</t>
  </si>
  <si>
    <t>Композициональное употребление. Описание привычной ситуации, закреплённой обычаем.</t>
  </si>
  <si>
    <t>И как боярин будет против ворот, что сделана оказа на Каменном мосту, и в то время с башни Бениус ему, боярину, поздравлял, говорил в трубу громогласно, по обыклости, как водится. [И. А. Желябужский. Дневные записки (1682-1709)]</t>
  </si>
  <si>
    <t>Братья, не раз и не два сбитые с ног, знакомые с законами улицы, честно признали поражение. После этого, как водится, началось братание. Коля стоял бледный, и у него дрожали руки… [Александр Брейтман. Опыты быстротекущей жизни // «Дальний Восток», 2019]</t>
  </si>
  <si>
    <t>Конструкция употребляется как дискурсивная формула с выражением согласия, солидаризации</t>
  </si>
  <si>
    <t>Все, как водится: и в зале накурено одеколоном, и лампы горят довольно ярко, и много генералов военных и штатских со звездами, и музыка гремит, и мороженое разносят, и расплывшиеся барыни в чепцах сидят кругом стен, и барышни, нарядные и перетянутые, прыгают под музыку с офицерами. [И. И. Панаев. Барышня (1844)]</t>
  </si>
  <si>
    <t>― Ну, это да… это уж как водится, ― усмехнувшись, пробормотал Лутц, легко подкинув и влет крепко ухватил ружье за цевье. [В. Б. Бочков. Монтекристо // «Волга», 2012]</t>
  </si>
  <si>
    <t>Конструкция может присоединять субъект и другие зависимые члены</t>
  </si>
  <si>
    <t>Но когда бы здешнему Университету учинена была инавгурация, то есть торжественное учреждение, как то в других государствах водится, и на оном бы программою всему свету объявлены были вольности и привилегии, которыми Университет пожалован: в рассуждении профессоров, какую имеют честь, преимущество и власть и какие нужные науки преподавать и в какие градусы аттестовать и производить имеют, в рассуждении студентов, какие имеют увольнения, по каким должны поступать законам, как могут происходить в градусы и какие преимущества обученные в Университете перед неучеными в произвождении иметь будут, ― все сие когда б учинено было, то конечно Университет санктпетербургский был бы доволен и вольными студентами, которые купно с содержащимися на жалованье могли вскоре не токмо Академию удовольствовать, но и по другим командам распространяться. [М. В. Ломоносов. Всенижайшее мнение о исправлении Санктпетербургской императорской Академии Наук (1755)]</t>
  </si>
  <si>
    <t>мы были сильно пьяные, очень зажигательно выступили, уважаемая публика сломала все, и все кресла, как это водилось в то время, ну вот</t>
  </si>
  <si>
    <t>как водится у NP</t>
  </si>
  <si>
    <t>Конструкция может присоединять зависимое со значением среды, в которой распространяется обычай с помощью предлога "у", управляющего Родительным падежом</t>
  </si>
  <si>
    <t>Письмо сего французского защитника писано было российским пополам со французским наречием, как то обыкновенно у любителей французского языка водится; но я за потребное судил французским речениям быть переведенным на российский язык: ибо сим обязан тем из моих читателей, которые французского языка не разумеют; что ж касается до любителей сего языка, то они при чтении письма сего могут оные от себя прибавлять сколько им будет угодно, а тем самым покажут они новую блистательность пылких своих разумов</t>
  </si>
  <si>
    <t>Учителя поначалу, как у нас водится, реагируют настороженно, а потом, когда понимают, что мы реально можем повысить успеваемость в классе, бросаются помогать», -- делится своими наблюдениями Мария</t>
  </si>
  <si>
    <t>как водится между NP</t>
  </si>
  <si>
    <t>Конструкция может присоединять зависимое со значением среды, в которой распространяется обычай с помощью предлога "между", управляющего Творительным падежом</t>
  </si>
  <si>
    <t>Ну, брат маляр, образумился ли ты? послушай, хотя ты меня и обидел, однакож я суда с тобою заводить не хочу, ежели ты разделаешься со мною добрым порядком и так, как водится между честными людьми. [Н. И. Новиков. Живописец. Третье издание 1775 г. Часть I (1775)]</t>
  </si>
  <si>
    <t>Покамест я глядел на эту фантасмагорию, из Трешилова неостановимо извергались приказные околичности, откуда я уловил, что, хотя об их условии не было никаких бумаг, как оно водится между друзьями, я, безусловно, не подвергну сомнению (я не подверг) и как наследник, без сомнения, приму на себя обязательства; что, однако же, он оставляет на мое благоусмотрение ― забрать ли картину, заплативши сумму, ради которой она здесь оказалась, или оставить ее Трешилову взамен требуемых денег. [Роман Шмараков. Лошадь // «Сибирские огни», 2013]</t>
  </si>
  <si>
    <t>как водится среди NP</t>
  </si>
  <si>
    <t>Конструкция может присоединять зависимое со значением среды, в которой распространяется обычай с помощью предлога "среди", управляющего Родительным падежом</t>
  </si>
  <si>
    <t>― А теперь пора и познакомиться, как водится среди добрых людей. [Юрий Рытхэу. Время таяния снегов (1967)]</t>
  </si>
  <si>
    <t>Что выяснилось вчера вечером практически мгновенно: едва поезд тронулся, они выставили кучу бутылок, начали с тостов за «прорабов перестройки» и успех грядущих демократических преобразований, а потом до полуночи яростно дискутировали о путях, задачах и целях означенных преобразований, причем, как среди российских интеллигентов водится, на три человека у них были четыре мнения и свой уникальный набор рецептов, как обустроить Россию, а заодно и полмира. [А. А. Бушков. Ближе, бандерлоги! (2016)]</t>
  </si>
  <si>
    <t>как водится за NP</t>
  </si>
  <si>
    <t>Конструкция может присоединять зависимое со значением среды, в которой распространяется обычай с помощью предлога "за", управляющего Творительным падежом</t>
  </si>
  <si>
    <t>Явь, как за ней водится, не замедлила откликнуться на вымысел, взяв все дальнейшее на себя. [Сергей Гандлевский. Америка на уме // «Звезда», 2003]</t>
  </si>
  <si>
    <t>В Штатах тоже есть польское землячество, не такое уж малочисленное, и, как это за поляками водится ― тут опять-таки следует отдать им должное, ― сплоченное и активное, даже со своими лоббистами в сенате и конгрессе. [А. А. Бушков. Ближе, бандерлоги! (2016)]</t>
  </si>
  <si>
    <t>как водится с NP</t>
  </si>
  <si>
    <t>Конструкция может присоединять зависимое со значением среды, в которой распространяется обычай с помощью предлога "с", управляющего Творительным падежом</t>
  </si>
  <si>
    <t>1832-1841</t>
  </si>
  <si>
    <t>Въ это время, какъ то обыкновенно водится съ такого рода богачами, пришло ему въ голову желаніе ― быть дворяниномъ. [Д. Н. Бегичев. Семейство Холмских. Части 5 и 6 (1832-1841)]</t>
  </si>
  <si>
    <t>Как это водится с совсем юными девушками, особый интерес к ней питало племя вальяжных и слегка потрепанных грачей с хрипловатыми голосами и барскими замашками, успевших пожить и нажиться, натренированным своим безошибочным чутьем выхватывающих из прыгающей в скакалки угловато-прыщавой подростковой стайки тот самый драгоценный лакомый кусок. [Ада Самарка. Стрекоза и муравей // «Октябрь», 2013]</t>
  </si>
  <si>
    <t>как водилось</t>
  </si>
  <si>
    <t>Глагол может принимать форму прошедшего времени несовершенного вида</t>
  </si>
  <si>
    <t>5) Объявить, что Мария должна принять Веру греческую, равно как и люди ее, которые захотят жить при дворе московском; что наследником государства будет царевич Феодор, а сыновьям княжны английской дадутся особенные частные владения, или уделы, как издревле водилось в России; что сии условия непременны, и что в случае королевина несогласия тебе велено требовать отпуска». [Н. М. Карамзин. История государства Российского: Том 9 (1816-1820)]</t>
  </si>
  <si>
    <t>«… мы были сильно пьяные, очень зажигательно выступили, уважаемая публика сломала все, и все кресла, как это водилось в то время, ну вот. [Иван Мартов. Мы вскормлены пеплом великих побед. Тридцать лет назад: рок-поэзия и перестройка (06.07.2017)]</t>
  </si>
  <si>
    <t>как повелось</t>
  </si>
  <si>
    <t>Глагол может принимать форму прошедшего времени совершенного вида</t>
  </si>
  <si>
    <t>Начал было король все делать по своей воле, но парламент этого не захотел, арцыбискупа и иезуитов многих казнили, и, видя король, что парламент начал владеть по своему обычаю, как искони повелось, а не по королевскому хотению, выехал из Лондона с королевою сам, никто его не высылал, а сказал, что поехал гулять в другие города; выехавши из Лондона, королеву отпустил во Французскую землю, а сам начал воевать, но парламентская сторона сильнее. [С. М. Соловьев. История России с древнейших времен. Том десятый (1860)]</t>
  </si>
  <si>
    <t>Он передавал ученице привезенную с собой книгу ― как у них и повелось, просовывая под ширму. [Гузель Яхина. Дети мои (2018)]</t>
  </si>
  <si>
    <t>Зафиксированное композициональное употребление: две ситуации происходят одновременно и не противопоставлены. Временное значение.</t>
  </si>
  <si>
    <t>А буде и от них в том удовольствованы не будут, то просить на комисара управы, у помещиков того уезда, которые ево выбирали, в то время, как оные помещики, по окончании года съедутся в одно место, для выбора, вместо того комисара иного. [[Петр I]. Плакат о зборе подушном и протчем (1724)]</t>
  </si>
  <si>
    <t>В то время как в позднесоветских рукописях меньше внимания уделяется оформлению, важнее покрыть все возрастающий спрос на духовную литературу. [иеромонах Аркадий (Логинов), О. В. Иванова. Особенности датировки и периодизации рукописных религиозных текстов из собрания музея Святости, Исповедничества и Подвижничества на Урале в ХХ веке // «Церковь богословие история», 2020]</t>
  </si>
  <si>
    <t>Зафиксированные употребления конструкции, где две ситуации, происходящие одновременно, противопоставлены. Совмещение временного и адверсативно-уступительного значения.</t>
  </si>
  <si>
    <t>1762-1788</t>
  </si>
  <si>
    <t>Но мы можем приметить, что в то время как достигали они пышной степени совершенства у одного народа, то, может быть, всем соседям оного совсем они не были известны, и хотя был когда век, в котором приходили они в крайний упадок, но, однако, в последующих воскресали и распространялись по всей земле. [Д. И. Фонвизин. Политическое рассуждение о числе жителей у некоторых древних народов (1762-1788)]</t>
  </si>
  <si>
    <t>В то время, как рабочие, играя для виду в карты, обсуждали что делать, кто виноват и как экспроприировать экспроприаторов, великий пролетарский писатель сидел в углу, пил чай, курил папиросы и все записывал в записную книжку своей, как говорят, феноменальной памяти. [М. Б. Бару. Второй сон Любови Александровны // «Волга», 2015]</t>
  </si>
  <si>
    <t>Зафиксированные употребления конструкции, где две ситуации, не происходящие одновременно, противопоставлены. Адверсативно-уступительное значение.</t>
  </si>
  <si>
    <t>Познав опытом что посольства, коими он утруждал Грецию, были безполезны, для чего он не переменил намерения? и можно ли не презирать его как политика и как гражданина, в то время как ему, как витию удивляешся? [А. Н. Радищев. Размышления о греческой истории или о причинах благоденствия и несчастия Греков [перевод книги Г. де Мабли с французского] (1773)]</t>
  </si>
  <si>
    <t>Этот режим служит для выборочного выделения областей с определенными температурами в инфракрасных цветах, в то время как остальное изображение отображается в черно-белом режиме. [Преимущества технологии IR-Fusion® (2019)]</t>
  </si>
  <si>
    <t>NP бородатый</t>
  </si>
  <si>
    <t>Зафиксированные употребления в буквальном значении 'имеющий волосяной покров в нижней части лица'.</t>
  </si>
  <si>
    <t>1786-1787</t>
  </si>
  <si>
    <t>Науки и художествы, и ремеслы в ней стали процветать, торговля начала ее обогащать, и преобразовались россиане из бородатых в гладкие, из долгополых в короткополые, стали сообщительное, и позорищи благонравные известны им учинились. [М. М. Щербатов. О повреждении нравов в России (1786-1787)]</t>
  </si>
  <si>
    <t>Студией руководил какой-то бородатый студент, я спросил его, можно ли порыться в старых бумагах в поисках «Осенней дороги», но он ответил, что большинство картин Галина Игоревна забрала с собой, когда переезжала. [Дмитрий Лагутин. Спица // «Дальний Восток», 2019]</t>
  </si>
  <si>
    <t>NP с бородой / бородатый</t>
  </si>
  <si>
    <t>Зафиксированные употребления в значении ‘долгое время многократно использующийся’ с неодушевленными существительными.</t>
  </si>
  <si>
    <t>Ибо это не результат новой и экстравагантной гипотезы, а спокойный вывод из старой уже, с бородой, теории относительности и Предопределений Фридмана. [Виктор Конецкий. На околонаучной параболе (Путешествие в Академгородок). Повесть (1978)]</t>
  </si>
  <si>
    <t>На протяжении почти всего фильма я чувствовал себя персонажем бородатого видеомема [vikond65.livejournal.com (2023)]</t>
  </si>
  <si>
    <t>Зафиксированные употребления в значении ‘в течение долгого времени многократно выполняющий какое-либо действие’.</t>
  </si>
  <si>
    <t>Вот это очень интересно и это бы заставило тут задерживаться бородатых путешественников :) [manuel_pirate. livejournal.com (2013)]</t>
  </si>
  <si>
    <t>43 лайфхака от бородатых путешественников: актуальные, но не всегда легальные [vk (28.09.2018)]</t>
  </si>
  <si>
    <t>Зафиксированные употребления, где в качестве вершины используются существительные, обозначающие морально устаревшие приборы, механизмы и программное обеспечение и временные промежутки или события.</t>
  </si>
  <si>
    <t>Насчёт потёртостей не уверен, всё ж аппарат с бородой уже [ex_ufolog (2007)]</t>
  </si>
  <si>
    <t>Раньше в бородатые годы можно было писать вконтактиках вообще что угодно, не стремались даже паблики. [Rozetked Discuss. telegram Rozetked Discuss (09.08.2022)]</t>
  </si>
  <si>
    <t>хронически VP / Ptcp</t>
  </si>
  <si>
    <t>Зафиксированное употребление в переносном значении (перенос по сходству): может описывать не только болезнь, но любое негативное состояние.</t>
  </si>
  <si>
    <t>Мысль о создании новой общественной силы для победы над старыми воплотилась в призыв «Соединяйтесь!», обращенный к хронически голодающим классам всех стран и племен, и целых восемь лет просуществовала первая попытка организации этой силы, ужаснувшей все господствующие элементы старого мира. [П. Л. Лавров. Исторические письма (1869) // еженедельник «Неделя» (1868, No 1-47, 1869, No 6, 11, 14), 1868-1869]</t>
  </si>
  <si>
    <t>― А почему общество хронически такие штуки не замечает? [Д. Менделеева, Ю. Ратанов. Психотерапевт: Что прячут счастливые аккаунты соцсетей? (06.11.2015)]</t>
  </si>
  <si>
    <t>Зафиксированные употребления в идиоматичном значении с существительными, обозначающими не только людей, но также любой неодушевлённый объект или явление.</t>
  </si>
  <si>
    <t>1871-1908</t>
  </si>
  <si>
    <t>При этом я, конечно, имел в виду хронически, более или менее постоянно действующие причины смерти, а также и ту борьбу с нею, которую человек ведет, так сказать, испокон веков, изо дня в день. [Ф. Ф. Эрисман. Пищевая гигиена (1871-1908)]</t>
  </si>
  <si>
    <t>― В публичных дискуссиях наши институционалисты делают особый акцент на такие институты, как судопроизводство и институт собственности, тогда как в нашем понимании один из важнейших институциональных факторов, сдерживающих сегодня экономическое развитие России, ― это системно высокий, хронически завышенный уровень процентных ставок по банковским кредитам компаниям реального сектора. [Александр Ивантер, Владимир Мау. Качественный рост с опорой на институты // «Эксперт», 2014]</t>
  </si>
  <si>
    <t>хронически Adj</t>
  </si>
  <si>
    <t>Зафиксированные употребления с прилагательным-вершиной.</t>
  </si>
  <si>
    <t>Баронесса была хронически печальна и обижена: так как у нее не было ни экипажа, ни лакеев, то свет, конечно, был устроен неправильно, и ничего в нем хорошего не было. [Н. А. Лухманова. Девочки (1894)]</t>
  </si>
  <si>
    <t>Я, хронически голодный с осени 41 года, смотрел на это безобразие, глотал слюни, но не смел попросить желанных, исчезающих в воде корок. [Олег Афанасьев. Монологи 77-летнего // «Ковчег», 2014]</t>
  </si>
  <si>
    <t>хронически VP / Ptcp / Adj</t>
  </si>
  <si>
    <t>Зафиксированные употребления, где у изменяемой части конструкции нет отрицательной окраски.</t>
  </si>
  <si>
    <t>1999-2000</t>
  </si>
  <si>
    <t>Мелкие бытовые трудности не портили воцарившегося в нашей семье хронически хорошего настроения. [Евгений Рубин. Пан или пропал. Жизнеописание (1999-2000)]</t>
  </si>
  <si>
    <t>― Ты же понимаешь, Гоша хронически, генетически порядочен. [Маша Трауб. Нам выходить на следующей (2011)]</t>
  </si>
  <si>
    <t>отчасу/от часу VP-Ipfv</t>
  </si>
  <si>
    <t>Зафиксированные употребления конструкции в значении "с каждым часом" с имперфективным градуальным глаголом.</t>
  </si>
  <si>
    <r>
      <rPr>
        <sz val="10"/>
        <color theme="1"/>
        <rFont val="Arial"/>
      </rPr>
      <t xml:space="preserve">И тако убо намъ в сицевомъ гонении и утеснении пребывающимъ, и такова злая не токмо от дни до дни, </t>
    </r>
    <r>
      <rPr>
        <b/>
        <sz val="10"/>
        <color theme="1"/>
        <rFont val="Arial"/>
      </rPr>
      <t>но **от часу растяху**</t>
    </r>
    <r>
      <rPr>
        <sz val="10"/>
        <color theme="1"/>
        <rFont val="Arial"/>
      </rPr>
      <t>; и еже убо намъ сопротивно, сия умножахуся, а еже убо намъ послушно и покойно, сия умаляхуся. [Иван Грозный. Первое послание Ивана Грозного Курбскому (1564)]</t>
    </r>
  </si>
  <si>
    <t>1806-1808</t>
  </si>
  <si>
    <r>
      <rPr>
        <sz val="10"/>
        <color theme="1"/>
        <rFont val="Arial"/>
      </rPr>
      <t>&lt;...&gt; марта 30 числа, в понедельник Страстныя Недели, жена моя Афимья Фомишна почувствовала небольшой озноб и с того времени **</t>
    </r>
    <r>
      <rPr>
        <b/>
        <sz val="10"/>
        <color theme="1"/>
        <rFont val="Arial"/>
      </rPr>
      <t>от часу</t>
    </r>
    <r>
      <rPr>
        <sz val="10"/>
        <color theme="1"/>
        <rFont val="Arial"/>
      </rPr>
      <t xml:space="preserve"> </t>
    </r>
    <r>
      <rPr>
        <b/>
        <sz val="10"/>
        <color theme="1"/>
        <rFont val="Arial"/>
      </rPr>
      <t>ослабевала**</t>
    </r>
    <r>
      <rPr>
        <sz val="10"/>
        <color theme="1"/>
        <rFont val="Arial"/>
      </rPr>
      <t xml:space="preserve"> в своих силах, лишилась пищи, жаловалась, что у ней болит сердце. [Л. А. Травин. Записки (1806-1808)]</t>
    </r>
  </si>
  <si>
    <t>Конструкция развивает вариант с наращением элемента "час", возможно, под влиянием конструкции "день ото дня"</t>
  </si>
  <si>
    <r>
      <rPr>
        <sz val="10"/>
        <color theme="1"/>
        <rFont val="Arial"/>
      </rPr>
      <t>...чтобъ межъ нами, великими государи, братцкая дружба и любовь множилась и **</t>
    </r>
    <r>
      <rPr>
        <b/>
        <sz val="10"/>
        <color theme="1"/>
        <rFont val="Arial"/>
      </rPr>
      <t>часъ отъ часу</t>
    </r>
    <r>
      <rPr>
        <sz val="10"/>
        <color theme="1"/>
        <rFont val="Arial"/>
      </rPr>
      <t xml:space="preserve"> </t>
    </r>
    <r>
      <rPr>
        <b/>
        <sz val="10"/>
        <color theme="1"/>
        <rFont val="Arial"/>
      </rPr>
      <t>прибавлялась</t>
    </r>
    <r>
      <rPr>
        <sz val="10"/>
        <color theme="1"/>
        <rFont val="Arial"/>
      </rPr>
      <t>.** [Царская грамота к датскому королю Христиану IV с извещением о кончине патриарха Филарета Никитича (1634.08.20)]</t>
    </r>
  </si>
  <si>
    <r>
      <rPr>
        <b/>
        <sz val="10"/>
        <color theme="1"/>
        <rFont val="Arial"/>
      </rPr>
      <t>**Растет</t>
    </r>
    <r>
      <rPr>
        <sz val="10"/>
        <color theme="1"/>
        <rFont val="Arial"/>
      </rPr>
      <t xml:space="preserve"> </t>
    </r>
    <r>
      <rPr>
        <b/>
        <sz val="10"/>
        <color theme="1"/>
        <rFont val="Arial"/>
      </rPr>
      <t xml:space="preserve">час от часу** </t>
    </r>
    <r>
      <rPr>
        <sz val="10"/>
        <color theme="1"/>
        <rFont val="Arial"/>
      </rPr>
      <t>и стоимость украденных вещей. [Vesti.ru, 2016.10]</t>
    </r>
  </si>
  <si>
    <t>(час) от часу VP Adj-Cmp</t>
  </si>
  <si>
    <t>change in government: adding a new dependent</t>
  </si>
  <si>
    <t>Конструкция начинает употребляться с прилагательным в сравнительной степени</t>
  </si>
  <si>
    <r>
      <rPr>
        <sz val="10"/>
        <color theme="1"/>
        <rFont val="Arial"/>
      </rPr>
      <t>&lt;...&gt; рож кꙋпили рублев в пятнатцат и болши овес рублев в сем  а нне</t>
    </r>
    <r>
      <rPr>
        <b/>
        <sz val="10"/>
        <color theme="1"/>
        <rFont val="Arial"/>
      </rPr>
      <t xml:space="preserve"> **от часу</t>
    </r>
    <r>
      <rPr>
        <sz val="10"/>
        <color theme="1"/>
        <rFont val="Arial"/>
      </rPr>
      <t xml:space="preserve"> </t>
    </r>
    <r>
      <rPr>
        <b/>
        <sz val="10"/>
        <color theme="1"/>
        <rFont val="Arial"/>
      </rPr>
      <t>дороже**</t>
    </r>
    <r>
      <rPr>
        <sz val="10"/>
        <color theme="1"/>
        <rFont val="Arial"/>
      </rPr>
      <t xml:space="preserve"> и купит не добудут в лутчеи в торговои днь четверика хлѣба на торгу не станет. [В. Брехов. В. Брехов Ф. В. Бородину (1662)]</t>
    </r>
  </si>
  <si>
    <r>
      <rPr>
        <sz val="10"/>
        <color theme="1"/>
        <rFont val="Arial"/>
      </rPr>
      <t>Покупаю в сельмаге берданку.  Кабысдох **</t>
    </r>
    <r>
      <rPr>
        <b/>
        <sz val="10"/>
        <color theme="1"/>
        <rFont val="Arial"/>
      </rPr>
      <t>проворнее</t>
    </r>
    <r>
      <rPr>
        <sz val="10"/>
        <color theme="1"/>
        <rFont val="Arial"/>
      </rPr>
      <t xml:space="preserve"> </t>
    </r>
    <r>
      <rPr>
        <b/>
        <sz val="10"/>
        <color theme="1"/>
        <rFont val="Arial"/>
      </rPr>
      <t xml:space="preserve">час от часу**.  </t>
    </r>
    <r>
      <rPr>
        <sz val="10"/>
        <color theme="1"/>
        <rFont val="Arial"/>
      </rPr>
      <t>Научился обчищать соседские лошники*.</t>
    </r>
  </si>
  <si>
    <t>Если конструкция употребляется с прилагательным в сравнительной степени, она обязательно присоединяет нулевую глагольную связку.</t>
  </si>
  <si>
    <r>
      <rPr>
        <sz val="10"/>
        <color theme="1"/>
        <rFont val="Arial"/>
      </rPr>
      <t>&lt;...&gt; рож кꙋпили рублев в пятнатцат и болши овес рублев в сем  а нне</t>
    </r>
    <r>
      <rPr>
        <b/>
        <sz val="10"/>
        <color theme="1"/>
        <rFont val="Arial"/>
      </rPr>
      <t xml:space="preserve"> **от часу</t>
    </r>
    <r>
      <rPr>
        <sz val="10"/>
        <color theme="1"/>
        <rFont val="Arial"/>
      </rPr>
      <t xml:space="preserve"> </t>
    </r>
    <r>
      <rPr>
        <b/>
        <sz val="10"/>
        <color theme="1"/>
        <rFont val="Arial"/>
      </rPr>
      <t xml:space="preserve">дороже** </t>
    </r>
    <r>
      <rPr>
        <sz val="10"/>
        <color theme="1"/>
        <rFont val="Arial"/>
      </rPr>
      <t>и купит не добудут в лутчеи в торговои днь четверика хлѣба на торгу не станет. [В. Брехов. В. Брехов Ф. В. Бородину (1662)]</t>
    </r>
  </si>
  <si>
    <r>
      <rPr>
        <sz val="10"/>
        <color theme="1"/>
        <rFont val="Arial"/>
      </rPr>
      <t>Покупаю в сельмаге берданку.  Кабысдох **</t>
    </r>
    <r>
      <rPr>
        <b/>
        <sz val="10"/>
        <color theme="1"/>
        <rFont val="Arial"/>
      </rPr>
      <t>проворнее</t>
    </r>
    <r>
      <rPr>
        <sz val="10"/>
        <color theme="1"/>
        <rFont val="Arial"/>
      </rPr>
      <t xml:space="preserve"> </t>
    </r>
    <r>
      <rPr>
        <b/>
        <sz val="10"/>
        <color theme="1"/>
        <rFont val="Arial"/>
      </rPr>
      <t xml:space="preserve">час от часу**.  </t>
    </r>
    <r>
      <rPr>
        <sz val="10"/>
        <color theme="1"/>
        <rFont val="Arial"/>
      </rPr>
      <t>Научился обчищать соседские лошники*.</t>
    </r>
  </si>
  <si>
    <t>(час) от часу более/больше/менее/меньше VP</t>
  </si>
  <si>
    <t>Сочетаемость конструкции расширяется: она может присоединить к себе неградуальный глагол с градуатором более/больше/менее/меньше</t>
  </si>
  <si>
    <r>
      <rPr>
        <sz val="10"/>
        <color theme="1"/>
        <rFont val="Arial"/>
      </rPr>
      <t xml:space="preserve">В сем 1702 году король швецкой, как тогда ведомости имели, будучи со всею своею армиею в Литве, </t>
    </r>
    <r>
      <rPr>
        <b/>
        <sz val="10"/>
        <color theme="1"/>
        <rFont val="Arial"/>
      </rPr>
      <t>час от часу</t>
    </r>
    <r>
      <rPr>
        <sz val="10"/>
        <color theme="1"/>
        <rFont val="Arial"/>
      </rPr>
      <t xml:space="preserve"> </t>
    </r>
    <r>
      <rPr>
        <b/>
        <sz val="10"/>
        <color theme="1"/>
        <rFont val="Arial"/>
      </rPr>
      <t>более</t>
    </r>
    <r>
      <rPr>
        <sz val="10"/>
        <color theme="1"/>
        <rFont val="Arial"/>
      </rPr>
      <t xml:space="preserve"> </t>
    </r>
    <r>
      <rPr>
        <b/>
        <sz val="10"/>
        <color theme="1"/>
        <rFont val="Arial"/>
      </rPr>
      <t>в силу приходил</t>
    </r>
    <r>
      <rPr>
        <sz val="10"/>
        <color theme="1"/>
        <rFont val="Arial"/>
      </rPr>
      <t xml:space="preserve"> и поляков и литвян многих к своей стороне склонил.</t>
    </r>
  </si>
  <si>
    <r>
      <rPr>
        <sz val="10"/>
        <color theme="1"/>
        <rFont val="Arial"/>
      </rPr>
      <t>Потом он делился с Порошиным своими чувствами к некоей его «любезной», которая **«</t>
    </r>
    <r>
      <rPr>
        <b/>
        <sz val="10"/>
        <color theme="1"/>
        <rFont val="Arial"/>
      </rPr>
      <t>час от часу более</t>
    </r>
    <r>
      <rPr>
        <sz val="10"/>
        <color theme="1"/>
        <rFont val="Arial"/>
      </rPr>
      <t xml:space="preserve"> </t>
    </r>
    <r>
      <rPr>
        <b/>
        <sz val="10"/>
        <color theme="1"/>
        <rFont val="Arial"/>
      </rPr>
      <t>его</t>
    </r>
    <r>
      <rPr>
        <sz val="10"/>
        <color theme="1"/>
        <rFont val="Arial"/>
      </rPr>
      <t xml:space="preserve"> </t>
    </r>
    <r>
      <rPr>
        <b/>
        <sz val="10"/>
        <color theme="1"/>
        <rFont val="Arial"/>
      </rPr>
      <t>пленяет</t>
    </r>
    <r>
      <rPr>
        <sz val="10"/>
        <color theme="1"/>
        <rFont val="Arial"/>
      </rPr>
      <t>»**.</t>
    </r>
  </si>
  <si>
    <t>(час) от часу становиться/делаться Adj-Comp</t>
  </si>
  <si>
    <t>Если конструкция употребляется с прилагательным в сравнительной степени, она почти всегда присоединяет копулятивный глагол.</t>
  </si>
  <si>
    <r>
      <rPr>
        <sz val="10"/>
        <color theme="1"/>
        <rFont val="Arial"/>
      </rPr>
      <t>&lt;...&gt; тогда как в богословии, так филозофии, яко законоучении, мафематике, физике, гистории протчих вольных науках, яко и в полезных ремеслах, великое исправление явилось и **</t>
    </r>
    <r>
      <rPr>
        <b/>
        <sz val="10"/>
        <color theme="1"/>
        <rFont val="Arial"/>
      </rPr>
      <t>от часу стало возрастать и распространяться**</t>
    </r>
    <r>
      <rPr>
        <sz val="10"/>
        <color theme="1"/>
        <rFont val="Arial"/>
      </rPr>
      <t>, зане ученых от часу умножилось.  [В. Н. Татищев. Разговор дву приятелей о пользе науки и училищах (1733)]"</t>
    </r>
  </si>
  <si>
    <r>
      <rPr>
        <sz val="10"/>
        <color theme="1"/>
        <rFont val="Arial"/>
      </rPr>
      <t>Этот страшный, черно-белый, двух с половиной часовой фильм крепко поселится у вас в голове после просмотра и станет жить в ней своей собственной жизнью, **</t>
    </r>
    <r>
      <rPr>
        <b/>
        <sz val="10"/>
        <color theme="1"/>
        <rFont val="Arial"/>
      </rPr>
      <t>час от часу становясь лучше и лучше</t>
    </r>
    <r>
      <rPr>
        <sz val="10"/>
        <color theme="1"/>
        <rFont val="Arial"/>
      </rPr>
      <t>.** [Стас ТЫРКИН. DVD недели со Стасом Тыркиным // Комсомольская правда, 2012.10]</t>
    </r>
  </si>
  <si>
    <t>час от часа VP-Ipfv</t>
  </si>
  <si>
    <t>У идиомы "час от часу" появляется вариант "час от часа"</t>
  </si>
  <si>
    <r>
      <rPr>
        <sz val="10"/>
        <color theme="1"/>
        <rFont val="Arial"/>
      </rPr>
      <t>Есть род горячки, которая в прежние времена была смертоносна; потом она **</t>
    </r>
    <r>
      <rPr>
        <b/>
        <sz val="10"/>
        <color theme="1"/>
        <rFont val="Arial"/>
      </rPr>
      <t>час от часа менее была опасностям подвержена.**</t>
    </r>
    <r>
      <rPr>
        <sz val="10"/>
        <color theme="1"/>
        <rFont val="Arial"/>
      </rPr>
      <t xml:space="preserve"> [Екатерина II. [Полемика с Новиковым] (1769)]</t>
    </r>
  </si>
  <si>
    <r>
      <rPr>
        <sz val="10"/>
        <color theme="1"/>
        <rFont val="Arial"/>
      </rPr>
      <t>А путь **</t>
    </r>
    <r>
      <rPr>
        <b/>
        <sz val="10"/>
        <color theme="1"/>
        <rFont val="Arial"/>
      </rPr>
      <t>час от часа труднее**</t>
    </r>
    <r>
      <rPr>
        <sz val="10"/>
        <color theme="1"/>
        <rFont val="Arial"/>
      </rPr>
      <t>, Бесцветна туманная даль. [А. Г. Колмогоров. Мне доставшееся: Семейные хроники Надежды Лухмановой (2012)]</t>
    </r>
  </si>
  <si>
    <t>Конструкция получает значение периодичности; в сочетании с неградуальным глаголом приобретает итеративное значение; возможна семантическая контаминация с конструкцией "время от времени"</t>
  </si>
  <si>
    <r>
      <rPr>
        <b/>
        <sz val="10"/>
        <color theme="1"/>
        <rFont val="Arial"/>
      </rPr>
      <t xml:space="preserve">**Час от часу </t>
    </r>
    <r>
      <rPr>
        <sz val="10"/>
        <color theme="1"/>
        <rFont val="Arial"/>
      </rPr>
      <t xml:space="preserve">вы </t>
    </r>
    <r>
      <rPr>
        <b/>
        <sz val="10"/>
        <color theme="1"/>
        <rFont val="Arial"/>
      </rPr>
      <t>меня удивляете**</t>
    </r>
    <r>
      <rPr>
        <sz val="10"/>
        <color theme="1"/>
        <rFont val="Arial"/>
      </rPr>
      <t>, но я вам повинуюсь, потому что я чувствую. [М. М. Щербатов. Разговор о бессмертии души (1788)]</t>
    </r>
  </si>
  <si>
    <r>
      <rPr>
        <sz val="10"/>
        <color theme="1"/>
        <rFont val="Arial"/>
      </rPr>
      <t>...Пушкину, который все-таки обязан был **</t>
    </r>
    <r>
      <rPr>
        <b/>
        <sz val="10"/>
        <color theme="1"/>
        <rFont val="Arial"/>
      </rPr>
      <t>час от часу показываться**</t>
    </r>
    <r>
      <rPr>
        <sz val="10"/>
        <color theme="1"/>
        <rFont val="Arial"/>
      </rPr>
      <t xml:space="preserve"> в канцелярий "Попечительного комитета" [Д. И. Яворницкий. История города Екатеринослава (1937)]</t>
    </r>
  </si>
  <si>
    <t>час от часу VP Adj-Cmp</t>
  </si>
  <si>
    <t>Конструкцию можно употреблять обособленно как восклицательное предложение.</t>
  </si>
  <si>
    <r>
      <rPr>
        <b/>
        <sz val="10"/>
        <color theme="1"/>
        <rFont val="Arial"/>
      </rPr>
      <t>**Час от часу</t>
    </r>
    <r>
      <rPr>
        <sz val="10"/>
        <color theme="1"/>
        <rFont val="Arial"/>
      </rPr>
      <t xml:space="preserve"> все </t>
    </r>
    <r>
      <rPr>
        <b/>
        <sz val="10"/>
        <color theme="1"/>
        <rFont val="Arial"/>
      </rPr>
      <t>у нас краше</t>
    </r>
    <r>
      <rPr>
        <sz val="10"/>
        <color theme="1"/>
        <rFont val="Arial"/>
      </rPr>
      <t>!** [В. Л. Пушкин. Письмо П. А. Вяземскому, 20--21 февраля 1818 г. Москва (21.02.1818)]</t>
    </r>
  </si>
  <si>
    <r>
      <rPr>
        <sz val="10"/>
        <color theme="1"/>
        <rFont val="Arial"/>
      </rPr>
      <t>― Виконт Монморанси! ― пробормотал Лепсиус, снова снимая шляпу и кланяясь, хотя никто его не заметил.  **</t>
    </r>
    <r>
      <rPr>
        <b/>
        <sz val="10"/>
        <color theme="1"/>
        <rFont val="Arial"/>
      </rPr>
      <t>― Час от часу страннее!**</t>
    </r>
    <r>
      <rPr>
        <sz val="10"/>
        <color theme="1"/>
        <rFont val="Arial"/>
      </rPr>
      <t xml:space="preserve">  Что им нужно в такое время в Нью-Йорке?</t>
    </r>
  </si>
  <si>
    <t>(час) от часу не легче</t>
  </si>
  <si>
    <t>Конструкция развивает идиоматичный вариант с "не легче"</t>
  </si>
  <si>
    <r>
      <rPr>
        <sz val="10"/>
        <color theme="1"/>
        <rFont val="Arial"/>
      </rPr>
      <t>Варинька.  Да, меня он счел за служанку, оттого только мы и знакомы.  Звёздов.  Ну, Евлампий Аристархович, **</t>
    </r>
    <r>
      <rPr>
        <b/>
        <sz val="10"/>
        <color theme="1"/>
        <rFont val="Arial"/>
      </rPr>
      <t>от-часу не легче.**</t>
    </r>
    <r>
      <rPr>
        <sz val="10"/>
        <color theme="1"/>
        <rFont val="Arial"/>
      </rPr>
      <t xml:space="preserve">  Этого бы я ввек не выдумал. [А. С. Грибоедов. Студент (1817)]</t>
    </r>
  </si>
  <si>
    <r>
      <rPr>
        <b/>
        <sz val="10"/>
        <color theme="1"/>
        <rFont val="Arial"/>
      </rPr>
      <t>**Час от часу не легче</t>
    </r>
    <r>
      <rPr>
        <sz val="10"/>
        <color theme="1"/>
        <rFont val="Arial"/>
      </rPr>
      <t>.** В Самаре горело строение на штрафстоянке [Vesti.ru, 19.08.2020]</t>
    </r>
  </si>
  <si>
    <t>Идиоматичное употребление конструкции: негативная оценка совершенного действия или произошедшего события.</t>
  </si>
  <si>
    <r>
      <rPr>
        <sz val="10"/>
        <color theme="1"/>
        <rFont val="Arial"/>
      </rPr>
      <t>Варинька.  Да, меня он счел за служанку, оттого только мы и знакомы.  Звёздов.  Ну, Евлампий Аристархович,**</t>
    </r>
    <r>
      <rPr>
        <b/>
        <sz val="10"/>
        <color theme="1"/>
        <rFont val="Arial"/>
      </rPr>
      <t>от-часу не легче.**</t>
    </r>
    <r>
      <rPr>
        <sz val="10"/>
        <color theme="1"/>
        <rFont val="Arial"/>
      </rPr>
      <t xml:space="preserve">  Этого бы я ввек не выдумал. [А. С. Грибоедов. Студент (1817)]</t>
    </r>
  </si>
  <si>
    <r>
      <rPr>
        <b/>
        <sz val="10"/>
        <color theme="1"/>
        <rFont val="Arial"/>
      </rPr>
      <t>**Час от часу не легче</t>
    </r>
    <r>
      <rPr>
        <sz val="10"/>
        <color theme="1"/>
        <rFont val="Arial"/>
      </rPr>
      <t>.** В Самаре горело строение на штрафстоянке [Vesti.ru, 19.08.2020]</t>
    </r>
  </si>
  <si>
    <t>Конструкция получает автономное употребление в диалоге</t>
  </si>
  <si>
    <r>
      <rPr>
        <sz val="10"/>
        <color theme="1"/>
        <rFont val="Arial"/>
      </rPr>
      <t>Варинька.  Да, меня он счел за служанку, оттого только мы и знакомы.  Звёздов.  Ну, Евлампий Аристархович, **</t>
    </r>
    <r>
      <rPr>
        <b/>
        <sz val="10"/>
        <color theme="1"/>
        <rFont val="Arial"/>
      </rPr>
      <t>от-часу не легче.**</t>
    </r>
    <r>
      <rPr>
        <sz val="10"/>
        <color theme="1"/>
        <rFont val="Arial"/>
      </rPr>
      <t xml:space="preserve">  Этого бы я ввек не выдумал. [А. С. Грибоедов. Студент (1817)]</t>
    </r>
  </si>
  <si>
    <r>
      <rPr>
        <sz val="10"/>
        <color theme="1"/>
        <rFont val="Arial"/>
      </rPr>
      <t>― Беглый я.  ― **</t>
    </r>
    <r>
      <rPr>
        <b/>
        <sz val="10"/>
        <color theme="1"/>
        <rFont val="Arial"/>
      </rPr>
      <t>Час от часу не легче!**</t>
    </r>
    <r>
      <rPr>
        <sz val="10"/>
        <color theme="1"/>
        <rFont val="Arial"/>
      </rPr>
      <t xml:space="preserve">  В печке ворохнулись, рассыпались, затрещали головни. [В. П. Астафьев. Не хватает сердца (2015)]</t>
    </r>
  </si>
  <si>
    <t>долгий ящик</t>
  </si>
  <si>
    <t>Зафиксировано употребление коллокации "долгий ящик", где у слова "долгий" значение "длинный".</t>
  </si>
  <si>
    <t>— Да, да! эти проклятые шнеллеры вечно сбивают мой ум с прицела и не одного доброго человека уложили в долгий ящик. [А. А. Бестужев-Марлинский. Испытание (1830)]</t>
  </si>
  <si>
    <t>Ин бывает отложить хорошо, ин бывает долгий ящик погибелью человеческою. [Е. А. Салиас. Владимирские Мономахи (1891)]</t>
  </si>
  <si>
    <t>откладывать в долгий ящик</t>
  </si>
  <si>
    <t>Зафиксировано употребление конструкции "откладывать в долгий ящик" в идиоматичном значении: откладывать выполнение дела на потом</t>
  </si>
  <si>
    <t>Князь Василий Михайлович без отлагательства в долгий ящик, без ласковых посулов тотчас приказал причислить меня к своему штату, и, во ожидании ваканции адъютантской, откомандирован я от полку на бессменные к его сиятельству ординарцы</t>
  </si>
  <si>
    <t>Дополнительное время, которое появилось у многих, можно занять чем-то давно отложенным из-за занятости в долгий ящик</t>
  </si>
  <si>
    <t>NP-Acc</t>
  </si>
  <si>
    <t>Употребление дополнения становится необязательным</t>
  </si>
  <si>
    <t>Не откладывая в долгий ящик, завернула тяжелое в старую скатерть и потащила к высокой железной бочке в конце сада</t>
  </si>
  <si>
    <t>в дальний ящик</t>
  </si>
  <si>
    <t>Зафиксирован вариант якоря "в дальний ящик".</t>
  </si>
  <si>
    <t>Между молодыми людьми знакомство никогда не откладывается в дальний ящик</t>
  </si>
  <si>
    <t>Князь и граф решили из Охотска же, не откладывая в дальний ящик, писать слезницы всем своим сиятельным родичам в Петербург, чтобы те устроили им перевод в Средиземноморскую эскадру. [В. В. Сиповский (Василий Новодворский). Коронка в пиках до валета (1930)]</t>
  </si>
  <si>
    <t>в длинный ящик</t>
  </si>
  <si>
    <t>Зафиксирован вариант якоря "в длинный ящик".</t>
  </si>
  <si>
    <t>но постараюсь исполнить на дѣлѣ, если твои отвѣты не будутъ откладываться въ длинный ящикъ [И. В. Киреевский. Письмо А. И. Кошелеву (1831)]</t>
  </si>
  <si>
    <t>Но я дозвонился в воскресенье (20-го) к Якупову и он сказал, что мои бумаги отложены в длинный ящик, так как проректор по науке возил подобные в Киев и там ему отказали</t>
  </si>
  <si>
    <t>V в долгий ящик</t>
  </si>
  <si>
    <t>Вариативность в употреблении глагола: кроме отложить теперь можно использовать другие похожие глаголы</t>
  </si>
  <si>
    <t>Да-с, эта свадьба что-то идет в длинный ящик</t>
  </si>
  <si>
    <t>Проект Трансатлантического торгового и инвестиционного партнерства (TTIP), еще недавно казавшийся близким к осуществлению, будет, похоже, в нынешнем году убран в долгий ящик</t>
  </si>
  <si>
    <t>в долгий ящик</t>
  </si>
  <si>
    <t>Употребление глагола становится необязательным</t>
  </si>
  <si>
    <t>Дело наше не так уже безнадежно, в долгий ящик</t>
  </si>
  <si>
    <t>А получалось — в долгий ящик</t>
  </si>
  <si>
    <r>
      <rPr>
        <sz val="10"/>
        <color theme="1"/>
        <rFont val="Arial"/>
      </rPr>
      <t>Употребляется с глаголами несовершенного вида для обозначения постепенного, на равных промежутках времени (</t>
    </r>
    <r>
      <rPr>
        <i/>
        <sz val="10"/>
        <color theme="1"/>
        <rFont val="Arial"/>
      </rPr>
      <t>с каждым годом</t>
    </r>
    <r>
      <rPr>
        <sz val="10"/>
        <color theme="1"/>
        <rFont val="Arial"/>
      </rPr>
      <t>), изменения чего-то.</t>
    </r>
  </si>
  <si>
    <t>Например, рожь некогда бывает в 50 коп., иногда в 4 рубли, и паки с летами лучше и хуже становится, как то все животные сначала растут и дороже год от года становятся, а потом стареют и дешевеют. [В. Н. Татищев. Разсуждение о ревизии поголовной и касаюсчемся до оной (1733)]</t>
  </si>
  <si>
    <t>Хотя постановление о полном запрете на лов царь-рыбы было принято уже много лет назад, охотников поймать и выпотрошить эту рыбу, взять у нее деликатесную черную икру за эти годы ничуть не поубавилось: спрос на осетрину, калужатину и нутряное их содержимое растет год от года. [Лариса Наумова. Последняя книга писателя // «Дальний Восток», 2019]</t>
  </si>
  <si>
    <t>VP год от года</t>
  </si>
  <si>
    <r>
      <rPr>
        <sz val="10"/>
        <color theme="1"/>
        <rFont val="Arial"/>
      </rPr>
      <t xml:space="preserve">Употребляется с глаголами совершенного вида, для обозачения законченных изменений. (Значение близко к </t>
    </r>
    <r>
      <rPr>
        <i/>
        <sz val="10"/>
        <color theme="1"/>
        <rFont val="Arial"/>
      </rPr>
      <t>с годами</t>
    </r>
    <r>
      <rPr>
        <sz val="10"/>
        <color theme="1"/>
        <rFont val="Arial"/>
      </rPr>
      <t>.)</t>
    </r>
  </si>
  <si>
    <t>Конечно, по хозяйской части, как и в купеческом деле, много и глупого счастья бывает, а если насчет работников взять, так все едино-единственно зависит от того, кто как ремесло в толк взял, а другая главная пружина состоит и в том: каков ты и в поведении, особенно нонече, потому что народ год от года стал баловатее: иной парень бывает по мастерству и не так расторопен, да поведения смирного, так он для хозяина нужней первейшего работника. [А. Ф. Писемский. Питерщик (1852)]</t>
  </si>
  <si>
    <t>Лиза читала про какого-то Игната Иваныча, завотделом, «который был когда-то смелым, но постепенно, год от года, он смелость растерял в угоду желанью жить благополучно и преспокойно, хоть и скучно». [Ю. В. Трифонов. Исчезновение (1981)]</t>
  </si>
  <si>
    <t>VP</t>
  </si>
  <si>
    <t>Появляется употребление с глаголами, не обозначающими изменение. Изменение скрывается в усилении или ослаблении степени выраженности действия, обозначаемого данным глаголом, при помощи сравнителной степени наречия.</t>
  </si>
  <si>
    <t>Всё приятнее жить человеку год от года. [Максим Горький. Трое (1901)]</t>
  </si>
  <si>
    <t>Если у нас понастоящему честные разговоры, мы должны сказать друг другу, что год от года ты все сильнее мучаешься от того, что не успел договорить с ней ― может быть, о самом главном. [Анатолий Кириллин. С собой не возьму // «Сибирские огни», 2012]</t>
  </si>
  <si>
    <r>
      <rPr>
        <sz val="10"/>
        <color theme="1"/>
        <rFont val="Arial"/>
      </rPr>
      <t xml:space="preserve">Конструкция начинает использовать для обозначения постоянной, неизменяющейся ситуации, повторяющейся в течение нескольких лет. (Значение совпадает с </t>
    </r>
    <r>
      <rPr>
        <i/>
        <sz val="10"/>
        <color theme="1"/>
        <rFont val="Arial"/>
      </rPr>
      <t>из года в год</t>
    </r>
    <r>
      <rPr>
        <sz val="10"/>
        <color theme="1"/>
        <rFont val="Arial"/>
      </rPr>
      <t>.)</t>
    </r>
  </si>
  <si>
    <t>Есть все основания полагать, что кинематографисты Венгрии год от года будут радовать свой народ и нас, советских зрителей, все более и более совершенными произведениями. [Иринин. Страница истории венгерского театра (02.04.1952) // «Советское искусство», № 27 (1415), 1952]</t>
  </si>
  <si>
    <t>Приходили новые народы и брали их, и были те народы свирепей, злей и сильней прежних, и надевали на шею их народа ярмо, бывшее тяжелее прежних; и так было год от года, и становилось ярмо тяжелей год от года, век от века. [Дмитрий Шляпентох. Конец Истории: благословенный Иов // «Сибирские огни», 2013]</t>
  </si>
  <si>
    <t>Конструкция начинает использоваться не для описания изменений, а для обозначения различия (возможно, предполагаемого) между величиной показателя с шагом в год.</t>
  </si>
  <si>
    <t>И каков характер болей год от года? [В. Т. Шаламов. Письмо А. З. Добровольскому (1956)]</t>
  </si>
  <si>
    <t>Год от года они отличаются довольно значительно. [Алиса Курманаева. «Мы никогда не рассматривали себя в качестве инструмента власти» (11.11.2010) // http://www.rbcdaily.ru/2010/11/11/media/526203.shtml, 2010]</t>
  </si>
  <si>
    <t>Появляется возможность употребления с глаголами движения.</t>
  </si>
  <si>
    <t>И опять-таки не ради того, чтоб предстать в глазах патриотической общественности неким мессией, а прежде всего потому, что ему, украинцу по родительским корням, было больно видеть, как год от года отдаляются друг от друга братья-славяне, как надуманно, а иногда и сознательно ставились между ними всевозможные барьеры. [Михаил Шаров. Государства должно быть столько, сколько необходимо (2002) // «Наш современник», 15.06.2002]</t>
  </si>
  <si>
    <t>Всегда забавно наблюдать, как на подобных мероприятиях год от года кто-то передвигается с задних рядов к передним, а кто-то — наоборот. [Александр Мардань. Тайна на троих // «Дальний Восток», 2019]</t>
  </si>
  <si>
    <t>Зафиксированные употребления в значении быстрого увеличения физического роста / объёма.</t>
  </si>
  <si>
    <t>Онъ мужалъ не по днямъ , а по часамъ , онъ росъ по мѣрѣ того , какъ Агрипшина умаліялась , какъ падало ея всеподавляющее вліяніе. [П.Н. Кудрявцев. Римскія женщины: историческіе разсказы по Тациту, Том 3 (1800)]</t>
  </si>
  <si>
    <t>Королевские дети росли не по дням, а по часам. [А. Г. Асмолов. Принцесса Круглого озера (2015)]</t>
  </si>
  <si>
    <t>Зафиксированные употребления в значении быстрого увеличения / улучшения чего-либо / быстрой работы.</t>
  </si>
  <si>
    <t>Казалось, что он учился тамошнему наречию не по дням, а по часам, как славные богатыри росли в старинных русских сказках. [О. М. Сомов. Гайдамак (1825)]</t>
  </si>
  <si>
    <t>Говорят, владельцы таких лавок в Японии богатеют не по дням, а по часам: японцы предпочитают сбывать ненужную им мебель даже за бесплатно, но не вызывать службу по ликвидации мебели как «большого» мусора, поскольку за такой сервис приходится немало платить. [Ксения Головина, Елена Кожурина. Япония: нестандартный путеводитель (2006)]</t>
  </si>
  <si>
    <t>Зафиксированные употребления с неодушевлёнными именными группами.</t>
  </si>
  <si>
    <t>1841-1843</t>
  </si>
  <si>
    <t>Между тем работы кипели, вооружение росло не по дням, а по часам, и с ним вместе росло нетерпение Правина. [А. А. Бестужев-Марлинский. Фрегат «Надежда» (1833)]</t>
  </si>
  <si>
    <t>Падала с истомленных, будто себе уже воспрещенных дерев, за лето жизнью себе изнадоевших, бесшумно и кротко слетала обреченная кратким паденьям замедленно вдумчивая листва, и сквозило в редеющих, ясно рдеющих кронах страшно медленное, валкое солнце, и бескрайним объемом вживлялся в разметный простор, до последних обилий наполняя его и проницая, приуставший свет праздно силящегося бабьего лета и последнего, видно, тепла, несказанно оттого дорогого ― на вес, наверное, не по дням, а по часам дорожающей синевы или на сколько потянет вон то божественно раскинувшееся и процветающее воздушным кустом невесомое, одной странностью несомое облачко. [Валерий Володин. Неусопшее кладбище // «Волга», 2014]</t>
  </si>
  <si>
    <t>VP cо дня на день</t>
  </si>
  <si>
    <t>Зафиксированные употребления идиомы со значением: регулярное повторение ситуации.</t>
  </si>
  <si>
    <t>Пожалуи, государь, вели отписат(ь), что с Осипом Тотариновым делат(ь); манил безпрестанно со дни на ден(ь), а ныне во д(ь)яках и пуще монит. [Грамотка приказчика А. Никитина в с. Спасское (1682.09.09)]</t>
  </si>
  <si>
    <t>Соответственно с сим, их в-ва с нежнейшим попечением убеждают своих подданных со дня на день утверждаться в правилах и деятельном исполнении обязанностей, в которых наставил человеков божественный спаситель, аки единственное средство наслаждаться миром, который истекает от доброй совести и который един прочен» (3). [Екатерина Цимбаева. «Русский католицизм» как общественно-философское течение XIX века (1996)]</t>
  </si>
  <si>
    <t>Зафиксированные употребления идиомы со значением: постепенное изменение с течением времени.</t>
  </si>
  <si>
    <t>Да коломъ такъ Твоей судьбины обращаетъ, Какъ подданны Тебѣ щастливыхъ просятъ дней, Да выше Твой Орелъ съ дня на день возлѣтаетъ; [Описаніе и изъясненіе великаго фейерверка</t>
  </si>
  <si>
    <t>Судьба крестьянина улучшается со дня на день по мере распространения просвещения. [Борис Миронов. Когда в России жилось хорошо? // «Родина», 2008]</t>
  </si>
  <si>
    <t>Зафиксированные употребления идиомы со значением: в ближайшее время, в один из ближайших дней.</t>
  </si>
  <si>
    <t>И такъ я со дня на день собираюсь отсюда отъѣхать, дорога не близкая и должно поспѣшить; однакожъ отправиться прежде не надѣюсь, какъ 3 или 4 Апрѣля; а до того листки мои продолжаться еще будутъ. [Василий Тузов. Поденьшина, или Ежедневныя изданія (1769)]</t>
  </si>
  <si>
    <t>Мы пришли навещать Ходжера, когда Гибивич был в реанимации под капельницей, а завотделением говорил Таисии Леонтьевне, что нужно быть готовым ко всему, что, «наверное, со дня на день», что организм у ее мужа не вечный… [Анатолий Полищук. Энциклопедия Большого Сома // «Дальний Восток», 2019]</t>
  </si>
  <si>
    <t>Зафиксированные употребления идиомы с глаголами ожидания, со значением: в ближайшее время, в один из ближайших дней.</t>
  </si>
  <si>
    <t>Со дня на день ожидая решения моей судьбины, упустил я много времени без уведомления Вас. [А. М. Шумлянский. Письмо И. В. Руцкому (1784)]</t>
  </si>
  <si>
    <t>Пора уже было мне сниматься в факторию, готовиться к поездке в стойбища, потому что приезда оленеводов и санного тракторного обоза мы ждали со дня на день. [Виктор Шереметьев. Путешествие в «забытый край» // «Дальний Восток», 2019]</t>
  </si>
  <si>
    <t>Зафиксированные употребления конструкции в сочетании с глаголами "жить", "биться", "перебиваться" со значением "жить, не думая о завтрашнем дне / пытаться выжить каждый день".</t>
  </si>
  <si>
    <t>Уж одно то, что я беден, что я живу со дня на день, что я не могу сегодня сказать наверное, что́ будет со мною завтра, достаточно доказывает мне всю несбыточность этой любви. [М. Е. Салтыков-Щедрин. Противоречия (1847)]</t>
  </si>
  <si>
    <t>Так бывает, когда живешь со дня на день, без ясной цели, какую ставят себе люди, прочно стоящие на земле. [О. В. Волков. Из воспоминаний старого тенишевца (1988)]</t>
  </si>
  <si>
    <t xml:space="preserve">поживём – увидим </t>
  </si>
  <si>
    <t>Зафиксированные употребления в прототипическом значении.</t>
  </si>
  <si>
    <t>Вороватин вдруг засмеялся каким-то ужасным смехом и сказал: — Поживем — увидим! — Он обратил разговор на другие предметы и старался меня рассеять; но у меня налегла грусть на сердце: я был печален и молчалив. [Ф. В. Булгарин. Иван Иванович Выжигин (1829)]</t>
  </si>
  <si>
    <t>— Ваш рэп-баттл все-таки состоится? — Поживем — увидим. Я дисс выпустила, ответа не получила. [Андрей Никитин. «За все подряд я отвечать не могу»: Тина Канделаки о звездах ютьюба, рэпе и Дуде (2017.11) // Афиша Daily, 2017]</t>
  </si>
  <si>
    <t>поживём – увидим CL / NP-Acc</t>
  </si>
  <si>
    <t>Зафиксированные употребления с аргументом глагола.</t>
  </si>
  <si>
    <t>Ну, а остальное ― поживем ― увидим, чья правда. [Н. Н. Алексеев. Лжецаревич (1899)]</t>
  </si>
  <si>
    <t>Поживём-увидим, сбудется ли прогноз Гончарова, и в Воронежской области будет сформирован полноценный аппарат бизнес-омбудсмена, работающего на постоянной основе. [Черноземец. Новости, общественная жизнь, развлечения (2020)]</t>
  </si>
  <si>
    <t>пожить – увидеть</t>
  </si>
  <si>
    <t>Зафиксированные употребления не в форме первого лица множественного числа.</t>
  </si>
  <si>
    <t>Поживете ― увидите, ― сказал он с чувством оскорбленного достоинства, взяв свою шляпу и ретируясь к дверям. [Ф. М. Достоевский. Двойник (1846)]</t>
  </si>
  <si>
    <t>- Cвоей волюшкой дошёл до тяжкой долюшки.  - Поживёшь ― увидишь, пoдoждёшь¬ услышишь.  - Не угадаешь, где найдёшь, где пoтеряешь. [Ольга Белова. Трезвый Воронеж (2021)]</t>
  </si>
  <si>
    <t>VP под занавес</t>
  </si>
  <si>
    <t>Зафиксированные употребления конструкции в композициональном значении: указание на конец театрального действия.</t>
  </si>
  <si>
    <t>Явственно преобладающий «шипъ» встретил, эффектную фразу под занавес одного из скаковых герцогов, что народу нужны иногда революции, и пусть оне лучше происходят здесь, чем в другом месте. [С. А. Ауслендер. Петербургские театры // «Аполлон», 1909]</t>
  </si>
  <si>
    <t>Только бабушка героя, тоже, надо полагать, списанная с grande-mère автора, обретает, причем, если я правильно понимаю теперь его замысел, далеко не сразу, но скорее в поздних частях повести, уже почти под занавес, живые контуры, осязаемые черты; бабушка -- и вот, значит, этот Всеволод, с которым, как мы видели, автор вновь и вновь Григория своего сравнивает, биографию которого он продумывает не менее, или, может быть, лишь чуть менее тщательно, чем биографию его младшего брата. [Алексей Макушинский. Город в долине (2012)]</t>
  </si>
  <si>
    <t>Зафиксированные употребления конструкции в значении конца чего-либо.</t>
  </si>
  <si>
    <t>Но не спасет его молитва его, ибо она не от души, а от верхнего чутья, и по статье видно, что моление о демократии есть заключительный аккорд от реферата, умышленно сказанный «под занавес», для сверхсметных аплодисментов. [Л. Д. Троцкий. Чуковский (1912-1914)]</t>
  </si>
  <si>
    <t>Это было под занавес, в день отъезда [Сергей Носов. Фигурные скобки (2015)]</t>
  </si>
  <si>
    <t>VP под занавес NP-Gen</t>
  </si>
  <si>
    <t>Зафиксированные употребления конструкции с зависимым словом.</t>
  </si>
  <si>
    <t>И уже под занавес империи, в год начала мировой войны, в зное и духоте феодальной реакции, в условиях второвского капитализма и фонмэкковской индустрии, эти российские проселки завели Ивана Авдеевича Грозу в город Можай. [Б. А. Пильняк. Заштат (1923-1928)]</t>
  </si>
  <si>
    <t>И уже под занавес общения бывший начпрод похвастался. [Фёдор Ошевнев. Билет на тот свет // «Ковчег», 2015]</t>
  </si>
  <si>
    <t>VP под ADJ-Acc занавес (NP-Gen)</t>
  </si>
  <si>
    <t>Зафиксированные употребления конструкции с прилагательным внутри идиомы (обычно - интенсификатор).</t>
  </si>
  <si>
    <t>«Я только с нынешнего дня верный товарищ», ― говорит Любовь Яровая под финальный занавес пьесы. [В. К. Эрманс. Первый спектакль. Открытие Центрального театра транспорта (04.01.1939) // «Советское искусство». № 2 (582), 1939]</t>
  </si>
  <si>
    <t>Видело ли оно фильм бельгийца Жако Ван Дормаэля «Мистер Никто», показанный под самый занавес, нет ли, но в призовом пуле этот ошеломляющий фильм присутствует всего лишь в категории «Лучшая работа художника». [Вероника Хлебникова. Четыре танкиста и «Лев» // «Однако», 2009]</t>
  </si>
  <si>
    <t>до гроба PronPoss-Gen.Sg VP</t>
  </si>
  <si>
    <t>Зафиксированные идиоматичные употребления выражения: накладывает на действие временное ограничение вследствие метонимии гроб "ящик для погребения" - гроб "смерть"</t>
  </si>
  <si>
    <t>Что ж до меня надлежит, то я к сему себя посвятил, чтобы до гроба моего с неприятельми наук российских бороться, как уже борюсь двадцать лет; стоял за них смолода, на старость не покину. [М. В. Ломоносов. Письмо Г. Н. Теплову (30.01.1761)]</t>
  </si>
  <si>
    <t>― Люб он мне навечно, до гроба моего, Афанасий Петрович. [Ю. П. Герман. Россия молодая. Часть вторая (1952)]</t>
  </si>
  <si>
    <t>Зафиксированные употребления без притяжательного местоимения в якоре конструкции, согласующегося с "гробом".</t>
  </si>
  <si>
    <t>И я, следуя примеру твоему, не клянуся тебе, Ниса, однако и без клятвы верность мою к тебе сохраню до гроба. [А. П. Сумароков. Опекун (1765)]</t>
  </si>
  <si>
    <t>Прыщавая петушиноголосая юность такую распишет романтику, такой лирический идеал, что законнобрачным Галькам и Риткам до него как до Луны. Горепанову, видно, суждено до гроба идеальничать. Хотя много ли мужику надо? [Владимир Вещунов. Перекат // «Дальний Восток», 2019]</t>
  </si>
  <si>
    <t>Adj до гроба</t>
  </si>
  <si>
    <t>Зафиксированные идиоматичные употребления выражения, где оно модифицирует прилагательное.</t>
  </si>
  <si>
    <t>Толь великое его великодушие произвело в ней жестокое грызение совести и раскаяние в мерзком ее поступке, и которое напоследок сделало ее верною до гроба своему супругу. [М. Д. Чулков. Пересмешник, или Славенские сказки (1766-1768)]</t>
  </si>
  <si>
    <t>― Ищу верного до гроба оруженосца, годного нагибаться и зашнуровывать мне ботинки, ибо я, облаченный в доспехи, подобен черепахе, скованной панцирем. [Мариам Петросян. Дом, в котором... (2009)]</t>
  </si>
  <si>
    <t>до самого гроба VP</t>
  </si>
  <si>
    <t>Зафиксированные употребления с определительным местоимением "самый".</t>
  </si>
  <si>
    <t>Иные до самого гроба не знают успокоения, борясь беспрерывно с волнами пучин мирских, а я, благодаря провидению, хотя скользкою стезею опытов, достиг надежной и бесшумной пристани. [Ф. Н. Глинка. Зиновий Богдан Хмельницкий, или Освобожденная Малороссия (1816)]</t>
  </si>
  <si>
    <t>―… а будет с кем до самого гроба разговаривать!!! [В. В. Лопатин. Кич // «Волга», 2014]</t>
  </si>
  <si>
    <t>NP до гроба</t>
  </si>
  <si>
    <t>Зафиксированные употребления не только с предикатами, но и с именами. Со временем именные вершины начинают преобладать над глагольными.</t>
  </si>
  <si>
    <t>1816-1820</t>
  </si>
  <si>
    <t>Оставался еще один, но главный из клевретов тиранства, Малюта Григорий Лукьянович Скуратов-Бельский, наперсник Иоаннов до гроба: он жил вместе с царем и другом своим для суда за пределами сего мира. [Н. М. Карамзин. История государства Российского: Том 9 (1816-1820)]</t>
  </si>
  <si>
    <t>Ленин же еще и успел поучаствовать в трех партийных съездах ― и научился выстраивать с меньшевиками отношения не «навсегда» ― либо окончательный разрыв, либо любовь до гроба, ― но в зависимости от обстоятельств. [Л. А. Данилкин. Ленин: Пантократор солнечных пылинок (2017)]</t>
  </si>
  <si>
    <t>VP с (самых) пеленок</t>
  </si>
  <si>
    <t>Зафиксированные употребления в композициональном значении - с рождения (о людях).</t>
  </si>
  <si>
    <t>1794-1795</t>
  </si>
  <si>
    <t>Король, утверждался на их словах, приказал построить палаты белокаменные без окошек с троими только дверями; и с самых пеленок заключил туда Ивана-королевича, приставя к нему дядьку и учителей, которым приказал настрого, когда Иван-королевич придет в возраст, то бы не выпускали его на широкий двор. [Сказка о Иване-королевиче (1794-1795)]</t>
  </si>
  <si>
    <t>Прямо с роддома, с пелёнок. [В. М. Шапко. Синдром веселья Плуготаренко // «Волга», 2016]</t>
  </si>
  <si>
    <t>Зафиксированные употребления конструкции в идиоматичном значении: детство как начало чего-то, "с пеленок" - с самого начала чего-то.</t>
  </si>
  <si>
    <t>Каково же существу слабонервному, привыкшему с пеленок к механической подчиненности, вдруг, без всяких переходов и приготовлений почувствовать себя личностью, сознать свое до сих пор никак не признанное я, очутиться на совершенно незнакомом пути самодеятельности. [В. Н. Майков. Стихотворения Кольцова с портретом автора, его факсимиле и статьею о его жизни и сочинениях (1846)]</t>
  </si>
  <si>
    <t>Ведь с первых шагов, буквально с пеленок, Голливуд превратился в средоточие всех пороков и добродетелей, перекресток, где сходятся красота, талант, деньги, вино, наркотики, насилие и, конечно же, секс. [Анна Варенберг. Шалости десятой музы // «Криминальный отдел», 2012]</t>
  </si>
  <si>
    <t>NP с (самых) пеленок</t>
  </si>
  <si>
    <t>Зафиксированные употребления конструкции с отглагольными существительными.</t>
  </si>
  <si>
    <t>Хамство с пеленок и до седых волос. [Марк Криницкий. Припадок (1916)]</t>
  </si>
  <si>
    <t>Не покупала бы всяких умных наборов: "Учимся счету с 0 лет", "Творчество с пеленок", "Маленький гений" и подобных. [55387604. vk 55387604 (11.07.2021)]</t>
  </si>
  <si>
    <t>сидеть у моря (и / да) ждать погоды</t>
  </si>
  <si>
    <t>Зафиксированные употребления в идиоматическом значении ожидания чего-либо без предпринимания каких-либо действий.</t>
  </si>
  <si>
    <t>Пословица сиди у моря, жди погоды не только до одних мореплавателей касается, но и до всех людей. [Пословицы российские (1782)]</t>
  </si>
  <si>
    <t>Ехал туда поэт вместе с другом и однополчанином, одним из секундантов Михаилом Глебовым, рассказывая о своих творческих замыслах: «Я выработал уже план двух романов, одного из времен смертельного боя двух великих наций, с завязкою в Петербурге, действиями в сердце России и под Парижем и развязкой в Вене, и другого – из кавказской жизни, с Тифлисом при Ермолове... персидской войной и катастрофой, среди которой погиб Грибоедов в Тегеране, и вот придется сидеть у моря и ждать погоды, когда можно будет приняться за кладку их фундамента [Базанова О. Кавказ был колыбелью его поэзии (2014)]</t>
  </si>
  <si>
    <t>Зафиксированные употребления в идиоматическом значении без глагола "сидеть".</t>
  </si>
  <si>
    <t>Добрые лифляндцы умели терпеливо ждать у моря погоды. [И. И. Лажечников. Последний Новик (1833)]</t>
  </si>
  <si>
    <t>На днях американская телекомпания NBC опубликовала статью на тему "Богатые страны накапливают вакцину, а бедным государствам остается лишь ждать у моря погоды", в которой отмечается, что после того, как соответствующие вакцины будут сертифицированы, объемы вакцин от коронавируса в США, Канаде, Великобритании и других развитых странах превысит общее количество населения указанных стран</t>
  </si>
  <si>
    <t>NP-Nom сидеть сложа руки (и / да) ждать у моря погоды</t>
  </si>
  <si>
    <t>Зафиксированные употребления в идиоматическом значении - контаминация с другим выражением "сложа руки" с похожим значением.</t>
  </si>
  <si>
    <t>Моченьки нет сидеть сложа руки да ждать у моря погоды. [Н. Н. Алексеев. Лжецаревич (1899)]</t>
  </si>
  <si>
    <t>Что она должна была делать, чтобы сохранить их, она не понимала и теперь, но что-то, наверно, делать надо было, а не сидеть сложа руки и не ждать у моря погоды. [Валентин Распутин. Последний срок (1970)]</t>
  </si>
  <si>
    <t>NP-Nom ждать погоды</t>
  </si>
  <si>
    <t>Зафиксированные употребления в идиоматическом значении без элемента "у моря погоды".</t>
  </si>
  <si>
    <t>Я сунулся было въ Москву, да узнавъ что туда никого не пускаютъ воротился въ Болдино да жду погоды -- Ну ужъ погода! [А. С. Пушкин. Письмо П. А. Плетневу (1928)]</t>
  </si>
  <si>
    <t>Себя промолчали -- все ждали погоды. [И. Н. Вирабов. Андрей Вознесенский (2015)]</t>
  </si>
  <si>
    <t>И они, полковники, пришед к реке того вечера, и стали чинить промысел велий, через реку стрелять из пушек, и немецкий караул от реки отбили, и приказали через реку мост мостить, и, намостя мост, перебрались через реку ночью, и на заре утренней приказали полковники полкам своим собраться в ополчение, и, устроя полки свои, и меж себя съезды чинили, и знаменались крестным знамением и обещались заповедью Божиею, чтоб им против неприятелей его, государевых, стоять храбро и мужественно, и друг за друга пить смертную чашу. [И. А. Желябужский. Дневные записки (1682-1709)]</t>
  </si>
  <si>
    <t>Делали это ласково и тихо, будто то ли на заре, то ли на закате ходили вдвоем в теплой, золотистой воде, заходя то по колени, то чуть-чуть выше. [Захар Прилепин. Верочка (2011)]</t>
  </si>
  <si>
    <t>на заре жизни VP</t>
  </si>
  <si>
    <t>Зафиксированные употребления в значении "в начале жизни" с изменением в якоре.</t>
  </si>
  <si>
    <t>В один из тех нежных часов, когда шум дня теряется в тишине ночи и животворная прохлада воздуха вливает чувство в самые мрачные души, когда милый бог сердец в веянии весеннего ветерка нашептывает тайну любви всем чувствительным существам, манит их парами на сладострастную мураву и устилает ее миртовыми и маковыми цветами; когда травки и цветочки, ручейки и рощицы, птицы и насекомые, и все, что ни есть в творении, в один тихий голос говорит: «Нежные сердца, любите!» ― в один из тех неизреченно приятных майских часов прогуливался я по берегу Ростовского озера* и, так сказать, окружал себя оными улыбающимися картинами счастия, оными сладостными мечтами воображения, которыми любим мы питать себя на заре жизни. [В. В. Измайлов. Ростовское озеро (1795)]</t>
  </si>
  <si>
    <t>Очень не хочется на заре жизни протянуть ноги от повышенного внимания родной сестры. [Наринэ Абгарян. Всё о Манюне (сборник) (2012)]</t>
  </si>
  <si>
    <t>на заре NP-Gen VP</t>
  </si>
  <si>
    <t>Зафиксированные употребления с существительными, обозначающими начало не только человеческой жизни, но и процессов, эпох и т.д.</t>
  </si>
  <si>
    <t>В результате и сами сеансы магнетизирования изменились: больные перестали впадать в буйство, биться в конвульсиях и проявлять иные признаки истерики, преобладавшие на заре магнетической практики. [Ф. Н. Глинка. Записка Ф. Н. Глинки о магнетизме (1830)]</t>
  </si>
  <si>
    <t>На заре капитализма эта теория хорошо согласовывалась с практикой. [Александр Бармин. Трудолюбы, дармоеды и кибернетика // «Дальний Восток», 2019]</t>
  </si>
  <si>
    <t>на заре туманной юности VP</t>
  </si>
  <si>
    <t>Зафиксированные употребления с именой группой "туманная юность".</t>
  </si>
  <si>
    <t>1875-1883</t>
  </si>
  <si>
    <t>За ужином мне удалось еще несколько раз услужить Марусе, и только те, кто любил в молодости (на заре туманной юности, как сказал один из поэтов), могут понять, что я чувствовал, ложась спать. [С. Я. Надсон. Дневники (1875-1883)]</t>
  </si>
  <si>
    <t>Я не сразу привык к такому длинному маршруту, хотя ежедневно, будучи студентом, проделывал почти такой же путь из дома до университета и обратно еще на заре туманной юности. [Наталья Емельянова. Путешественник // «Дальний Восток», 2019]</t>
  </si>
  <si>
    <t>Зафиксированные иронические употребления идиомы.</t>
  </si>
  <si>
    <t>Но это был самообман, обычный «на заре туманной юности». [В. М. Чернов. Записки социалиста революционера (1922)]</t>
  </si>
  <si>
    <t>Однажды на заре туманной юности он женился на однокурснице. [Татьяна Устинова. Большое зло и мелкие пакости (2003)]</t>
  </si>
  <si>
    <t>idiomatic use</t>
  </si>
  <si>
    <t>Зафиксировано идиоматичное употребление конструкции: к завершению события / мероприятия.</t>
  </si>
  <si>
    <t>С кортиком-то, Бог ведает, к чему он приступит. Да еще, Боже оборони, как поспеет он к шапочному разбору. Эй! Глас общий взывает: пустите героя вперед с регулярными!  [И. П. Оденталь. Письмо А. Я. Булгакову (1812)]</t>
  </si>
  <si>
    <t>Или свадьба в Васильевке. Подоспели  к шапочному разбору,  к 11 вечера.  [Искрен Георгиев. Опять про Мендельсона (2023)]</t>
  </si>
  <si>
    <t>VP при шапочном разборе</t>
  </si>
  <si>
    <t>change in preposition</t>
  </si>
  <si>
    <t>Зафиксировано употребление с предлогом "при".</t>
  </si>
  <si>
    <t xml:space="preserve">Мне быть Цицероном, чтоб тронуть охладевшее ко мне сердце Александра Сергеевича, невозможно; стало быть, остается одна только дорога — просить Вас быть ходатаем у него и сказать ему, чтоб он, пожалев мои труды, при шапочном разборе кампании не лишился бы я случая, от чего зависит весь мой карьер; он сам испытал несчастья и знает всю горесть его, и, сколько я знаю, защитник им. [И. О. Корганов. Письмо к Н. Н. Раевскому] </t>
  </si>
  <si>
    <t>На этих рынках надо было успеть ухватить самый ценный продукт, быстро сориентироваться, иначе останешься при шапочном разборе, то есть при остатках от первоначального изобилия. [А. Андроник, С. Пилашевич. Как мы не стали олигархами... (2022)]</t>
  </si>
  <si>
    <t>VP под шапочный разбор</t>
  </si>
  <si>
    <t>Зафиксировано употребление с предлогом "под".</t>
  </si>
  <si>
    <t>Матросы бегали, успокаивая публику. — Спохватились под шапочный разбор… Ничего нету, вам говорят. [А. С. Серафимович. Полосатый зверь (1928)]</t>
  </si>
  <si>
    <t>Веня вспомнил, как заканчивались похороны, на которых ему доводилось бывать. Грустили вначале. В конце под шапочный разбор гости расходились едва ли не с песнями. [Владимир Весенний. Сокровища скифов (2021)]</t>
  </si>
  <si>
    <t>Зафиксировано идиоматичное употребление конструкции: регулярное повторение события.</t>
  </si>
  <si>
    <t>Эки пострелы в самом деле! и поозорничать не дадут. Нет, нет ― да и плетью! Все ямщики засмеялись, и пристыженный Андрей не знал уже куда деваться от насмешек, которые на него посыпались, как вдруг со стороны Петербурга зазвенел колокольчик. [М. Н. Загоскин. Рославлев, или Русские в 1812 году (1830)]</t>
  </si>
  <si>
    <t>Приходилось нет-нет да и хорониться от опьяневших от крови душманов. [Валентин Никитин. Время сладкого янтака (главы из романа) // «Дальний Восток», 2019]</t>
  </si>
  <si>
    <t>нет-нет и VP</t>
  </si>
  <si>
    <t>Зафиксировано идиоматичное употребление конструкции без союза "да".</t>
  </si>
  <si>
    <t>И пошли и пошли! то тот, то другой; уж они говорили, говорили, а другие-то все слушают да вдруг нет-нет и закричат: «Гир, гир, гир!» Знатно, братец! [М. Н. Загоскин. Рославлев, или Русские в 1812 году (1830)]</t>
  </si>
  <si>
    <t>Даже сегодня наган нет-нет и мелькнет наряду со старым добрым ТТ в криминальных сводках. [В. О. Авченко. Фадеев (2017)]</t>
  </si>
  <si>
    <t>нет-нет да VP</t>
  </si>
  <si>
    <t>Зафиксировано идиоматичное употребление конструкции без союза "и".</t>
  </si>
  <si>
    <t>Красавицей ее нельзя назвать, а хороша, даже очень хороша, особенно милы глаза, которые она нет-нет да подымет от работы и посмотрит то в окно, то на Саввушку; взгляд этих глаз согревает сердце. [И. Т. Кокорев. Саввушка (1847)]</t>
  </si>
  <si>
    <t>Зато нет-нет да всколыхнутся заросли тростника у левого берега: видно, щука или голавль балует с рыбьей мелочью. [В. А. Марушин. По реке Белой к жемчужине Урала -- пещере Шульган-Таш (2016)]</t>
  </si>
  <si>
    <t>нет-нет (да) (и) VP</t>
  </si>
  <si>
    <t>Зафиксировано идиоматичное употребление конструкции, где между частями выражения может стоять другое слово.</t>
  </si>
  <si>
    <t>Как угодно, замолчать об них трудно, ― нет-нет, да что-нибудь и напишешь. [В. Н. Майков. Романы Вальтера Скотта... (1847)]</t>
  </si>
  <si>
    <t>Разве что «Гражданская платформа», благодаря креативности своего регионального лидера, нет-нет да что-нибудь и прокричит. [Людмила Тимофеева. Ставка на пугало (17.05.2013) // «Новгородские ведомости», 2013]</t>
  </si>
  <si>
    <t>Зафиксировано идиоматичное употребление конструкции в значении раритива.</t>
  </si>
  <si>
    <t>В Петербурге есть хоть какая-нибудь литература: то переведут что-нибудь порядочное, то скомпилируют, то передразнят ловко, ― смотришь, нет-нет, да и вырежется человеческий голос; в Москве литература вполне выражает собою жизнь, почему вопли кликуш, прорицателей и убогих властительно царят надо всем. [М. А. Воронов. Летняя жизнь в столицах (1865) // Москва-Петербург. Pro et contra. Диалог культур в истории национального самосознания. СПб.: Издательство Русского Христианского гуманитарного института, 2000]</t>
  </si>
  <si>
    <t>Но особенно запомнился он мне по поводу, непосредственно касающемуся исследований пещеры Шульган-Таш и съемки документального кинофильма «Жемчужина Урала», который по сей день нет-нет да и мелькнет на экранах наших телевизоров. [В. А. Марушин. По реке Белой к жемчужине Урала -- пещере Шульган-Таш (2016)]</t>
  </si>
  <si>
    <t>Зафиксировано идиоматичное употребление конструкции: без семантики регулярного повторения события, в значении "рано или поздно, когда-нибудь". Обычно с глаголами совершенного вида.</t>
  </si>
  <si>
    <t>1862-1889</t>
  </si>
  <si>
    <t>Что ни делай, а между навозом и коростой нет-нет да возьмешь и сочинишь. [А. А. Фет. Мои воспоминания / Часть I (1862-1889)]</t>
  </si>
  <si>
    <t>Пока длится подобный опыт, наверняка, нет-нет, да и всплывет мысль: «Насколько допустимо убивать животных или причинять им боль, чтобы принести пользу человеку?» [Александр Волков. Между биологом и борцом // «Знание-сила», 2014]</t>
  </si>
  <si>
    <t>Зафиксировано значение конструкции: две ситуации происходят одновременно.</t>
  </si>
  <si>
    <r>
      <rPr>
        <sz val="10"/>
        <color theme="1"/>
        <rFont val="Arial"/>
      </rPr>
      <t xml:space="preserve">Провианту в городе сыскано было зело довольно. Артиллерии и амуниции взято с сею победою премножество. И великий государь изволил сам июля в 16 числе сюда в обоз придтить и с собою 23 знамени взятые неприятельские привесть. </t>
    </r>
    <r>
      <rPr>
        <b/>
        <sz val="10"/>
        <color theme="1"/>
        <rFont val="Arial"/>
      </rPr>
      <t>А между тем</t>
    </r>
    <r>
      <rPr>
        <sz val="10"/>
        <color theme="1"/>
        <rFont val="Arial"/>
      </rPr>
      <t xml:space="preserve"> в небытии великого государя сюда, в обоз, к губернатору Александру Даниловичу Меншикову пришла ведомость из Санктпетербурха от командующего полковника господина Романа Брюса, что шведский генерал-майор Мендель от Выборка к Петербургу с войском в 8000, состоящим [из] конницы и пехоты, пришел и стал на берегу, а 40 шведских кораблей приближилися к Кроншлоту. [И. А. Желябужский. Дневные записки (1682-1709)]</t>
    </r>
  </si>
  <si>
    <r>
      <rPr>
        <sz val="10"/>
        <color theme="1"/>
        <rFont val="Arial"/>
      </rPr>
      <t xml:space="preserve">Иосифу, конечно, неприятно было бы узнать такое. Да, опять же, и не нужно ему знать. Как и про полуразложившийся труп замерзшего в тайге зэка в полосатой телогрейке.  </t>
    </r>
    <r>
      <rPr>
        <b/>
        <sz val="10"/>
        <color theme="1"/>
        <rFont val="Arial"/>
      </rPr>
      <t>Между тем</t>
    </r>
    <r>
      <rPr>
        <sz val="10"/>
        <color theme="1"/>
        <rFont val="Arial"/>
      </rPr>
      <t xml:space="preserve"> на Дуссе-Алиньском митинге начинаются праздничные речи. Первое слово предоставляют Сталину. Новая буря поднимается в тайге. От волны людской радости трепещет, кажется, нежная листва на осинках и березках. [Александр Купер. Истопник // «Дальний Восток», 2019]</t>
    </r>
  </si>
  <si>
    <t>Cl между тем (же) временем Cl</t>
  </si>
  <si>
    <t>Зафиксирован вариант якоря конструкции "между тем (же) временем".</t>
  </si>
  <si>
    <t>1698–1721</t>
  </si>
  <si>
    <r>
      <rPr>
        <sz val="10"/>
        <color theme="1"/>
        <rFont val="Arial"/>
      </rPr>
      <t xml:space="preserve">В том же году в маие месяце получена в лагер х Канцам ведомость из Смоленска от боярина и воеводы Петра Салтыкова, что апреля 12 будучие за литовским рубежем стрелецкие полки Нечаева и Протопопова имели блиско Биржи с шведами бой, на котором шведов с 700 человек трупом положили и 17 пушек с аммуницыею и иными воинскими знаки у них взяли.  </t>
    </r>
    <r>
      <rPr>
        <b/>
        <sz val="10"/>
        <color theme="1"/>
        <rFont val="Arial"/>
      </rPr>
      <t>Между тем временем</t>
    </r>
    <r>
      <rPr>
        <sz val="10"/>
        <color theme="1"/>
        <rFont val="Arial"/>
      </rPr>
      <t>, по прошению его королевского величества полского и литовских гетманов Вишневецкого и Агинского, посылан на помочь к региментарю литовских войск к Михаилу Халецкому под город Быхов, на Днепре стоящей (где был гварнизон противников сапеженцов), с малороссийскими войски стародубской полковник Михайла Миклашевской с 15 000 человек. [А. М. Макаров (ред.). Гистория Свейской войны (Поденная записка Петра Великого) (1698-1721)]</t>
    </r>
  </si>
  <si>
    <r>
      <rPr>
        <sz val="10"/>
        <color theme="1"/>
        <rFont val="Arial"/>
      </rPr>
      <t xml:space="preserve">[Филицата (жен, нянька Поликсены)] Мудрит старуха над женихами, а внучка, </t>
    </r>
    <r>
      <rPr>
        <b/>
        <sz val="10"/>
        <color theme="1"/>
        <rFont val="Arial"/>
      </rPr>
      <t>между тем временем</t>
    </r>
    <r>
      <rPr>
        <sz val="10"/>
        <color theme="1"/>
        <rFont val="Arial"/>
      </rPr>
      <t>, влюбилась, да и сохнет сердцем. [А. Н. Островский. Правда ― хорошо, а счастье лучше (1876)]</t>
    </r>
  </si>
  <si>
    <t>Зафиксирован вариант якоря конструкции "между тем, как".</t>
  </si>
  <si>
    <t>1754–1758</t>
  </si>
  <si>
    <r>
      <rPr>
        <sz val="10"/>
        <color theme="1"/>
        <rFont val="Arial"/>
      </rPr>
      <t xml:space="preserve">О сей вести император, весьма обеспокоившись, немедля писал к Герману, чтобы для настоящего времени, оставив поход в Италю и вместо того Солуню и другим городам поспешил дать помочь и не умедлил бы удержать стремление славян всеми силами. </t>
    </r>
    <r>
      <rPr>
        <b/>
        <sz val="10"/>
        <color theme="1"/>
        <rFont val="Arial"/>
      </rPr>
      <t>Между тем как</t>
    </r>
    <r>
      <rPr>
        <sz val="10"/>
        <color theme="1"/>
        <rFont val="Arial"/>
      </rPr>
      <t xml:space="preserve"> Герман еще собирался, славяне, узнав от пленных о приходе его в Сардику, устрашились, ибо имя его было у них славно, что пред тем победил антов, славянам единоплеменных. [М. В. Ломоносов. Древняя российская история. Фрагменты (1754-1758)]</t>
    </r>
  </si>
  <si>
    <r>
      <rPr>
        <sz val="10"/>
        <color theme="1"/>
        <rFont val="Arial"/>
      </rPr>
      <t xml:space="preserve">Избранные же из священнослужительского чина предлагают вместе с иереями на божественный жертвенник священный хлеб и чашу благословений, </t>
    </r>
    <r>
      <rPr>
        <b/>
        <sz val="10"/>
        <color theme="1"/>
        <rFont val="Arial"/>
      </rPr>
      <t>между тем как</t>
    </r>
    <r>
      <rPr>
        <sz val="10"/>
        <color theme="1"/>
        <rFont val="Arial"/>
      </rPr>
      <t xml:space="preserve"> все церковное собрание возглашает кафолическое песнословие”. [протодиакон Константин Маркович. Историческое происхождение и богословская интерпретация обычая служения Божественной Литургии иереями при закрытых царских вратах // «Актуальные вопросы современной науки», 2018]</t>
    </r>
  </si>
  <si>
    <t>Зафиксировано, что у конструкции возникает значение противопоставления ситуаций в левом и правом контексте.</t>
  </si>
  <si>
    <r>
      <rPr>
        <sz val="10"/>
        <color theme="1"/>
        <rFont val="Arial"/>
      </rPr>
      <t xml:space="preserve">― После такой клятвы бросаю на нее гнилой взгляд, </t>
    </r>
    <r>
      <rPr>
        <b/>
        <sz val="10"/>
        <color theme="1"/>
        <rFont val="Arial"/>
      </rPr>
      <t>а между тем</t>
    </r>
    <r>
      <rPr>
        <sz val="10"/>
        <color theme="1"/>
        <rFont val="Arial"/>
      </rPr>
      <t xml:space="preserve"> начинаю хвалить ее и тут даю полную свободу языку моему; который, сказать истину, в таких случаях очень остер. [Н. И. Новиков. Живописец. Третье издание 1775 г. Часть I (1775)]</t>
    </r>
  </si>
  <si>
    <r>
      <rPr>
        <sz val="10"/>
        <color theme="1"/>
        <rFont val="Arial"/>
      </rPr>
      <t xml:space="preserve">Статья с тех пор не переиздавалась и на сегодня стала настоящей библиографической редкостью.  </t>
    </r>
    <r>
      <rPr>
        <b/>
        <sz val="10"/>
        <color theme="1"/>
        <rFont val="Arial"/>
      </rPr>
      <t xml:space="preserve">А между тем </t>
    </r>
    <r>
      <rPr>
        <sz val="10"/>
        <color theme="1"/>
        <rFont val="Arial"/>
      </rPr>
      <t>― по охвату материала, по логике выстраивания аргументов ― эта работа чрезвычайно поучительна как в аспекте уточнения наших представлений о личности ее автора, так и в плане более предметного понимания «болевых точек» культуры, литературы, духовного состояния русского общества в эпоху, которая уже вобрала в себя и активно взращивала зерна будущей катастрофы. [Н. В. Пращерук. Вероучение Л. Н. Толстого в оценке Я. П. Полонского: о статье «заметки по поводу одного заграничного издания и новых идей гр. Л. Н. Толстого» (1895) // «Церковь богословие история», 2020]</t>
    </r>
  </si>
  <si>
    <t>с часу на час ждать NP</t>
  </si>
  <si>
    <t>Зафиксированные употребления в значении "в самое ближайшее время" с "ждать" в форме глагола, причастий и деепричастия.</t>
  </si>
  <si>
    <t>1526-1530</t>
  </si>
  <si>
    <t>И, възставше, начаша глаголати Литовьстіи князи Олгердовичи, князь Андрѣй и князь Дмитрей, братіа Ягайла Олгердовичя Литовьскаго, глаголюще сице: «аще пребудемъ здѣ, слабо будетъ воиньство сіе Русское; аще ли на ону страну Дона перевеземся, крѣпко и мужествено будетъ: вси бо живота отчаются, съ часу на чясъ смерти ожидающе; да аще одолѣемъ Татаромъ, да будетъ слава тебѣ и всѣмъ; аще ли избьени будемъ отъ нихъ, то общею смертію вси купно умремъ; а противу велицей силѣ ихъ никтоже да не устрашайся: не въ силѣ бо Богъ, но въ правдѣ, и егоже хощетъ милуетъ, тому и помощь даеть». [Никоновская летопись (1362–1424 гг.) (1526—1530)]</t>
  </si>
  <si>
    <t>В городе стояла зловещая тишина и опустение , с часу на час ждали немцев - народ по случаю устроил грабеж мельниц и магазинов [zelenyak. Личный блог (2014)]</t>
  </si>
  <si>
    <t>Зафиксированные употребления выражения в новом значении: "по мере течения времени" без глагола "ждать".</t>
  </si>
  <si>
    <t>Когда дана им была у его светлости аудиенция, и когда бесовская его светлость, государь наш, их спросить изволил, для чего они неверных с православными поссорили, то они ответствовали, что земля их того терпеть не может, чтоб какое-нибудь государство было их владения счастливее; что сия православная земля так усилилась, что всего севера судьбина от нее зависит; что давно уже правление их употребляет все свое старание, чтоб с часу на час возрастающему сей земли благополучию препятствовать; что часто посылаемы бывают от их владетеля в оную землю разные хитрые их одноземцы; что им приказано разные и почти всегда новые изобретать моды, великолепия и все то, что может служить к дороговизне, праздности, ветрености, непостоянству, роскоши, и от чего слабость народная происшедши, может истребить прежнюю их крепость. [Ф. А. Эмин. Адские ведомости (август) (08.1769)]</t>
  </si>
  <si>
    <t>Мое нетерпение поговорить с Вячеславом Михайловичем растет с часа на час, а он все не вызывает. [moskalkov-opera. livejournal.com moskalkov-opera (2013)]</t>
  </si>
  <si>
    <t>Зафиксированные употребления в значении "в самое ближайшее время" без "ждать".</t>
  </si>
  <si>
    <t>― Если я не ошибаюсь, ― сказал я, ― вы изволили давеча выразить опасение, что у нас с часу на час могут отнять даже и то, что мы имеем? [М. Е. Салтыков-Щедрин. Дневник провинциала в Петербурге (1872)]</t>
  </si>
  <si>
    <t>дух молдавской армии куда-то подевался и в Кишиневе ждали , что с часу на час братья Лебедь возьмут город . Похожее дело было во Вьетнаме – война [medveduha. Личный блог (2014)]</t>
  </si>
  <si>
    <t>NP-Nom не к спеху</t>
  </si>
  <si>
    <t>Зафиксированные употребления в прототипическом значении: что-то, что не требует спешки.</t>
  </si>
  <si>
    <t>Твоя [комм.] порученіе отыскать тебѣ домъ обрадовало меня несказанно ― [впроччемъ] это дѣло не къ спѣху; [и] однако изволь изъяснить мнѣ толковѣе что такое въ началѣ лѣта, и не дорого ― Л. Нарышкинъ съ которымъ я объ этомъ уже говорилъ, уѣзжаетъ въ чужія края въ началѣ лѣта ― онъ нанимаетъ здѣсь домъ въ городѣ за 500 рублей въ мѣсяцъ, и дачу не очень помню за сколько ― Я бы [тебѣ] совѣтовалъ тебѣ для дѣтей нанять дачу, потому что въ городѣ по причинѣ пыли жить несносно ― стану [буду] хлопотать впроччемъ твоего слишкомъ дорого я не понимаю, ты деньги все таки вѣдь изтратишь, если не на то такъ на другое. [А. С. Пушкин. Письмо П. А. Вяземскому (08.03.1824)]</t>
  </si>
  <si>
    <t>xspgx1994, буду благодарен, это не к спеху. [Нужна помощь! (2022)]</t>
  </si>
  <si>
    <t>NP-Nom не к спеху NP-Dat</t>
  </si>
  <si>
    <t>Зафиксированные употребления конструкции с дативным участником.</t>
  </si>
  <si>
    <t>Нет, право, если вам не к спеху, если вы не собирались куда-нибудь, останьтесь, пожалуйста. [И. С. Тургенев. Холостяк (1849)]</t>
  </si>
  <si>
    <t>Пускай придет пообедает… отдохнет. Мне не к спеху. Послушайте, а добавки можно? [Мария Галина. Куриный Бог (2013)]</t>
  </si>
  <si>
    <t>VP не к спеху</t>
  </si>
  <si>
    <t>Зафиксированные употребления идиомы с категорией состояния в качестве предиката.</t>
  </si>
  <si>
    <t>А что за ловкость у него в обращении с покупателями, что за уменье всучить вещь, которая или не показалась вам, или нужна не к спеху, но к которой вы попробовали прицениться! [И. Т. Кокорев. Ярославцы в Москве (1849)]</t>
  </si>
  <si>
    <t>Эта мелочь мне нужна не к спеху. [И. С. Никитин. Письма (1853-1861)]</t>
  </si>
  <si>
    <t>Adj не по годам</t>
  </si>
  <si>
    <t>Зафиксированные употребления идиомы в значении "не в соответствии с возрастом" в качестве адъюнкта определения.</t>
  </si>
  <si>
    <t>Въ гимназіи Митька учился лѣтъ пять и былъ уменъ не по годам: лѣтомъ, бывало, на побывку ― пріѣдетъ, ― на что у нас пятницкой протопопъ отецъ Никаноръ, и тотъ съ нимъ не связывайся: въ пухь загоняеть, да все вѣдь по-латынски… [П. И. Мельников-Печерский. Красильниковы. Изъ дорожныхъ записокъ // «Москвитянин», 1852]</t>
  </si>
  <si>
    <t>– Не по годам мудрой, – преувеличенно серьезно подсказал лорд Бастельеро, и Хольтвер с облегчением кивнул. [Грани безумия. Том 1. (2022). Россия: ЛитРес.]</t>
  </si>
  <si>
    <t>NP-Nom Cop не по годам</t>
  </si>
  <si>
    <t>Зафиксированные употребления идиомы в качестве предиката.</t>
  </si>
  <si>
    <t>Не по годам такая прыть, Уж мы ее бросаем с веком, И я надеюсь сговорить С тобой, как с дельным человеком. [А. А. Фет. Письма Л. Н. Толстому (1878)]</t>
  </si>
  <si>
    <t>Да и не по годам было 83-летнему дедушке воевать с радикально настроенными студентами, когда 24 июня 1932 года они в союзе с группой военных захватили власть в Бангкоке. [А. С. Шигапов. Бангкок и Паттайя. Путеводитель (2013)]</t>
  </si>
  <si>
    <t>Зафиксированные употребления идиомы в значении "затруднительно в силу возраста".</t>
  </si>
  <si>
    <t>Зафиксированные употребления идиомы в значении "неуместно в силу возраста".</t>
  </si>
  <si>
    <t>Конечно, не на девушке ― это мне не по годам, а на вдове. [А. П. Чехов. Из дневника помощника бухгалтера (1883)]</t>
  </si>
  <si>
    <t>Носите платье свое вы, мадам, не по годам, не по годам... [Когда в ладу и с рифмой, и с душой... Стихи. (2018). Россия: ЛитРес.]</t>
  </si>
  <si>
    <t>Зафиксированные употребления идиомы с дативным адъюнктом.</t>
  </si>
  <si>
    <t>Как минимум дважды (не считая случайных упоминаний) Магадан воспел Высоцкий ― «Мой друг уехал в Магадан…» и «Ты думаешь, что мне не по годам…». [В. О. Авченко. Кристалл в прозрачной оправе. Рассказы о воде и камнях (2015)]</t>
  </si>
  <si>
    <t>NP не по годам</t>
  </si>
  <si>
    <t>Зафиксированные употребления идиомы в качестве адъюнкта существительного.</t>
  </si>
  <si>
    <t>Вообще, у юноши, вернее даже, у отрока проявляется серьезность не по годам. [Э. К. Ватсон. Артур Шопенгауэр. Его жизнь и научная деятельность (1891)]</t>
  </si>
  <si>
    <t>2006 - 2007</t>
  </si>
  <si>
    <t>А она все изумлялась и изумлялась ― как же так, как может она воспринимать мальчишку всерьез; ситуация получалась щекотная, двусмысленная: они были словно младший брат и старшая сестра, пионер и пионерская вожатая (как-никак три года разницы), но Матвей вместе с тем поражал ее своей смелостью не по годам, недвусмысленной настойчивостью, невинными и ангельски чистыми глазами и той беззастенчиво-жадной улыбкой, которая еще не скоро должна была прийти в соответствие с возрастом. [С. А. Самсонов. Аномалия Камлаева (2006-2007)]</t>
  </si>
  <si>
    <t xml:space="preserve">Adv не по годам </t>
  </si>
  <si>
    <t>Зафиксированные употребления идиомы в качестве адъюнкта наречия.</t>
  </si>
  <si>
    <t>Степаха тоже улыбается; одетая пестро не по годам, она похожа не на прачку, а на сваху, на гадалку. [Максим Горький. По Руси (1921)]</t>
  </si>
  <si>
    <t>— Кравцов не по годам рассудительно действует на льду. [Курс на Казань // Известия, 2018.03]</t>
  </si>
  <si>
    <t>новоиспеченный NP</t>
  </si>
  <si>
    <t>Зафиксированные употребления выражения в отношении людей, недавно вошедших в какую-либо социальную сферу. Слово калькировано из немецкого, в котором на тот момент имеет то же значение.</t>
  </si>
  <si>
    <t>Какой - то новоиспеченный семинаристъ , который цѣлый обѣдъ не сводилъ глазъ съ своей тарелки , краснѣлъ при каждомъ словѣ... [Biblīoteka dli︠a︡ chtenīi︠a︡, 1838]</t>
  </si>
  <si>
    <t>Надо сказать, что жилье в этом районе Нью-Йорка запредельно дорогое, и Бродскому, новоиспеченному эмигранту, оно было просто не по карману. [Юрий Лепский. В поисках Бродского // «Дальний Восток», 2019]</t>
  </si>
  <si>
    <t>Зафиксированные употребления выражения в отношении неодушевленных, недавно созданных объектов.</t>
  </si>
  <si>
    <t>Но правительства австрийское, прусское, баварское, ганноверское и саксонское отвергли основные права и новоиспеченную конституцию, а прусский король отказался принять императорскую корону и затем отозвал своих депутатов. [М. А. Бакунин. Государственность и анархия (1873)]</t>
  </si>
  <si>
    <t>Благодаря уговорам друзей Горького он совершил тайное венчание в стенах храма, а чтобы преступно-романтическая история не всплыла на поверхность, новоиспеченная семья тем же вечером уехала в Нижний. [Полина Кузнецова. Тайные венчания, голод, тюрьмы: ужасы и восторги литературной Самары. Путешествие сквозь время и пространство с Горьким, Маяковским и Гришковцом (18.06.2017)]</t>
  </si>
  <si>
    <t>Зафиксированные употребления выражения с именами собственными.</t>
  </si>
  <si>
    <t>Новоиспеченный Халда, Балда, Берди-Паша глубоко поклонился послу, посол сделал то же и потом сказал: [А. И. Куприн. Юнкера (1932)]</t>
  </si>
  <si>
    <t>Первую ночь после коронации новоиспеченный Рама проводил именно в нем, и что там происходило, остается только догадываться. [А. С. Шигапов. Бангкок и Паттайя. Путеводитель (2013)]</t>
  </si>
  <si>
    <t>новоиспеченный в NP-Loc NP</t>
  </si>
  <si>
    <t>Зафиксированные употребления выражения , с присоединённой к прилагательному предложной группой, описывающее сферу, в которую вошло лицо, как правило, выраженное именем собственным.</t>
  </si>
  <si>
    <t>Академик С. А. Козин, новоиспеченный как и в сем звании, так и в звании кавалера ордена «Трудового Знамени», приехал в Ленинград вместе с Университетом 24 июня с. г. [Александр Болдырев. Осадная запись (блокадный дневник) (1941-1948)]</t>
  </si>
  <si>
    <t>И если пока все только ждут, сумеет ли тот же новоиспеченный в звездах Shaman доказать свою убедительность сольным альбомом (когда и если он его выпустит) […] [https://www.mk.ru/culture/2023/01/10/god-bez-pugachevoy-porodil-shamana.html 2023]</t>
  </si>
  <si>
    <t>свежеиспеченный NP</t>
  </si>
  <si>
    <t>Зафиксированные употребления выражения в прямом значении: о продуктах печения.</t>
  </si>
  <si>
    <t>1859-1862</t>
  </si>
  <si>
    <t>Вот и опять я в Глупове; вот и опять потянулись заборы да пустыри; вот и опять широкой лентой блеснула в глаза река Большая Глуповица и узенькой ― река Малая Глуповица; вот и опять пахнуло на меня ароматами свежеиспеченного хлеба… [М. Е. Салтыков-Щедрин. Сатиры в прозе (1859-1862)]</t>
  </si>
  <si>
    <t>Из нее шел потрясающе вкусный запах свежеиспеченного хлеба. [Наталья Емельянова. Путешественник // «Дальний Восток», 2019]</t>
  </si>
  <si>
    <t>Зафиксированные употребления выражения в значении нового, недавно созданного объекта.</t>
  </si>
  <si>
    <t>Одним словом, мужики ответили искусству точь-в-точь то же самое, что они же в свое время отвечали ловким политико-экономам и администраторам, которые предлагали им готовые, свежеиспеченные экономические и административные теории… pour leur bien. [М. Е. Салтыков-Щедрин. Статьи из «Современника» (1863)]</t>
  </si>
  <si>
    <t>Стреляли в том числе и по своим, по перепуганным одумавшимся лицам, моргавшим навстречу толстой свежеиспеченной пуле. [О. А. Славникова. 2017 (2017)]</t>
  </si>
  <si>
    <t>Зафиксированные употребления выражения в отношении людей, недавно вошедших в какую-либо социальную сферу.</t>
  </si>
  <si>
    <t>Вы докажете?.. О, свежеиспеченный и непропеченный юрист!.. Я бы желал знать, какие доказательства могут опровергнуть документ, в котором Алексей Михайлыч собственноручно удостоверяет, что деньги по векселям от меня получил… [А. А. Потехин. Выгодное предприятие (1877)]</t>
  </si>
  <si>
    <t>Много всяких и разных мыслей роились, ворочались в голове свежеиспеченного солдата под стук колес катившейся от Урала к Москве теплушки, но одна мысль беспокоила его больше других прочих. [Владимир Тыцких. Через три войны // «Дальний Восток», 2019]</t>
  </si>
  <si>
    <t>VP на первых порах</t>
  </si>
  <si>
    <t>Зафиксированные употребления выражения в значении "в начале".</t>
  </si>
  <si>
    <t>Ни слова не скажу о тех двух иностранцах, кои на первых порах вступили в дом наш и года два у нас пожили. [И. М. Долгоруков. Повесть о рождении моем, происхождении и всей моей жизни, писанная мной самим и начатая в Москве, 1788-го года в августе месяце, на 25-ом году моей жизни / Части 1-2 (1788-1822)]</t>
  </si>
  <si>
    <t>Опыт показывает, что на первых порах педагогу сложно создать технологическую карту занятия (ее можно рассматривать как мини-проект педагога). [О. Ю. Пихиенко, М. Н. Местюкова. Методические рекомендации педагогам дополнительного образования «Технологическая карта занятия в учреждении дополнительного образования» (2021)]</t>
  </si>
  <si>
    <t xml:space="preserve">VP на первых порах NP-Gen </t>
  </si>
  <si>
    <t>Зафиксированные употребления выражения c зависимой именной группой в родительном падеже.</t>
  </si>
  <si>
    <t>Дабы ознакомиться с публикою на первых порах моего приезда, вздумалось мне дать маленький бал. [И. М. Долгоруков. Повесть о рождении моем, происхождении и всей моей жизни, писанная мной самим и начатая в Москве, 1788-го года в августе месяце, на 25-ом году моей жизни / Часть 4 / 1791-1798 (1791-1822)]</t>
  </si>
  <si>
    <t>Недостаток опыта, а может быть и таланта, на первых порах драматургической деятельности Чепурина потребовал посторонней помощи. [Алексей Голицын. Последыши эстетства и их космополитические уши. Протокол одного собрания // «Волга», 2016]</t>
  </si>
  <si>
    <t>на самых первых порах</t>
  </si>
  <si>
    <t>Зафиксированные употребления варианта "на самых первых порах".</t>
  </si>
  <si>
    <t>1838-1852</t>
  </si>
  <si>
    <t>Таким образом, уже на самых первых порах обнаружились благотворные последствия присутствия наследника в Совете. [М. А. Корф. Записки (1838-1852)]</t>
  </si>
  <si>
    <t>А главное, зачем журналу на самых первых порах обретать такого, мягко скажем, недоброжелателя? [Г. Я. Бакланов. Жизнь, подаренная дважды (1999)]</t>
  </si>
  <si>
    <t>Зафиксированные употребления в значении "схватывать / понимать основную суть в самом начале высказывания, когда сказано очень мало".</t>
  </si>
  <si>
    <t>О ком ни пиши, все одно: душевное состояние скрыть трудно, оно слышится в твоем письме с полуслова, сквозит между строками. [Н. Г. Помяловский. Мещанское счастье (1860)]</t>
  </si>
  <si>
    <t>Если нет такой цели, то вполне можно оставаться таким какой есть и просто избегать людей, которые не понимают вас с первого полуслова. [https://m.yandex.ru/q/psy/12431627777/?answer_id=de8107d1-e314-4d45-8823-2e7f2e3f3915]</t>
  </si>
  <si>
    <t>Зафиксированные употребления конструкции со значением буквального оборванного начала.</t>
  </si>
  <si>
    <t>Тут мы не принимаем в рассчёт 13 четвертей той нивы, с полуслова в описании которой начинается наш документ, ибо нельзя решить, сколько было в ней полей. [Николай Чечулин. Города Московского государства в XVI веке (1889)]</t>
  </si>
  <si>
    <t>Вдруг совершенно просто женский голос, свободный от эфирного мусора, начал с полуслова передачу новостей. [О. А. Славникова. Конец Монплезира (2011)]</t>
  </si>
  <si>
    <t>Зафиксированные употребления конструкции, где "с полуслова" относится не только к пониманию, но и к другим действиям, которые могут произойти в начале диалога.</t>
  </si>
  <si>
    <t>Ведь человека моей биографии оно, казалось бы, должно было тронуть с полуслова. [Л. К. Чуковская. Памяти Тамары Григорьевны Габбе (1944-1960) // «Знамя», 2001]</t>
  </si>
  <si>
    <t>Он с полуслова начал ругать какого-то Вадика, назвав его засранцем не менее трёх раз. [Игорь Сахновский. Острое чувство субботы. Восемь историй от первого лица (2012)]</t>
  </si>
  <si>
    <t>Зафиксированные употребления в функции интенсификатора (редкое значение).</t>
  </si>
  <si>
    <t>Действительно,  попробуем  дознаться,  почему   с первого  полуслова иезуита среди всех прочих  див, которыми  мог  очаровать  Роберта  Остров,  именно порхающая Багряница оказалась на первом плане. [Умберто Эко  (пер. Е. Костюкович). Остров накануне (1999)]</t>
  </si>
  <si>
    <t>Шакал понимал - с самого полуслова, знал все то, о чем Слепой никогда не сказал бы в слух, и то, в чём не сознается Сфинкс. [Ада Амели. Подарок (2022)]</t>
  </si>
  <si>
    <t>VP в курсе NP-Gen</t>
  </si>
  <si>
    <t>Зафиксированные употребления выражения в значении "быть осведомленным о состоянии дел чего-либо". Вероятно, значение калькировано из французского. Употребление участника NP в родительном падеже обязательно.</t>
  </si>
  <si>
    <t>Такъ какъ телеграмма была получена отъ бухгалтера, то можно было предполагать о причастности управляющаго отдѣленіемъ; я былъ, конечно, **въ курсѣ** дѣла и понималъ, что, въ случаѣ смѣщенія управляющаго, могъ быть назначенъ на эту должность, которая оплачивалась хорошимъ содержаніемъ. [В. Г. Старостин. Наше счастие (1870)]</t>
  </si>
  <si>
    <t>Не работает она четыре года, но по-прежнему **в курсе** происходящего в поселке. [Михаил Карпач. За окном Хехцир и благодать // «Дальний Восток», 2019]</t>
  </si>
  <si>
    <t>VP NP-Acc в курс NP-Gen</t>
  </si>
  <si>
    <t>Зафиксированные употребления выражения в значении "осведомлять кого-либо о состоянии дел чего-либо" с глаголами типа "вводить, ставить" и пр. Употребление участника NP в родительном падеже обязательно.</t>
  </si>
  <si>
    <t>У нее сидела какая-то старушка, вся в черном, что-то вроде приживалки, и, как кажется, вводила ее **в курс** городских новостей. [М. В. Авдеев. Тамарин (1851)]</t>
  </si>
  <si>
    <t>Завтра давай встретимся, и ты мне расскажешь, введёшь **в курс** дела, что там да как предстоит делать свидетелю. [Гузалия Ариткулова. Контур, выжженный на асфальте // «Бельские просторы», 2018]</t>
  </si>
  <si>
    <t>VP в курс NP-Gen</t>
  </si>
  <si>
    <t>Зафиксированные употребления выражения в значении "становиться осведомленным о состоянии дел чего-либо" с глаголами типа "войти" и подобными. Употребление участника NP в родительном падеже обязательно, обычно это слово "дело".</t>
  </si>
  <si>
    <t>В Нижнем Анастасия Романовна с поразительной быстротой вошла **в "курс** дела", и Хромову оставалось только разводить руками и радоваться за коммерческие и административные способности дочки. [А. В. Амфитеатров. Умница (из сборника «Бабы и дамы») (1890-1900)]</t>
  </si>
  <si>
    <t>Я не зверь и не идиот, прекрасно понимаю, что тебе нужно войти **в курс** дела и втянуться в работу и что на данный момент твоя осведомленность мало отличается от нулевой. [Владимир Васильев. Шуруп (2013)]</t>
  </si>
  <si>
    <t>Зафиксированные употребления выражения в значении "быть осведомленным о состоянии дел чего-либо". Употребление участника NP в родительном падеже не обязательно.</t>
  </si>
  <si>
    <t>Горячились только некоторые, бывшие не **в курсе**. [С. Т. Семенов. Односельцы (1917)]</t>
  </si>
  <si>
    <t>Просто отдай ему пакет и все — он **в курсе**. [Николай Крупин. Головная боль // «Дальний Восток», 2019]</t>
  </si>
  <si>
    <t>VP в курсе Cl</t>
  </si>
  <si>
    <t>Зафиксированные употребления выражения в значении "быть осведомленным о состоянии дел чего-либо" с клаузой, вводимой комплементайзером.</t>
  </si>
  <si>
    <t>― Мистрис Смит идет по бульвару, в кафэ, ― ее джентльмен, с тростью в руках, уже был утром на бирже, он **в курсе**, как пляшут доллары, фунты и франки, он уже потрудился. [Б. А. Пильняк. Третья столица (1922)]</t>
  </si>
  <si>
    <t>**Он в курсе**, что ею управляет куча людей, которые и придумывают для ее медленного роботизированного голоса реплики. [Нелли Боулс, Люся Ширшова. Живое общение становится предметом роскоши, а гаджеты — уделом низших классов (04.2019)]</t>
  </si>
  <si>
    <t>VP в курсе о NP-Loc</t>
  </si>
  <si>
    <t>Зафиксированные употребления выражения в значении "быть осведомленным о состоянии дел чего-либо" с аргументом, вводимым предлогом "о".</t>
  </si>
  <si>
    <t>Конечно, все мы были **в курсе** о скорости, дальности, маневренности, вооружении новых самолетов. [Анастас Микоян. Так было (1971-1974)]</t>
  </si>
  <si>
    <t>― О посмертной судьбе, о возможности или не возможности спасения для китайцев или каких-нибудь еще народов, которые или вообще не **в курсе** о христианстве, или, по крайней мере, не знают полноты христианства, не имеют возможности Христа принять. [Владислав Крапивин, Димитрий Струев. Дорога негаснущей надежды (2015)]</t>
  </si>
  <si>
    <t>VP в курсе про NP-Acc</t>
  </si>
  <si>
    <t>Зафиксированные употребления выражения в значении "быть осведомленным о состоянии дел чего-либо" с аргументом, вводимым предлогом "про".</t>
  </si>
  <si>
    <t>Тата. der Panter, спасибо!  Я **в курсе** про видео.  Вот теперь решаем стоит или не стоит пока наш менять на 400D. [Выбор цифрового фотоаппарата (2007-2008)]</t>
  </si>
  <si>
    <t>Но может быть FDA не **в курсе** про отрицательную эффективность Гардасила? [Ирина Плыткевич. Разбираемся с прививками. Часть 8. Папиллома (27.08.2017)]</t>
  </si>
  <si>
    <t>VP в курсе насчёт NP-Gen</t>
  </si>
  <si>
    <t>Зафиксированные употребления выражения в значении "быть осведомленным о состоянии дел чего-либо" с аргументом, вводимым предлогом "насчёт".</t>
  </si>
  <si>
    <t>Похоже, старичок тоже, скорей всего, **в курсе** насчет паспорта, отметил Артур. [Федор Кнорре. Весенняя путевка (1971)]</t>
  </si>
  <si>
    <t>Но Мотылев ничего не может знать наверняка, даже Кира еще не **в курсе** насчет ближайшего будущего. [О. А. Славникова. Прыжок в длину (2014-2016)]</t>
  </si>
  <si>
    <t>VP изо дня в день</t>
  </si>
  <si>
    <t>Зафиксированные употребления в хабитуальном значении, подразумевающем определенное свойство субъекта или же непрекращающееся состояние.</t>
  </si>
  <si>
    <t>Где есть любовь или какое-либо чувство привлечения к человеку, там кажется неестественно изо дня в день быть одинакову. [И. М. Долгоруков. Повесть о рождении моем, происхождении и всей моей жизни, писанная мной самим и начатая в Москве, 1788-го года в августе месяце, на 25-ом году моей жизни / Часть 4 / 1791-1798 (1791-1822)]</t>
  </si>
  <si>
    <t>Только хуже: сражение не тянется изо дня в день. [Ирина Васюченко. Хромые на склоне // «Ковчег», 2014]</t>
  </si>
  <si>
    <t>Зафиксированные употребления в фреквентативном значении, подразумевающем малые интервалы между повторяющимися ситуациями и, как следствие, сверхчастотность (фреквентативное значение можно также описать словами "постоянно, часто")</t>
  </si>
  <si>
    <t>От крепкого меду их еще болит у меня голова ― легко ли: недели три изо дня в день я принужден был бражничать с ними, да ведь иной раз, что называется, до положенья риз! [Н. А. Полевой. Повесть о Симеоне суздальском князе (1828)]</t>
  </si>
  <si>
    <t>Поджариваем на лаве хлеб и пьём чай с гренками из термоса. Теперь пора на базу. Сходим с горячей лавы на снег, становимся на лыжи и опять попадаем в объятия горячей метели…» И так изо дня в день, всё время извержения вулкана, в разных его местах, чтобы научные данные были непротиворечивы. И вот победа. [Валерий Жердев-Ярый. Из ближних странствий возвратясь // «Ковчег», 2015]</t>
  </si>
  <si>
    <t>Зафиксированные употребления в узитативном значении, подразумевающем наличие желаемой регулярности, т.е. повторяющихся с определённой закономерностью ситуаций.</t>
  </si>
  <si>
    <t>Сутки, а много-много что двое; да коли и с казенной амуницией совсем проглотишь, так буде не подавишься, и то не боле как на три дня тебе станет; пусти-ка ты лучше меня, так я тебя научу, как подобру-поздорову изо дня в день поживляться можно; я сделаю из тебя такого молодца, что любо да два, что всякая живность и скоромь сама тебе на курсак пойдет, только рот разевай пошире! " [В. И. Даль. Сказка о Георгии Храбром и о волке (1836)]</t>
  </si>
  <si>
    <t>Правда, обед и ужин был простоват ― одну неделю для Владимира Ильича убивали барана, которым кормили его изо дня в день, пока всего не съест; как съест ― покупали на неделю мяса, работница во дворе в корыте, где корм скоту заготовляли, рубила купленное мясо на котлеты для Владимира Ильича, тоже на целую неделю. [Л. А. Данилкин. Ленин: Пантократор солнечных пылинок (2017)]</t>
  </si>
  <si>
    <t>NP изо дня в день</t>
  </si>
  <si>
    <t>Зафиксированные употребления конструкции в качестве адъюнкта именной группы.</t>
  </si>
  <si>
    <t>Она ― среди переползанья изо дня в день, деревенская барыня, нянька своих детей, хозяйка ― и только! [И. А. Гончаров. Обломов (1859)]</t>
  </si>
  <si>
    <t>Затемнение, а дальше ― Толмачева, 22, десять лет жизни изо дня в день, детство-отрочество-юность. [Анатолий Найман. Славный конец бесславных поколений (1994)]</t>
  </si>
  <si>
    <t>изо дня в день Adj</t>
  </si>
  <si>
    <t xml:space="preserve">new syntactic role: adjunct of AdjP
</t>
  </si>
  <si>
    <t>Зафиксированные употребления конструкции в качестве адъюнкта группы прилагательного.</t>
  </si>
  <si>
    <t>Народ здесь собирался все молодой, ― или из дворни, или как-нибудь иначе оторванный от того, чем жила деревня; у всякого было свое, изо дня в день одинаковое дело; были весьма определенные заботы, ― и дела и заботы, потому имеющие великую важность, что либо конюший, либо управитель считали их важными и строго взыскивали за малейшую неисправность. [А. И. Эртель. Гарденины, их дворня, приверженцы и враги (1889)]</t>
  </si>
  <si>
    <t>1945-1957</t>
  </si>
  <si>
    <t>И только на днях, вставши в ночной тишине около окон террасы, я вдруг поняла чудо этого роста нашей ели ― незримого изо дня в день, безмолвного, но непреодолимого. [монахиня Игнатия (Петровская). Божественная литургия (1945-1957)]</t>
  </si>
  <si>
    <t>Зафиксированные употребления выражения в идиоматическом значении: отказ причинять насилие или совершить преступление.</t>
  </si>
  <si>
    <t>— «Как могу я к сему преступить, — продолжал слуга, — у меня руки не поднимаются; и я соглашусь лучше претерпеть какое жестокое наказание от вашей мачехи, нежели вас умертвить». [Сказка о старичках-келейчиках (1794-1795)]</t>
  </si>
  <si>
    <t>Если это была ненависть, то обидеть ее не было возможности ― не поднималась рука. [А. А. Уткин. Крепость сомнения (2010)]</t>
  </si>
  <si>
    <t>рука не поднимается VP-Inf</t>
  </si>
  <si>
    <t>Зафиксированные употребления варианта конструкции, в котором появляется новая валентность, которая заполняется инфинитивом - в значении "неспособность / нежелание осуществлять какую-то работу".</t>
  </si>
  <si>
    <t>Особенно Баратынскому столько хочется сказать, что рука не поднимается начать. [И. В. Киреевский. Письма родным (1830)]</t>
  </si>
  <si>
    <t>Прочитала до конца:) Предлагаю флешмоб: всем дочитавшим отметиться в каментах:) (ну, если лайкнуть рука не поднимается:)). [Информационная псевдодебильность (10.2015-11.2015)]</t>
  </si>
  <si>
    <t>рука не поднимается на NP-Acc</t>
  </si>
  <si>
    <t>Зафиксированные употребления варианта конструкции, у которого якорь начинает включать предлог "на", в значении отказа причинять насилие / совершать преступление.</t>
  </si>
  <si>
    <t>У меня, сказать правду, глаза распрыгались на такое богатство; только, во-первых, от самого детства никогда рука моя не поднималась на чужое добро; а во-вторых, знал ли я, где и кто чеканил все эти круглевики? [О. М. Сомов. Сказки о кладах (1829)]</t>
  </si>
  <si>
    <t>Она была откровенно несчастна перед юнцом, игравшим на ее компьютере и ходившим по дому в ее ангорских свитерах, ― а у Крылова не поднималась рука на нелепое существо, улыбавшееся ему трусливо и нахально, точно Крылов был классный руководитель, которому на сиденье стула подложена кнопка. [О. А. Славникова. 2017 (2017)]</t>
  </si>
  <si>
    <t>Зафиксированные употребления варианта конструкции с "на", который используется в значении "неспособность / нежелание осуществлять какую-то работу".</t>
  </si>
  <si>
    <t>Отчего руки не подымаются на большой труд, отчего в минуту восторга не забываем тоски?.. [А. И. Герцен. Былое и думы. Часть четвертая. Москва, Петербург и Новгород (1857)]</t>
  </si>
  <si>
    <t>Бывают праздники, когда душа так исполнена ликования, что рука не поднимается на мирской труд, но бывают и такие, что рука не поднимется, потому что сердце полно или скорби, или священного ужаса. [митрополит Антоний (Блум). Сретение Господне (1982)]</t>
  </si>
  <si>
    <t>Зафиксированные употребления конструкции в буквальном значении: "находиться без движения на одном месте".</t>
  </si>
  <si>
    <t>1050-1150</t>
  </si>
  <si>
    <t>и доброгла(с̑)нъ. ре(ч̑) же ми три словеса бж҃иа. и слышахъ. разꙋмѣхъ. и радъ быхъ дш҃ею. ꙗкоже николиже. и пакы же мало побыхъ. да ре(ч̑) ми дрꙋгаꙗ три словеса. и се власть приꙗхъ и наполнисѧ радости би҃а сер(д)це моє. посемъ ре(ч̑) ми третьє страшно пакы дрꙋгаꙗ три словеса. ꙗкоже бѣахꙋ и перваꙗ. и внезапꙋ возопиша страшно. зовꙋще ч(с̑)тнаꙗ ѻна ст҃ы(х̑) агг҃лъ воиньства. разꙋмѣх̾ бо се видивъ. ꙗкоже абиє возваша пѣ(с̑) дивнꙋ. сїѧ три словеса слышавъ. абиє имже ѻбразомъ былъ вшелъ. тѣм же и снидохъ. и пакы быхъ. ꙗкоже єсмь былъ. стоꙗ на мѣстѣ. на немже и взѧтъ быхъ и первоє. и вел̾ми же сѧ дивѧхъ бывьшимъ мнѣ. размышлѧꙗ. кдѣ ли єсмь былъ. кдѣ ли сѧ ѻбрѣтохъ. велми сѧ дивлѧхъ. како єсмь ходилъ по ширынѣ ст҃ого ѡграда би҃ѧ. роз̾мышлѧꙗ. ꙗ(ж̑) сꙋть в немъ. мышлѧх же и се гл҃ѧ. "есть ли здѣ кто инъ или азъ єсмь єдинъ". и ꙗко(ж̑) начахъ розмышлѧти ходѧ. великъ бо бѣаше раи тои вел̾ми. не въ долготꙋ токмо но и в широтꙋ. зрѣхъ и се. насрѣдѣ поле. и на томъ полѣ сада не бѣаше. но бѣаше поле то все красно и свѣтло вел̾ми. [Житие Андрея Юродивого (середина XI в. — середина XII в.)]</t>
  </si>
  <si>
    <t>Он остался стоять на месте, не подхватив спортивного азарта Аскара. [Гузалия Ариткулова. Контур, выжженный на асфальте // «Бельские просторы», 2018]</t>
  </si>
  <si>
    <t>Зафиксированные идиоматические употребления; значение идиомы - отсутствие изменений, подвижек, развития в чём-либо. В качестве субъекта могут употребляться и имена, не имеющие способности "стоять", например, "жизнь" или "работа".</t>
  </si>
  <si>
    <t>Нет! всякий просвещенный человек знает, что литература изменяется вместе с ходом времени; что она но только не может стоять на одном месте, но и не должна. [М. А. Дмитриев. Мелочи из запаса моей памяти (1869)]</t>
  </si>
  <si>
    <t>Выйдя на улицу сегодня с очередного судебного заседания-фарса, понимаешь, что внешний мир значительно изменился с тех пор и, казалось бы, развивается в сторону будущего, но мир внутренний стоит на месте и продолжает смотреть в мрачное прошлое, которое ничему не учит и, в отличие от будущего, никого не страшит. [Олег Климов. Калининградский миф и охота на германизаторов (08.08.2017)]</t>
  </si>
  <si>
    <t>не стоять на (одном) месте</t>
  </si>
  <si>
    <t xml:space="preserve">Зафиксированные идиоматические употребления выражения с отрицанием; значение идиомы - наличие изменений, подвижек, развития в чём-либо. </t>
  </si>
  <si>
    <t>А между тем жизнь не стоит на месте и все мало-помалу изменяется… [М. Л. Казем-Бек. Дневник (1891)]</t>
  </si>
  <si>
    <t>Слава Богу, медицина не стоит на месте, и наш центр ― ведущий в России по оказанию помощи детям с онкологическими заболеваниями. [М. В. Строганова. Главное чудо — человек (15.08.2015)]</t>
  </si>
  <si>
    <t>у NP-Gen конь не валялся</t>
  </si>
  <si>
    <t>Зафиксированные употребления выражения в переносном значении: "человек еще не начал выполнять ожидаемое от него действие, о котором говорящий предполагает, что его надо было уже закончить"</t>
  </si>
  <si>
    <t>Вѣдь у насъ до сихъ поръ, по пословицѣ, еще и конь не валялся. [Н. Д. Ахшарумов. Мудреное дело. Ч. I // «Эпоха», 1864]</t>
  </si>
  <si>
    <t>Сами бума в мире по спросу гибких устройств не сделали, теперь подначить апл, что бы они это сделали для них😁 а у апл ещё конь не валялся. [Rozetked Discuss. telegram Rozetked Discuss (08.09.2022)]</t>
  </si>
  <si>
    <t>на NP-Loc / в NP-Loc / Adv конь не валялся (у NP-Gen)</t>
  </si>
  <si>
    <t>Зафиксированные употребления выражения с локативными наречиями или PP, вводимой предлогами "на" или "в" - теперь выражение имеет значение "в этом месте было не начато действие &lt;...&gt;</t>
  </si>
  <si>
    <t>На огородѣ еще и конь не валялся, а ужъ четыре рубля подай. [Н. А. Лейкин. На заработках (1891)]</t>
  </si>
  <si>
    <t>2011-2013</t>
  </si>
  <si>
    <t>И надо ехать на дачу, закруглять "стройку", а там по агентурным данным "конь не валялся"… и придёт трындец моему так нелегко добытому спокойствию]: ( [Форум: Апгрейд дачной кухни (2011-2013)]</t>
  </si>
  <si>
    <t>PP конь не валялся (у NP-Gen)</t>
  </si>
  <si>
    <t>Зафиксированные употребления выражения, где в качестве адъюнктов конструкции используются разные PP, вводимые предлогами "насчёт", "с" и др.</t>
  </si>
  <si>
    <t>1972-1973</t>
  </si>
  <si>
    <t>― Там насчет знаний-то… конь не валялся. [Василий Шукшин. На кладбище (1972-1973)]</t>
  </si>
  <si>
    <t>Многие участники семинара подчеркивали, что, несмотря на бурную деятельность полпредов, в вопросах концепции и стратегии экономического развития подвластных им регионов «даже конь не валялся». [Георгий Ильичев. Зачем губернатор ворует. Ученые мужи обсудили проблему федерализма (2001) // «Известия», 20.11.2001]</t>
  </si>
  <si>
    <t>Зафиксированные употребления выражения без зависимых в его зоне с-командования.</t>
  </si>
  <si>
    <t>1975-1987</t>
  </si>
  <si>
    <t>Вбегаете в павильон, где, конечно, «конь не валялся». [Анатолий Эфрос. Профессия: режиссер (1975-1987)]</t>
  </si>
  <si>
    <t>Пока конь не валялся, но обещали начать строительство завтра. [vk (22.05.2014)]</t>
  </si>
  <si>
    <t>NP-Nom и в ус не дуть</t>
  </si>
  <si>
    <t xml:space="preserve">Зафиксировано в идиоматическом значении:  ‘не обращать внимания на что-либо, не беспокоиться по поводу чего-либо’, при этом говорящий оценивает это поведение негативно </t>
  </si>
  <si>
    <t>Дельвигу и Гнѣдичу пробовалъ я было писать ― да они и въ усъ не дуютъ.  [А. С. Пушкин. Письмо Н. И. Гречу (21.09.1821)]</t>
  </si>
  <si>
    <t>Вы, Соломон Богданович, я смотрю, и в ус не дуете.
 [Андрей Волос. Из жизни одноглавого // «Октябрь», 2013]</t>
  </si>
  <si>
    <t>NP-Nom в ус не дуть</t>
  </si>
  <si>
    <t>Зафиксировано, что в якорь конструкции может не входить частица "и".</t>
  </si>
  <si>
    <t>― Мне, а не бабам, угождать товарищам да власти, а ты с товарищами не ладишь и власти в ус не дуешь.
 [Н. А. Полевой. Мешок с золотом (1829)]</t>
  </si>
  <si>
    <t>Ить кое-кто приноровился к жизни и отхватил немалый кусок, теперь в ус не дует. [Ким Балков. Балалайка // «Сибирские огни», 2013 ]</t>
  </si>
  <si>
    <t>NP-Nom (и) NP-Dat в ус не дуть/ NP-Nom (и) в ус NP-Dat не дуть</t>
  </si>
  <si>
    <t>В глагольном якоре конструкции появляется валентность на именную группу в дательном падеже; 99% таких случаев составляют конструкции с рефлексивным местоимением "себе"</t>
  </si>
  <si>
    <t>Но Пришвин в ус себе не дул, и, хотя не все было так просто, именно с этих пор выработался счастливый полугородской/ полудеревенский ритм жизни писателя на долгие годы вперед. [Алексей Варламов. Пришвин или Гений жизни // «Октябрь», 2002]</t>
  </si>
  <si>
    <t>NP-Nom NP-Dat в ус не дуть/ NP-Nom в ус NP-Dat не дуть</t>
  </si>
  <si>
    <t>Конструкция фигурирует в значении "не лебезить перед кем-либо" и выражает положительную оценку говорящего в отношении субъекта конструкции</t>
  </si>
  <si>
    <t>1875-1881</t>
  </si>
  <si>
    <t>Вот хоть бы сестрица моя родимая ― знать никого не хотела, в ус никому не дула, вот за это их маленько и шугнули.  [П. И. Мельников-Печерский. На горах. Книга вторая (1875-1881)]</t>
  </si>
  <si>
    <t>NP-Nom (и) (NP-Dat) в ус не дуть Cl / NP-Nom (и) в ус (NP-Dat) не дуть Cl</t>
  </si>
  <si>
    <t>Зафиксировано, что от якоря конструкции получает возможность зависеть клауза.</t>
  </si>
  <si>
    <t>1830-1839</t>
  </si>
  <si>
    <t>И в ус не дует эта Маша, / Что слаще их лобзанья Миши! [Д. В. Давыдов. Маша и Миша. Шутка (1830-1839)]</t>
  </si>
  <si>
    <t>Управление научных учреждений, боясь Невельсона или не желая портить отношений, в ус не дует, чтоб помочь обиженному учреждению. [Ю. В. Готье. Дневник (1921)]</t>
  </si>
  <si>
    <t>(не) к лицу VP</t>
  </si>
  <si>
    <t>Зафиксированные употребления коллокации "не к лицу" в функции обстоятельства в значении "(не) сочетаться с внешностью кого-либо".</t>
  </si>
  <si>
    <t>…не столько бесится щеголь, когда портной испортит его платье, которого он с нетерпеливостию ожидал и в котором для пленения сердец хотел ехать в Екатерингоф на гулянье, или когда ему парикмахер волосы причешет не к лицу, а он хочет ехать на свиданье… [Н. И. Новиков. [Полемика с Екатериной II] (1769)]</t>
  </si>
  <si>
    <t>Сегодня она была одета более к лицу, чем всегда. [Д. Н. Мамин-Сибиряк. Верный раб (1891)]</t>
  </si>
  <si>
    <t>(не) к лицу Cop (NP-Dat)</t>
  </si>
  <si>
    <t>Зафиксированные употребления коллокации "к лицу" в функции предиката в композициональном значении.</t>
  </si>
  <si>
    <t>Однако ж со всем тем, госпожа шляпа, ты должна признаться, что некоторые женщины, надев на себя или шляпу, или другой какой головной убор, кажутся другим чрезвычайно смешными, и очень часто тот самый их убор делает их дурными, и для того-то лучше бы было, когда бы всякая женщина старалась избирать такие уборы, которые были бы ей к лицу, а не такие, которые больше в моде, в чем просила бы совета у искренней своей приятельницы, или бы следовала вкусу модных торговок, доставляющих им сии уборы. [И. А. Крылов. Почта Духов, или Ученая, нравственная и критическая переписка арабского философа Маликульмулька с водяными, воздушными и подземными духами (1789)]</t>
  </si>
  <si>
    <t>"Кудри очень к лицу малышке Kaily — а её искренние и выразительные эмоции только украшают этот фотосет [Модельное агентство SIGMA Воронеж. Модельное агентство (2022)]</t>
  </si>
  <si>
    <t>(не) к лицу (NP-Dat)</t>
  </si>
  <si>
    <t>Зафиксированы употребления в значении: что-либо (не) подходит социальному статусу, положению.</t>
  </si>
  <si>
    <t>Заманчиво быть причиною дуэли, приятно заставить умереть или убить — это к лицу женщине, это по душе ей. [Н. Ф. Павлов. Ятаган (1835)]</t>
  </si>
  <si>
    <t>К тому же мне, работнику идеологического фронта, это было не к лицу. [ Виктор Шереметьев. Путешествие в «забытый край» // «Дальний Восток», 2019]</t>
  </si>
  <si>
    <t>Зафиксированы употребления в значении: что-либо (не) нравится кому-либо.</t>
  </si>
  <si>
    <t>Душа человѣкъ!  Полюбилъ, какъ сына.  А супруга сейчасъ отбарабанилъ.  Больше здѣсь быть мнѣ не къ лицу.  Коли дозволитъ, навѣстите меня завтра.  Я все въ томъ же своемъ домишкѣ.  Ну, Господь васъ храни! [Е. А. Салиас. Мадонна (1877)]</t>
  </si>
  <si>
    <t>Но ученичество ему не к лицу, в прозе он сразу стал мастером. [Юрий Нагибин. Ночью нет ничего страшного (1985-1994) // Интернет-альманах «Лебедь», 09.11.2003]</t>
  </si>
  <si>
    <t>VP не по пути</t>
  </si>
  <si>
    <t>Терентий с ними: куды-де едете, не по пути ли, да что больно лошаденки-то у нас плохи? [C. В. Максимов. Из книги «Лесная глушь». Том 1 (1859)]</t>
  </si>
  <si>
    <t>Мы оба понимали, чего я шастаю в его автосервис, который был совсем не по пути к дому. [Владимир Панкратов. Шестое января, вторник // «Волга», 2015]</t>
  </si>
  <si>
    <t>NP-Dat (с NP-Ins) не по пути</t>
  </si>
  <si>
    <t>Конструкция зафиксирована в идиоматическом значении: "двум любям необходимо ехать в разных направлениях".</t>
  </si>
  <si>
    <t>― Ну, нам было бы не по пути, ― сказал я, ― я еду в Оренбургскую губернию. [М. В. Авдеев. Тамарин (1851)]</t>
  </si>
  <si>
    <t>Никто не гнал индюшонка, но он и так понял, что с лебедями ему не по пути. [Владимир Севриновский. Гадкий индюшонок // «Ковчег», 2013]</t>
  </si>
  <si>
    <t>Зафиксировано новое значение конструкции: "кто-либо не хочет взаимодействовать с кем-либо".</t>
  </si>
  <si>
    <t>Нужно обращать свой взоръ къ небу, къ звѣздамъ… Только тамъ горятъ, сверкая, путеводныя искры, въ томъ мірѣ мистическихъ тайнъ. ― Намъ съ вами не по пути!  [С. И. Гусев-Оренбургский. Страна отцов (1904)]</t>
  </si>
  <si>
    <t>А послушать песни Бориса Медведкина, когда «чеченята», вослед Шапошникову, вместе с Фомичёвым пришли к власти в Союзе художников, ― не так запоёте, Стелла Александровна! С ними не по пути оказалось даже Новосельцеву, единственному из саратовских художников, о котором статью писал Гущин. [В. В. Лопатин, Стелла Чеботарева. Не «Ностальгия», а воспоминание. Из цикла «Беседы на выставке» // «Волга», 2016]</t>
  </si>
  <si>
    <t>NP-Dat VP-Inf нельзя</t>
  </si>
  <si>
    <t>Когда коллокация, из которой позже возникнет конструкция, впервые фиксируется, её значение -- запрет.</t>
  </si>
  <si>
    <t>И мне, государь, з двора соит[и] нел(ь)зя, извол(ь) спросит(ь) Матвея конюха; на[си]лу отбился от приставов, а приставом да[ть] мне нечево, д(е)н(е)г и вина нет, а они просят д(е)н(е)г хоженова да вина; и я им дал полтора четверика круп овсяных, – и о том как ты, государь, укажешь. [Грамотка приказчика Г. Щербачева в с. Спасское (1685.07.27)]</t>
  </si>
  <si>
    <t>Поэтому в процессе выполнения вышивки в рисунок и технику выполнения никаких изменений вносить нельзя. [Т. В. Хребина. Техники современного церковного шитья // «Актуальные вопросы современной науки», 2018]</t>
  </si>
  <si>
    <t>У конструкции зафиксировано новое значение: отсутствие внутренней возможности.</t>
  </si>
  <si>
    <t>Против этого спорить нельзя, однако ежели б вы меня из адоратера сделали меня своим амантом, то б это было пардонабельно. [. П. Сумароков. Ссора у мужа с женой (1750)]</t>
  </si>
  <si>
    <t>Большего на основе одних только хомяковских текстов утверждать нельзя, но если мы зададимся вопросом об их генезисе, то сможем кое-что прояснить. [протоиерей Павел Хондзинский. Идея «персонализации» Церкви в русском богословии второй половины XIX -- начала хх вв. (2020) // «Вестник Екатеринбургской духовной семинарии», 2019]</t>
  </si>
  <si>
    <t>NP-Dat и VP-Inf нельзя</t>
  </si>
  <si>
    <t>В значении внутренней возможности конструкция получает возможность модфикации частицей "и".</t>
  </si>
  <si>
    <t>Нравственная стужа все так велика, что ртуть замерзает, а градуса и определить нельзя; а оттепели и надеяться нельзя. [Н. И. Тургенев. Письма Николая Ивановича Тургенева к Сергею Ивановичу Тургеневу 1811-1822 гг. (1817)]</t>
  </si>
  <si>
    <t>Великолепно все складывается, лучшего и желать нельзя… [А. А. Бушков. Ближе, бандерлоги! (2016)]</t>
  </si>
  <si>
    <t>NP-Nom/PP-Nom пальцем не (мог) пошевелить</t>
  </si>
  <si>
    <t>Зафиксировано первое использование выражения в композициональном значении.</t>
  </si>
  <si>
    <t>― Свяжите его хорошенько, ― кричал Вышата, ― вот вам мой пояс, да туже, чтоб и пальцем не мог пошевелить!.. [М. Н. Загоскин. Аскольдова могила (1833)]</t>
  </si>
  <si>
    <t>Хоть небо упади, сейчас мы глазом не моргнем и пальцем не двинем. [Ирина Васюченко. Хромые на склоне // «Ковчег», 2014]</t>
  </si>
  <si>
    <t>NP-Nom/PP-Nom (и) пальцем не пошевелить</t>
  </si>
  <si>
    <t>Зафиксировано идиоматическое значение конструкции: полное отсутствие действий</t>
  </si>
  <si>
    <t>Грудных младенцев не пощадили. Варвары! А крестьяне собралися на двор как бы на потешное зрелище. Ни один и пальцем не пошевелил, только хохотали, когда разбойники бросали со второго этажа толстого пана или пани. Грубые, жестокосердые люди! А кто их огрубил? Кто ожесточил? [Т. Г. Шевченко. Варнак (1845)]</t>
  </si>
  <si>
    <t>Холодно поздоровавшись с дипломатами, Ленин выразил свое восхищение тем, что послы, которые ранее не желали и слышать о Смольном, не задумываясь, явились в обитель зла, лишь только зашла речь о нарушении иммунитета их коллеги; ради своих солдат они и пальцем не пошевелили. [Л. А. Данилкин. Ленин: Пантократор солнечных пылинок (2017)]</t>
  </si>
  <si>
    <t>пальцем не шевельнуть</t>
  </si>
  <si>
    <t>Зафиксирован вариант якоря конструкции "пальцем не шевельнуть"</t>
  </si>
  <si>
    <t>Но московский царь, так сказать, и пальцем не шевельнул в пользу дела, которого исполнения он прежде так добивался. [Н. И. Костомаров. Русская история в жизнеописаниях ее главнейших деятелей. Выпуск второй: XV-XVI столетия (1862-1875)]</t>
  </si>
  <si>
    <t>Вы все знали! И никто — никто! — пальцем не шевельнул! Как же вы теперь будете в класс заходить, за одну парту с девчонками садиться, им в глаза смотреть? [Юрий Кашкин. Валюха-горюха // «Ковчег», 2013]</t>
  </si>
  <si>
    <t>пальцем не двинуть</t>
  </si>
  <si>
    <t>Зафиксирован вариант якоря конструкции "пальцем не двинуть"</t>
  </si>
  <si>
    <t>А чуть понахмурилось ― совсем иные станут: подберут брызжи, подожмут хвосты и глядят, что волк на псарне… и тогда у них только о самих себе забота ― их бы только чем не тронули, о другом и заботы нет; все тони, все гори, ― пальцем не двинут… [П. И. Мельников-Печерский. В лесах. Книга вторая (1871-1874)]</t>
  </si>
  <si>
    <t>Он знает, что я сам, из гордости, и пальцем не двину, чтобы остаться, сделать что-либо для себя, а в этой ситуации все заинтересованные люди, вернее, те, которые хотели бы, чтобы я остался, ожидают, что именно он, мой старейший друг и влиятельнейший в науке человек, вместе с Гусевым и Александром Ивановичем, а быть может еще с М. В., которая, в свою очередь, может быть, тоже в тайне хотела бы стать ректором, пойдут хотя бы разведать ситуацию, к министру или к директору федерального агентства. [С. Н. Есин. Дневник (2005)]</t>
  </si>
  <si>
    <t>пальцем не двинуть/пошевелить/шевельнуть (PP)</t>
  </si>
  <si>
    <t>Зафиксирован вариант конструкции, в котором появляется новый слот: для какой цели действия могли бы совершаться, но не совершаются. Заполняется предложной группой.</t>
  </si>
  <si>
    <t>В США президентство Обамы, этого персонификатора политкорректности, который пальцем не пошевелил для улучшения межрасовых отношений, того и гляди сменится президентством Трампа, этакого американского Орбана, яркого первопроходца манипулятивной демократии. [Сергей Шелин. Всемирная прохиндиада -- 2016 (27.07.2016) // 2016]</t>
  </si>
  <si>
    <t>пальцем не пошевелить/пошевельнуть/шевельнуть/двинуть, чтобы Inf</t>
  </si>
  <si>
    <t>Зафиксирован вариант конструкции, где слот цели невыполненного действия заполняется целевой нефинитной клаузой</t>
  </si>
  <si>
    <t>Она пальцем не пошевельнет, чтобы вас избавить; а если ей это нужно или выгодно… тогда… о, тогда! [И. С. Тургенев. Новь (1877)]</t>
  </si>
  <si>
    <t>2014-2016</t>
  </si>
  <si>
    <t>Лично он, Ведерников, пальцем не пошевелит, чтобы спасти сиротку от ареста и тюрьмы. [О. А. Славникова. Прыжок в длину (2014-2016)]</t>
  </si>
  <si>
    <t>пальцем не пошевельнуть</t>
  </si>
  <si>
    <t>Зафиксирован вариант якоря конструкции "пальцем не пошевельнуть"</t>
  </si>
  <si>
    <t>И так они захватили в плен, что те, кто по долгу службы своей обязан передать народу патриотическую песню, без личной выгоды и пальцем не пошевельнет, а если и включит твоё произведение в какой-нибудь городской концерт, то не заплатит и фамилию автора не объявит. [Елена Никифорова. Кому не нужны новые песни о главном? // «Менестрель», 2013]</t>
  </si>
  <si>
    <t>пальцем не шевелить</t>
  </si>
  <si>
    <t>Зафиксирован вариант конструкции "пальцем не шевелить".</t>
  </si>
  <si>
    <t>1914-1928</t>
  </si>
  <si>
    <t>И это на глазах Европы, которая пальцем не шевелит, не то обидиотев, не то осатанев от кровей. [З. Н. Гиппиус. Дневники (1914-1928)]</t>
  </si>
  <si>
    <t>Ни один из «братьев по классу», вопреки теории классовой борьбы, пальцем не шевелит, чтобы защитить ЮКОС и Ходорковского. [Дмитрий Орешкин. О чем молчат олигархи? (2003) // «Московские новости», 01.04.2003]</t>
  </si>
  <si>
    <t>пальцем не шевелить/пошевелить/пошевельнуть/шевельнуть/двинуть Inf</t>
  </si>
  <si>
    <t>Зафиксировано, что якорь конструкции может усправлять целевой инфинитивной клаузой</t>
  </si>
  <si>
    <t>Но никто из станичников пальцем не шевельнул сделать это. [А. П. Богаевский. Ледяной поход (1918)]</t>
  </si>
  <si>
    <t>Ему не посули заранее ― он и пальцем не пошевелит выручить кого. [Георгий Владимов. Три минуты молчания (1969)]</t>
  </si>
  <si>
    <t>Конструкция фиксируется в композициональном значении.</t>
  </si>
  <si>
    <t>Но чтоб яснее вам показать, какая разница между добрым и худым крестьянином, я далеко ходить не стану. [Д. И. Фонвизин. Поучение, говоренное в духов день (1788)]</t>
  </si>
  <si>
    <t>«Не сердись, Гора. Тут недалеко ходить. Да и одеваюсь я тепло [В. М. Шапко. Грузок, what is it горка and липка? // «Волга», 2014]</t>
  </si>
  <si>
    <t>недалеко ходить за NP</t>
  </si>
  <si>
    <t>Зафиксировано, что у конструкции возникает переносное значение -- пример какого-либо явления легко привести.</t>
  </si>
  <si>
    <t xml:space="preserve">Бывало, все в клубе знали, что цена этому проходимцу ― грош и что за два двугривенных он родителей слопает, а нынче, смотришь, он еще ораторствует, при случае, насчет всяких основ… о благородстве чувств распинается… Да вот, недалеко ходить за примерами… Был у нас в уезде один такой человек… [К. М. Станюкович. В далекие края (1886)] </t>
  </si>
  <si>
    <t>Шумно вздохнул и закончил: «За примерами недалеко ходить! Все вы, конечно, слышали о писателе Лионе Фейхтвангере. [Борис Хазанов. Плюсквамперфект и другие времена // «Волга», 2008]</t>
  </si>
  <si>
    <t>Зафиксировано, что он якоря конструкции получает возможность зависеть именная группа.</t>
  </si>
  <si>
    <t>(вот) недалеко ходить</t>
  </si>
  <si>
    <t>Зафиксировано, что "недалеко ходить" может употребляться как воодное слово, которое используется для того, чтобы привести пример.</t>
  </si>
  <si>
    <t>Вот недалеко ходить: хотел меня скушать живую, и с косточками, господь прости ему его согрешения! [И. И. Лажечников. Ледяной дом (1835)]</t>
  </si>
  <si>
    <t>Недалеко ходить: взять, к примеру, моих ямщиков из обоза…[В. Я. Шишков. Емельян Пугачев. Книга первая. Ч. 1-2 (1934-1939)]</t>
  </si>
  <si>
    <t>Зафиксировано, что если идиома используется как вводное слово, то в её якорь может входить частица "вот".</t>
  </si>
  <si>
    <t xml:space="preserve"> Да вот, недалеко ходить, Лежава ― чем же не кандидат?[Г. А. Соломон (Исецкий). Среди красных вождей (1930) ]</t>
  </si>
  <si>
    <t>не надо далеко ходить</t>
  </si>
  <si>
    <t>Коллокация зафиксирована в композициональном значении</t>
  </si>
  <si>
    <t>Именно поэтому разработка новых методов работы и представляет сейчас направление «главного удара» в области биоорганической химии. Не надо далеко ходить за примером. [П. Жвирблис. Слово — биоорганической химии // «Химия и жизнь», 1965]</t>
  </si>
  <si>
    <t>И не надо далеко ходить за обедом, а можно тут же, в ресторане, в помещении, отгороженном для «раздаточной», получить этот обед в свою посуду. [Софья Пилявская. Грустная книга (2000)]</t>
  </si>
  <si>
    <t>за NP далеко ходить не надо</t>
  </si>
  <si>
    <t>Зафиксировано, что у конструкции возникает переносное значение -- что-либо легко получить.</t>
  </si>
  <si>
    <t>1934-1936</t>
  </si>
  <si>
    <t>А оружия нету! Кулаком много не навоюешь, ― приглушая свой мощный бас, прогудел он. Все невольно взглянули на его огромные кулаки. ― Если дело за оружием, так далеко ходить не надо ― на седьмом пути в тупике стоит запломбированный вагон. Там ящики с винтовками. Сам видел, как грузили, ― оживился Воробейко. ― Ну, а патронов в артиллерийском складе, что около станции, хоть завались! [Н. А. Островский. Рожденные бурей (1934-1936)]</t>
  </si>
  <si>
    <t>За примером далеко ходить не надо — он перед вами. [Асса Новикова. «Асса» forever. Почему главный фильм русского рока до сих пор актуален и любим (03.2019)]</t>
  </si>
  <si>
    <t>В идиоматическом значении порядок слов в якоре конструкции становиться фиксированным.</t>
  </si>
  <si>
    <t>Cl далеко ходить не надо</t>
  </si>
  <si>
    <t>Зафиксировано, что от якоря конструкци получает возможность зависеть клауза.</t>
  </si>
  <si>
    <t>1960-1966</t>
  </si>
  <si>
    <t>Чтобы в наше время вообразить себе характер старого режима, далеко ходить не надо: достойный выученик Николая Второго еще жив и продолжает царствовать в Абиссинии, и не надо быть особенно проницательным человеком, чтобы понять, что если бы в России не было сопротивления самодержавию (и не было бы революции), то при наличии таких царей, как Романовы, Россия была бы сейчас огромной механизированной Абиссинией, с тонким слоем интеллигенции, вероятно, выселившейся бы в какую-нибудь другую страну, если бы Россия вообще была. [Н. Н. Берберова. Курсив мой (1960-1966)]</t>
  </si>
  <si>
    <t>Зафиксировано, что якорь конструкции начинает употребляться в качестве вводного слова.</t>
  </si>
  <si>
    <t xml:space="preserve"> А Натка ― она ни за что не бросит своей «артистической карьеры»! Да нет, она не в состоянии перерезать пуповину, оторваться… И потом, там тоже не сахар: далеко ходить не надо, достаточно вспомнить Веру. [Ирина Безладнова. Такая женщина // «Звезда», 2001]</t>
  </si>
  <si>
    <t xml:space="preserve"> И почему тогда этого не боятся коммерческие утилизационные центры? Далеко ходить не надо ― тот же «Уйди красиво», где я сейчас нахожусь. [Марина Ясинская. Уйти красиво (2015)]</t>
  </si>
  <si>
    <t>Первое вхождение конструкции. Значение: "пока идёт судебное разбирательство"</t>
  </si>
  <si>
    <t>А то вот суд да дело, а ты сиди [И. Т. Кокорев. Сибирка. Мещанские очерки (1847)]</t>
  </si>
  <si>
    <t>И, пока шел суд да дело, несмотря на подписку о невыезде, уехал из Эвенкии в Козульский район Красноярского края [Юлия Соколова, Елена Радионова. Педофил работал в Эвенкийской больнице исполняющим обязанности заведующего детским отделением // Комсомольская правда, 2011.04.25]</t>
  </si>
  <si>
    <t>пока суд да дело</t>
  </si>
  <si>
    <t>Конструкция начинает употребляться с наречием "пока"</t>
  </si>
  <si>
    <t>Пока будет суд да дело, не дай мне с птенцами гладом-жаждой пропасть [Н. С. Лесков. Железная воля (1876)]</t>
  </si>
  <si>
    <t>Москва, пока суд да дело, демонстрирует свое неравнодушие к проблемам армян Карабаха [«Как бы не пришлось ставить крест на влиянии» // Коммерсант, 2020.12.02]</t>
  </si>
  <si>
    <t xml:space="preserve">Идиоматическое употребление в значении "пока что-то длится, тянется"
</t>
  </si>
  <si>
    <t>Пока суд да дело, пойдем поищем удобного места [А. П. Чехов. Дуэль. 1891]</t>
  </si>
  <si>
    <t>суд</t>
  </si>
  <si>
    <t>Возникает вариант якоря "суть да дело"</t>
  </si>
  <si>
    <t>Говорят о том, что сразу же по окончании войны правительство и армия вернутся в Брюссель и, пока суть да дело, пока народ успеет очухаться, установят военную диктатуру во главе с Леопольдом [И. М. Майский. Дневник (1941)]</t>
  </si>
  <si>
    <t>Пока суть да дело, пока вышли в суд, прошло несколько месяцев [«Нашим пациентам иногда проще переехать в другой регион, чем добиваться лечения в своем» // Коммерсант, 2020.12.29]</t>
  </si>
  <si>
    <t>где там VP</t>
  </si>
  <si>
    <t>Конструкция зафиксирована в идиоматическом значении: "какое-либо событие, которое должно было совершиться, не совершилось".</t>
  </si>
  <si>
    <t>Плачет, я думаю, для праздника. — Где там тебе плачет! Целый день покою не дал бедной Лукии. [Т. Г. Шевченко. Наймичка (1844)]</t>
  </si>
  <si>
    <t>Потом я замерзла и пошла в номер марать бумагу, кто-то поинтересовался, куда я делась, и им ответили: «Где там спит — пишет отчет о сегодняшней поездке». [Ольга Брагина. Киевские Лавры – 2012 // Litera_Dnepr, 2012]</t>
  </si>
  <si>
    <t xml:space="preserve">где там </t>
  </si>
  <si>
    <t>Зафиксировано, что якорь конструкции начинает употребляться без зависящей от него глагольной группы.</t>
  </si>
  <si>
    <t>Куда же им, тальянкам, до казачек? далеко куцому до зайца... правда... что-то у них и в лице такое цыганское, и что ни девка, то с усами, и то правда; чернобровы, так, да уж белолицой ни одной, где там! [Н. В. Кукольник. Максим Созонтович Березовский (1844)]</t>
  </si>
  <si>
    <t>Ну, думал, за героя хотя бы медалек дадут — где там! [Василь Быков. Болото (2001)]</t>
  </si>
  <si>
    <t>где там VP-Inf</t>
  </si>
  <si>
    <r>
      <rPr>
        <sz val="9"/>
        <color rgb="FF000000"/>
        <rFont val="Arial, sans-serif"/>
      </rPr>
      <t>adding a new dependent</t>
    </r>
  </si>
  <si>
    <t>Зафиксировано, что ярокь конструкции "где там" начинает управлять инфинитивом.</t>
  </si>
  <si>
    <t>Да ничего не поняли! Гдѣ тамъ понять?!.. Мы люди не письменные! [П. И. Якушкин. Велик Бог земли Русской (1863)]</t>
  </si>
  <si>
    <t>Я не за оружием лезу, не беспокойся, ну где там уместиться оружию? [А. А. Бушков. Ближе, бандерлоги! (2016)]</t>
  </si>
  <si>
    <t>не в бровь а в глаз</t>
  </si>
  <si>
    <t>compositional sourse</t>
  </si>
  <si>
    <t>Зафиксирован композициональный источник идиомы</t>
  </si>
  <si>
    <t>Такой меткий щелчок не в бровь, а в самый глаз г-на Жедринского раззадорил [И. М. Долгоруков. Повесть о рождении моем, происхождении и всей моей жизни, писанная мной самим и начатая в Москве, 1788-го года в августе месяце, на 25-ом году моей жизни / Часть 4 / 1791-1798 (1791-1822)]</t>
  </si>
  <si>
    <t>НЕ В БРОВЬ, А В ГЛАЗ направлено действие массажера, позволяющего сохранить остроту и ясность взора. [Штучки (2002) // «Автопилот», 15.09.2002]</t>
  </si>
  <si>
    <t>Зафиксировано возникновение у идиомы некомпозиционального значения: точная негативная оценка чего-либо</t>
  </si>
  <si>
    <t>1813-1815</t>
  </si>
  <si>
    <t>― Я помню это место наизусть: позволь мне только вместо Graeculus сказать Franculus, и ты сам согласишься, что это выйдет не в бровь, а в глаз: [И. М. Муравьев-Апостол. Письма из Москвы в Нижний Новгород (1813-1815)]</t>
  </si>
  <si>
    <t>Вопрос Панковой не в бровь, а в глаз: зачем еще что-то возводить, когда в построенном карьером многоквартирном доме на улице Таежной большинство квартир пустует? [Михаил Карпач. За окном Хехцир и благодать // «Дальний Восток», 2019]</t>
  </si>
  <si>
    <t>не в бровь а прямо в глаз</t>
  </si>
  <si>
    <t>Зафиксировано, что у идиомы появляется интенсификатор "прямо"</t>
  </si>
  <si>
    <t>Тутъ также было многое не въ бровь, а прямо въ глазъ. [Д. Н. Бегичев. Семейство Холмских. Части 5 и 6 (1832-1841)]</t>
  </si>
  <si>
    <t>Вот это была реклама ― не в бровь, а прямо в глаз. [С. Бернатосян, Б. Грехов. Реклама ― двигатель науки? Да, но путь выбирает шофер // «Техника - молодежи», 1993]</t>
  </si>
  <si>
    <t>не в бровь а (прямо) в глаз</t>
  </si>
  <si>
    <t>Зафиксировано, что идиома может передавать не только негативную, но и позитивную оценку</t>
  </si>
  <si>
    <t>Любовь к славе и отечеству должна быть вашим руководителем… «Не в бровь, а прямо в глаз! — говорил сам себе Пушкин. [В. П. Авенариус. Отроческие годы Пушкина (1886)]</t>
  </si>
  <si>
    <t>Как вот взять и не промахнутся, так чтобы вдруг “О УЖАС” через энное количество лет обнаружить в себе мужика в юбке вместо “женщины с большой буквы “ЖЁ”? КАК?! Ольга, не в бровь а в глаз! [Форум: Мир, в котором девушки не хотят замуж. Обсуждение статьи (2012)]</t>
  </si>
  <si>
    <t>Зафиксированные употребления в композициональном значении.</t>
  </si>
  <si>
    <t>В первой сцене этот пьяница совсем забыл свою роль, начал кривляться, занес околесную и перепутал всех остальных актеров, потом, вместо того чтоб запеть свою арию, затянул что-то из другой оперы, разумеется, от этого вышла маленькая разноголосица: он пел одно, оркестр играл другое, и хотя многие из гостей этого не заметили, но хозяин тотчас догадался, что дело идетнеладно, вскочил с своего места и побежал вон. [М. Н. Загоскин. Искуситель (1838)]</t>
  </si>
  <si>
    <t>Мелик-Пашаев, стоя за дирижерским пультом, увидел, что у меня в руках нет ничего, все сразу же понял и дал знак в оркестре: ударник со второй фразы стал мне подстукивать, выбивая ритм кастаньет...  Надо ли говорить, в каком настроении я пела спектакль дальше и как рвала и метала после его окончания?!   Но были последствия и более болезненные — в самом прямом смысле слова.  И случай этот из другой оперы (тоже в прямом смысле).  В театре начался новый сезон, и, как назло, вдруг заболели все исполнительницы Любаши в "Царской невесте ".  Я тогда еще не пела эту партию в Большом.  Кто-то вспомнил, что я исполняла Любашу в дипломном спектакле в консерватории и дебютировала в этой роли в Свердловском оперном театре. [И. К. Архипова. Музыка жизни (1996)]</t>
  </si>
  <si>
    <t>NP из другой оперы</t>
  </si>
  <si>
    <t>Зафиксированные употребления конструкции с фразеологическим значением "не относящееся к обсуждаемому вопросу"</t>
  </si>
  <si>
    <t>Ты скажешь, что это из другой оперы, но мне кажется, что некоторая аналогия тут есть. [Ал. П. Чехов. Письма Антону Павловичу Чехову (1887)]</t>
  </si>
  <si>
    <t>Это, правда, из другой оперы, слава Богу, но ведь тоже показатель. [Сергей Шикера. Египетское метро // «Волга», 2016]</t>
  </si>
  <si>
    <t>NP/VP из другой оперы</t>
  </si>
  <si>
    <t>Зафиксировано употребление конструкции с идиоматическим значением "из другого класса", "из другой темы", "отличающееся от обсуждаемого прежде".</t>
  </si>
  <si>
    <t>[Федор Иванович (муж, сын Ивана Ивановича)]  Но довольно об этом.  Теперь начнем из другой оперы.  Помню, лет десять назад ― Леня тогда еще гимназистом был ― праздновали мы вот так же день его рождения. [А. П. Чехов. Леший (1890)]</t>
  </si>
  <si>
    <t>Чтобы умел на коньках кататься и в теннис играл?  Извините, это из другой оперы. … У нас на даче стоит цветной телевизор «Радуга», сделанный в брежневские времена на советском заводе. [Д. Н. Каралис. Дневник (2006)]</t>
  </si>
  <si>
    <t>VP где-то NUM XP</t>
  </si>
  <si>
    <t>Зафиксировано композициональное употребление конструкции: за неопределенным местоимением &lt;i&gt;где-то&lt;/i&gt; следует фразовая группа, включающая в себя числительное, которая больше конкретизирует данное местоимение. Эта группа дает понять, в какой области, по мнению говорящего, с наибольшей вероятностью происходило описываемое им событие или действие.</t>
  </si>
  <si>
    <t>Только расставишь сетку, только уляжешься и начнешь вабить, подражая голосу перепелки, а уж где-то, загончика за два, за три, откликается пернатый Дон Жуан. [Н. С. Лесков. Некуда (1864)]</t>
  </si>
  <si>
    <t>Где-то километрах в трех или четырех или пяти от нас солнце закатывалось за верхушки сосен, растущих на берегу озера Светлояр, а здесь комары такими огромными глотками пили из нас кровь, что было слышно, как они ее судорожно глотали. [М. Б. Бару. Самовар лоцмана Воронина. Окончание // «Волга», 2016]</t>
  </si>
  <si>
    <t>VP где-то NUM (Ø/или NUM)</t>
  </si>
  <si>
    <t>Зафиксировано, что у конструкции возникло идиоматическое значение: приблизительное количество. Произошла идиоматизация и расширение множества допустимых контекстов.</t>
  </si>
  <si>
    <t>1970-1972</t>
  </si>
  <si>
    <t>Мы в добрый месяц зашибаем где-то ― две, две с лишним сотни. [Василий Шукшин. Печки-лавочки (1970-1972)]</t>
  </si>
  <si>
    <t>Большая — в смысле размера, где-то два метра в высоту. [Клавдия Матухина. Пойманный день. О художнице Анастасии Реутовой // «Дальний Восток», 2019]</t>
  </si>
  <si>
    <t>Зафиксировано, что параллельно с возникновением нового идиоматичного значения у конструкции появляется новый слот: теперь она присоединяет к себе числительное. Часто конструкции сопутствует перечисление нескольких числительных после &lt;i&gt;где-то&lt;/i&gt;: эти числительные используются говорящими для обозначения вероятного интервала реальных значений.</t>
  </si>
  <si>
    <t>NP похож на NP-Gen как две капли воды</t>
  </si>
  <si>
    <t>Идиома зафиксирована впервые в значении "один объект похож на другой объекта"</t>
  </si>
  <si>
    <t>Сии дни заметить нечем, кроме того, что в одной деревне нашли мы хоровод девок, из которых одна как две капли воды походит на дочь твою, Катю. [Д. И. Фонвизин. Письма родным (1784-1785)]</t>
  </si>
  <si>
    <t>Кто-то из общих знакомых по службе на стройке 500 сказал Косте, что мальчишка похож на него, Костю Яркова. Как две капли воды. [Александр Купер. Истопник (главы из романа) // «Дальний Восток», 2019]</t>
  </si>
  <si>
    <t>NP и NP похожи как две капли воды</t>
  </si>
  <si>
    <t>Зафиксирована новая модель управления идиомы: теперь среди объектов, которые сравниваются, нельзя однозначно выделить стандарт сравнения, поэтому оба объекта названы в одной именной группе</t>
  </si>
  <si>
    <t>Правда, тот не пошел бы шагом, как этот… а уж так схожи меж собой, как две капли воды. [М. Н. Загоскин. Юрий Милославский, или русские в 1612 году (1829)]</t>
  </si>
  <si>
    <t>Первые построенные в Москве станции ― на Большой Ордынке, Бакунинской и Арбате ― были похожи друг на друга как две капли воды. [Д. П. Дроздов. Большая Ордынка. Прогулка по Замоскворечью от Москворецкого моста до Серпуховской площади (2017)]</t>
  </si>
  <si>
    <t>как две капли</t>
  </si>
  <si>
    <t>Зафиксорован новый вариант якоря идиомы: "как две капли"</t>
  </si>
  <si>
    <t>&lt;...&gt; этот олух как две капли был похож на некогда знаменитого, теперь забываемого Фаддея в «Сбитенщике» Княжнина &lt;...&gt; [М. П. Погодин. Суженый // «Московский вестник», 1828]</t>
  </si>
  <si>
    <t>Прокову диковато было смотреть на ещё одно красивое бульдожье страшилище, спокойно идущее к ним по тротуару. Как две капли похожее на первое. [В. М. Шапко. Синдром веселья Плуготаренко // «Волга», 2016]</t>
  </si>
  <si>
    <t>Обедали мы у дяди доброго, ужинали у тетки-хлебосолки; и тут и там было нам сытно и весело. [Н. А. Львов. Письмо П. Л. Вельяминову (1791)]</t>
  </si>
  <si>
    <t>К тому, что никакая «берлинская стена» не делит мир пополам, на Добро и Зло ― всё разлито поровну и тут, и там. [И. Н. Вирабов. Андрей Вознесенский (2015)]</t>
  </si>
  <si>
    <t>Зафиксировано идиоматическое значение конструкции: в простанстве относительно редко расположены не два, а неограниченное количество объектов</t>
  </si>
  <si>
    <t xml:space="preserve">Тут и там она явится, бывало, по одному разу. [И. М. Долгоруков. Повесть о рождении моем, происхождении и всей моей жизни, писанная мной самим и начатая в Москве, 1788-го года в августе месяце, на 25-ом году моей жизни / Часть 3 (1788-1822)] </t>
  </si>
  <si>
    <t>Тут и там были видны побеги мужик-корня. [Марина Марина. Витька-колдун // «Дальний Восток», 2019]</t>
  </si>
  <si>
    <t>Зафиксирован метофорической переход: конструкция начинает означать повторение каких-либо событий не только в пространстве, но и во времени.</t>
  </si>
  <si>
    <t xml:space="preserve">Пришла суровая зима — Уралъ замеръ; снѣжное море покрыло необозримую степь, голодные и холодные киргизы сидятъ смирно и спокойно на зимовкахъ, не до того имъ чтобы затрогивать пикеты наши, прорываться по ночамъ тутъ и тамъ и угонять стада и табуны, все замерзло; даже самая кровь въ дикаряхъ, кажется, остыла; а Подгорновъ опять уже снаряжается на рыболовство, на багренье. [В. И. Даль. Уральскій казакъ (1841)] </t>
  </si>
  <si>
    <t xml:space="preserve"> Было оживленно, Аня, неуловимо изменившаяся и похорошевшая, прогнала скуку с лица гостя, Артур рассказывал про институт, тут и там мелькали манящие слова: сессия, коллоквиум, пара, зачет, — школьники слушали его раскрыв рот, роскошная и равнодушная луна выкатилась над садом и глядела в окно, а нахальный студент между тем ухитрился съесть почти целиком литровую банку золотистого крыжовенного варенья. [Алексей Варламов. Купавна // «Новый Мир», 2000]</t>
  </si>
  <si>
    <t>Зафиксирован композициональный источник конструкции</t>
  </si>
  <si>
    <t>И без дураков-та нельзя. [А. П. Сумароков. Ссора у мужа с женой (1750)]</t>
  </si>
  <si>
    <t>Без дураков, которых оставили дома. [Михаил Бару. Записки понаехавшего (2010)]</t>
  </si>
  <si>
    <t>VP без дураков</t>
  </si>
  <si>
    <t>Зафиксировано возникновение идиоматического значения: "делать что-либо без дураков" -- делать что-либо без обмана, без притворства</t>
  </si>
  <si>
    <t>«Делать я, товарищи, буду, как необходимо, и сделаю, что надо, ― а вы как хотите!..» Некульев любил быть «без дураков». [Б. А. Пильняк. Мать сыра-земля (1924)]</t>
  </si>
  <si>
    <t>То есть ты хочешь меня обнять, поцеловать? Без дураков? [Алексей Слаповский. Большая Книга Перемен // «Волга», 2010]</t>
  </si>
  <si>
    <t>Зафиксировано новое значение: "делать что-либо без дураков" -- делать что-либо, соответствуя ожиданиям, качественно.</t>
  </si>
  <si>
    <t>1925-1928</t>
  </si>
  <si>
    <t>То ли дело, когда он играл, как раньше, просто, без дураков! [К. С. Станиславский. Моя жизнь в искусстве (1925-1928)]</t>
  </si>
  <si>
    <t>В общем, учиться надо бы без дураков. [Александр Васильев. Инструктор часов не наблюдает (23.04.2013) // «Новгородские ведомости», 2013]</t>
  </si>
  <si>
    <t>NP без дураков</t>
  </si>
  <si>
    <t>Зафиксировано, что "без дураков" получает возможность модифицировать именную группу. В этом случае идиома означает, что какая-либо вещь соответсвует стандартам качества.</t>
  </si>
  <si>
    <t>1932-1942</t>
  </si>
  <si>
    <t>Вот в марте выйдет новая машина. На смену «Москве». Двухмоторная, крепость настоящая, без дураков. [Л. К. Бронтман. Дневники и письма (1932-1942)]</t>
  </si>
  <si>
    <t>Подстаканником можно было смело любоваться ― произведение искусства, без дураков. [Владимир Васильев. Шуруп (2013)]</t>
  </si>
  <si>
    <t>AdjP без дураков</t>
  </si>
  <si>
    <t>Зафиксировано, что "без дураков" получает возможность модифицировать группу прилагательного.</t>
  </si>
  <si>
    <t>Вот истинная, без дураков, оценка лирики. [Ю. М. Нагибин. Волховская тетрадь (1942)]</t>
  </si>
  <si>
    <t>Зато хороша без дураков частная друзская сыроварня, на которую нас сводили, по-моему, в Цфате, по-Гаврилиному — в Рош Пина. [Ирина Васюченко. Хромые на склоне // «Ковчег», 2014]</t>
  </si>
  <si>
    <t>NP VP без дураков</t>
  </si>
  <si>
    <t>Зафиксировано, что "без дураков" может модифицировать клаузы с неодушевленным субъектом. В этом случае идиома означает, что ситуация соответствует ожиданиям.</t>
  </si>
  <si>
    <t>1960-1969</t>
  </si>
  <si>
    <t>И тут уж без дураков начинаются танцы на целый час ― и Уланова, и Плисецкая, и Чабукиани, и все те, кто еще держался на ногах. [Василий Катанян. Лоскутное одеяло (1960-1969)]</t>
  </si>
  <si>
    <t>Вот, смотрите: сама льется. Без дураков… [В. М. Шапко. Время стариков // «Волга», 2010]</t>
  </si>
  <si>
    <t>metonimy</t>
  </si>
  <si>
    <t>Зафиксировано новое значение конструкции: уверенность в истинности пропозиции</t>
  </si>
  <si>
    <t xml:space="preserve"> И ты, без дураков, полезней будешь в районе, чем в бригаде. [Ю. Д. Черниченко. Целина (1966)]</t>
  </si>
  <si>
    <t>Я её люблю, без дураков, и очень сильно люблю. [Н. Б. Черных. Слабые, сильные. Часть первая // «Волга», 2015]</t>
  </si>
  <si>
    <t>Cl. (Сconj) В то же время Cl</t>
  </si>
  <si>
    <t>Композициональное употребление: две ситуации происходят одновременно/с небольшой разнесённостью во времени, на которую носитель закрывает глаза</t>
  </si>
  <si>
    <t xml:space="preserve">А иные товарищи их стрельцы, Оброська с товарищи, казнены, а иные их товарищи сосланы в ссылку. А казнены у Троицы в Сергееве монастыре. Да в то же время, в том же монастыре, по ведомости и по сыску, отняты чести у бояр, у князь Василья Васильевича да у сына его князь Алексея Васильевича Голицыных, и написаны были в дети боярские по последнему городу, и сосланы в ссылку в Пустоозеро, с женами и с детьми. </t>
  </si>
  <si>
    <t>В рамках такого обмена Курехин выменял у меня том Фердинанда де Соссюра на книгу „Слова и вещи”, но не Мишеля Фуко, а Эрнеста Геллнера. Книга Геллнера посвящена школе британской философии языка (как ее тогда называли). Возможно эти „Слова и вещи” Курехин приобрел по ошибке, спутав с популярной книгой Фуко, а может быть, и нет ― учитывая его интерес к знаковым системам и феноменологии». В то же время Курехин постоянно искал новые формы взаимодействия с большой аудиторией, поэтому его издательский проект органично вписывается в ряд экспериментов: от Поп-механики, Ленина-гриба до его прихода в политику</t>
  </si>
  <si>
    <t>Cl, (Сconj) в то же время Cl</t>
  </si>
  <si>
    <t>change in position in a sentence</t>
  </si>
  <si>
    <t>Конструкция теперь употребляется не только на границе двух предложений, описывающих одновременные ситуации, но также и внутри одного сложного, в котором сопоставляются разные клаузы</t>
  </si>
  <si>
    <t xml:space="preserve">Однакож мню, что некоторые, перенимая один у другаго, без причины равное от незнания изображали, как то видим Иоанн III орла двояково мог употребить, прияв по женке наследие герб греческий, орла двоеглавого, другое же летясчий орел мог эмблемат быть в знак его приятого над всеми князи самовластия, но равно то же видим и на тверских деньгах в то же время безо всякой причины, сколько от гистории видим. </t>
  </si>
  <si>
    <t>1956-1957</t>
  </si>
  <si>
    <t>Точно так же -- здоровенному самцу гораздо более по вкусу создания легкие, хрупкие, -- если угодно: прозрачные, миниатюрные... -- и он в то же время с чрезвычайным раздражением взирает на переполненные до отказа бюстгальтеры...</t>
  </si>
  <si>
    <t>XP, (Cconj) в то же время XP</t>
  </si>
  <si>
    <t>Теперь сопоставляться могут не только одновременные ситуации, описанные самостоятельными клаузами, но и признаки одного объекта, адвербиалы при предикате, глагольные группы при одном субъекте, etc</t>
  </si>
  <si>
    <t xml:space="preserve">Сие понудило всех мнение их пременить и по многом разсуждении положили на том, что обойти около и с гор, лежасчих за Болеславом, нападение учинить, чрез что Володаревичи и Васильковичи могут совокупиться или в то же время с их стороны нападение учинить. </t>
  </si>
  <si>
    <t>У этих денег двойная функция: они служат наградой автору и в то же время возбуждают интерес к его творчеству</t>
  </si>
  <si>
    <t>Cl/XP, (Cconj) в то же время Cl/XP</t>
  </si>
  <si>
    <t>Конструкция начинает передавать значение противопоставления</t>
  </si>
  <si>
    <t>Должность благочинного подразумевает наличие своей канцелярии, со всеми присущими ей расходами, но, в то же время, консистория не финансировала данную деятельность</t>
  </si>
  <si>
    <t>Гаевский до того напуган гауптвахтой, на которой просидел восемь дней, что теперь сомневается, можно ли пропускать в печать известия вроде того, что такой-то король скончался. [А. В. Никитенко. Дневник (1836)]</t>
  </si>
  <si>
    <t>Я был сам как из плотного горячего воздуха, вроде того, что дует позади турбины. [Валентин Бердичевский. Цирк // «Дальний Восток», 2019]</t>
  </si>
  <si>
    <t>вроде того, Cl</t>
  </si>
  <si>
    <t>Зафиксировано, что у конструкции появляется идиоматическое значение: неуверенность говорящего</t>
  </si>
  <si>
    <t>Его сочинение напечатано с большим успехом, и мы сегодня как бы вроде того: победу торжествуем! [А. Ф. Писемский. Тысяча душ (1858)]</t>
  </si>
  <si>
    <t>― Но теперь ты лучше относишься к Светлане Петровне, то есть к ее памяти? ― Вроде того, ― согласилась я. [Н. В. Нестерова. Конфликт хорошего с лучшим (2013)]</t>
  </si>
  <si>
    <t>VP или вроде того</t>
  </si>
  <si>
    <t>Зафиксировано новое значение конструкции: действие, похожее на другое действие</t>
  </si>
  <si>
    <t>Спрашиваю вас потому, что дорожу мнением истинно умных людей, а не каких-нибудь проблематических умников, которые умны потому только, что их беспрестанно рекомендуют за умников, за ученых, а иной раз и нарочно выписывают, чтоб показать их в балагане или вроде того. [Ф. М. Достоевский. Село Степанчиково и его обитатели (1859)]</t>
  </si>
  <si>
    <t>Как они не забили меня камнями или вроде того ― не знаю [Евгения Мищерская. Тревога // «Волга», 2015 ]</t>
  </si>
  <si>
    <t>Зафиксирован новый синтаксис конструкции: сочетаемость "вроде того" с глаголольной группой и союзом "или"</t>
  </si>
  <si>
    <t>NP или вроде того</t>
  </si>
  <si>
    <t>Зафиксировано, что якорь конструкции "или вроде того" сочетается с именной группой</t>
  </si>
  <si>
    <t>Мало того: тотчас же обратится он из человека в органный штифтик или вроде того; потому, что же такое человек без желаний, без воли и без хотений, как не штифтик в органном вале? [Ф. М. Достоевский. Записки из подполья (1864)]</t>
  </si>
  <si>
    <t>была небольшая вероятность, что он подпадет под настроение редакторов и хотя бы один из них скажет: «О, давайте эту штуку напечатаем, вот будет потеха!» или что-то вроде того [А. Б. Сальников. Петровы в гриппе и вокруг него // «Волга», 2016]</t>
  </si>
  <si>
    <t>Зафиксировано новое значение конструкции: пример действия, который приводит говорящий</t>
  </si>
  <si>
    <t>Свидетели, пятеро его однодеревенцев, из которых один был староста, другой сотский, постоянно выказывали желание отвечать за него, подсказывали ему, вроде того: «Петька, не трусь ты; чего трусишь? [Н. Н. Златовратский. Крестьяне-присяжные (1874)]</t>
  </si>
  <si>
    <t>Или, ближе к реальности, решать задачки вроде того: сколько потребуется угля для выплавки такого-то количества стали, из которой нужно сделать такое-то количество плугов, для чего понадобится такое-то количество рабочей силы, транспорта ― и не на одном предприятии, а на протяжении всей технологической цепочки? [Л. А. Данилкин. Ленин: Пантократор солнечных пылинок (2017)]</t>
  </si>
  <si>
    <t>VP что хочешь</t>
  </si>
  <si>
    <t>Конструкция впервые фиксируется в композициональном значении.</t>
  </si>
  <si>
    <t>Что хочешь, то делай, только лишь Финетты не замай. [А. П. Сумароков. Чудовищи (1750)]</t>
  </si>
  <si>
    <t>Просто часто не понимаешь, что хочешь именно туда... [Евгений Гришковец. ОдноврЕмЕнно (2004)]</t>
  </si>
  <si>
    <t>как хочешь</t>
  </si>
  <si>
    <t>Зафиксировано возникновение дискурсивной формулы "как хочешь". Её значение: согласие с дейстиями других людей, несмотря на их неодобрение</t>
  </si>
  <si>
    <t>1780-1814</t>
  </si>
  <si>
    <t>«Пуская даетъ! я не буду на его балѣ.» ― «Какъ хочешь.» [А. С. Шишков. Записки (1780-1814)]</t>
  </si>
  <si>
    <t xml:space="preserve">Отведаешь? Антон покачал головой. — Как хочешь. [Егор Куликов. Дорога домой // «Дальний Восток», 2019] </t>
  </si>
  <si>
    <t>Зафиксировано расширение значение конструкции: теперь её якорь выражает то, что любая пропозиция из контекстно заданного множества возможна.</t>
  </si>
  <si>
    <t>Что хочешь делай ты — ничто им не в угоду: Сердиты на мороз, на жаркую погоду, Изволят гневаться на малых и больших — Нет спуску никому... [ С. П. Жихарев. Записки современника (1806-1809)]</t>
  </si>
  <si>
    <t>Я, значит, жизнь видел. Учу — чему хочешь. Подходи, не стесняйся. [Антон Наумов. Да, дела // «Дальний Восток», 2019]</t>
  </si>
  <si>
    <t>NP-Nom Cop тут как тут</t>
  </si>
  <si>
    <t>Первое вхождение уже идиоматично</t>
  </si>
  <si>
    <t>1827-1832</t>
  </si>
  <si>
    <t>Посмотрите на Афимью Григорьевну: шестерых дочек уже рассовала, а попеченья у ней в шестьсот крат меньше моего, да дочери у нее удачнее: чуть кто холостой заедет в город, тотчас проведают, познакомятся, зазовут к себе в гости, обласкают, залебезят (согрешила, окаянная!) — женишок-то и тут как тут — успевай только родители под венец водить.
 [М. П. Погодин. Невеста на ярмарке (1827-1832)]</t>
  </si>
  <si>
    <t>А Девчонка уже тут как тут: прискакала, запрыгала вокруг, забубнила что-то свое.
 [Гузель Яхина. Дети мои (2018)]</t>
  </si>
  <si>
    <t>Конструкция впервые зафиксирована в идиоматическом значении: указание на то, что кто-то ожидаемо появляется в каком-либо месте</t>
  </si>
  <si>
    <t>Да и сам боярин, нет-нет, а скажет тебе ласковое слово; где б ни пировали, Кудимович тут как тут: как, дескать, не позвать такого знахаря ― беду наживешь!.. [М. Н. Загоскин. Юрий Милославский, или русские в 1612 году (1829)]</t>
  </si>
  <si>
    <t>А Девчонка уже тут как тут: прискакала, запрыгала вокруг, забубнила что-то свое. [Гузель Яхина. Дети мои (2018)]</t>
  </si>
  <si>
    <t xml:space="preserve">compatibility constraint </t>
  </si>
  <si>
    <t>Зафиксировано, что изначально синтаксическая функция конструкции -- предикат матричной клаузы.</t>
  </si>
  <si>
    <t>VP тут как тут</t>
  </si>
  <si>
    <t>Зафиксировано, что конструкция может модифицировать другой предикат.</t>
  </si>
  <si>
    <t>И генеральша, ― тут как тут, ― вытащила уже карточку, изящно отпечатанную на глазированном пергаменте. [В. В. Крестовский. Панургово стадо (Ч. 1-2) (1869)]</t>
  </si>
  <si>
    <t>— А только начнешь стирать, так они тут как тут на самолетах налетают — и бомбить. [Олег Хафизов. Мертвая жизнь // «Октябрь», 2013]</t>
  </si>
  <si>
    <t>Зафиксировано, что конструкция может означать не только повторяющееся возникновение действия, но и состояние, длящееся длительное время</t>
  </si>
  <si>
    <t>Солнышко-то пригреет, а сено-то и вытает, тут как тут. [А. Л. Бостром. Филатово сено (1896)]</t>
  </si>
  <si>
    <t>Думала, что они потерялись, но нет, они тут как тут, зубики мои.[Е. В. Колина. Дневник измены (2011)}</t>
  </si>
  <si>
    <t>VP не ах</t>
  </si>
  <si>
    <t>Конструкция впервые фиксируется в значении сильной негативной оценки.</t>
  </si>
  <si>
    <t>― Да, ребятам еще везде живется не ах, ― согласился Тараска. [Л. А. Кассиль. Будьте готовы, Ваше высочество! (1964)]</t>
  </si>
  <si>
    <r>
      <rPr>
        <sz val="10"/>
        <rFont val="Arial"/>
      </rPr>
      <t>Звучит не ах, а на вкус очень даже приятно, пить сразу. [</t>
    </r>
    <r>
      <rPr>
        <u/>
        <sz val="10"/>
        <color rgb="FF1155CC"/>
        <rFont val="Arial"/>
      </rPr>
      <t>http://www.mybodyflex.ru/forum/33-174-1</t>
    </r>
    <r>
      <rPr>
        <sz val="10"/>
        <rFont val="Arial"/>
      </rPr>
      <t>]</t>
    </r>
  </si>
  <si>
    <t>Когда конструкци фиксируется впервые, её синтаксическая роль -- адъюнкт глагола.</t>
  </si>
  <si>
    <r>
      <rPr>
        <sz val="10"/>
        <rFont val="Arial"/>
      </rPr>
      <t>Звучит не ах, а на вкус очень даже приятно, пить сразу. [</t>
    </r>
    <r>
      <rPr>
        <u/>
        <sz val="10"/>
        <color rgb="FF1155CC"/>
        <rFont val="Arial"/>
      </rPr>
      <t>http://www.mybodyflex.ru/forum/33-174-1</t>
    </r>
    <r>
      <rPr>
        <sz val="10"/>
        <rFont val="Arial"/>
      </rPr>
      <t>]</t>
    </r>
  </si>
  <si>
    <t>Когда конструкция впервые фиксируется, её якорь -- " не ах".</t>
  </si>
  <si>
    <r>
      <rPr>
        <sz val="10"/>
        <rFont val="Arial"/>
      </rPr>
      <t xml:space="preserve">Явно слышится нарцисс с гиацинтом, стойкий с нежным шлейфом, но </t>
    </r>
    <r>
      <rPr>
        <b/>
        <sz val="10"/>
        <rFont val="Arial"/>
      </rPr>
      <t>не ах</t>
    </r>
    <r>
      <rPr>
        <sz val="10"/>
        <rFont val="Arial"/>
      </rPr>
      <t>. [</t>
    </r>
    <r>
      <rPr>
        <u/>
        <sz val="10"/>
        <color rgb="FF1155CC"/>
        <rFont val="Arial"/>
      </rPr>
      <t>https://www.fragrantica.ru/perfume/Avon/Today-Tomorrow-Always-Diamond-8739.html</t>
    </r>
    <r>
      <rPr>
        <sz val="10"/>
        <rFont val="Arial"/>
      </rPr>
      <t>]</t>
    </r>
  </si>
  <si>
    <t>не ах как VP</t>
  </si>
  <si>
    <t>У конструкции фиксируется вариант якоря "не ах как".</t>
  </si>
  <si>
    <t>... хоть эти лица сейчас и не ах как похожи на роденовский бюст Бернарда Шоу или на гольбейновского Неизвестного патриция, все же в них чудится начальнику что-то любопытное, загадочное, достойное рассмотрения. [Я. Е. Харон. Злые песни Гийома дю Вентре (1965) // Я. Харон. Злые песни Гийома дю Вентре. Прозаический комментарий к поэтической биографии, 1989]</t>
  </si>
  <si>
    <r>
      <t>для trashed, нормальный icq клиент появился на iphone не ах как давно. [</t>
    </r>
    <r>
      <rPr>
        <u/>
        <sz val="10"/>
        <color rgb="FF1155CC"/>
        <rFont val="Arial"/>
      </rPr>
      <t>https://www.iphones.ru/iNotes/67926</t>
    </r>
    <r>
      <rPr>
        <sz val="10"/>
        <color rgb="FF000000"/>
        <rFont val="Arial"/>
        <scheme val="minor"/>
      </rPr>
      <t>]</t>
    </r>
  </si>
  <si>
    <t>не ах какой AdjP</t>
  </si>
  <si>
    <t>У конструкции фиксируется вариант якоря "не ах какой".</t>
  </si>
  <si>
    <t>1966-1970</t>
  </si>
  <si>
    <t>И люди-то разные ― и слабовольные, и не ах какие умные, .. [Юлий Даниэль. Письма из заключения (1966-1970)]</t>
  </si>
  <si>
    <r>
      <t>Все это не ах какие большие тайны и профессиональные секреты и в «нормальной», не телевизионной, жизни именуется просто и понятно – ПРАВИЛА ПРИЛИЧИЯ. [</t>
    </r>
    <r>
      <rPr>
        <u/>
        <sz val="10"/>
        <color rgb="FF1155CC"/>
        <rFont val="Arial"/>
      </rPr>
      <t>https://evartist.narod.ru/text/90.htm</t>
    </r>
    <r>
      <rPr>
        <sz val="10"/>
        <color rgb="FF000000"/>
        <rFont val="Arial"/>
        <scheme val="minor"/>
      </rPr>
      <t>]</t>
    </r>
  </si>
  <si>
    <t>Зафиксировано, что конструкция может быть адъюнктом прилагательных</t>
  </si>
  <si>
    <r>
      <t>Все это не ах какие большие тайны и профессиональные секреты и в «нормальной», не телевизионной, жизни именуется просто и понятно – ПРАВИЛА ПРИЛИЧИЯ. [</t>
    </r>
    <r>
      <rPr>
        <u/>
        <sz val="10"/>
        <color rgb="FF1155CC"/>
        <rFont val="Arial"/>
      </rPr>
      <t>https://evartist.narod.ru/text/90.htm</t>
    </r>
    <r>
      <rPr>
        <sz val="10"/>
        <color rgb="FF000000"/>
        <rFont val="Arial"/>
        <scheme val="minor"/>
      </rPr>
      <t>]</t>
    </r>
  </si>
  <si>
    <t>Зафиксировано, что конструкция может быть предикатом.</t>
  </si>
  <si>
    <t>1950-1980</t>
  </si>
  <si>
    <t>Ничего особенного не было в этой фрау ― какое лицо, такая и вся она оказалась, просто нормальная, просто ни в чем ни избытка, ни недостатка, чуть розовая в свете свечей, ничуть не ах, но сухо стало во рту у сержанта, и хмель застучал в голове, а рука, державшая щеку, вздрогнула и ослабела. [Б. Б. Вахтин. Сержант и Фрау (1950-1980)]</t>
  </si>
  <si>
    <r>
      <rPr>
        <sz val="10"/>
        <rFont val="Arial"/>
      </rPr>
      <t xml:space="preserve">Явно слышится нарцисс с гиацинтом, стойкий с нежным шлейфом, но </t>
    </r>
    <r>
      <rPr>
        <b/>
        <sz val="10"/>
        <rFont val="Arial"/>
      </rPr>
      <t>не ах</t>
    </r>
    <r>
      <rPr>
        <sz val="10"/>
        <rFont val="Arial"/>
      </rPr>
      <t>. [</t>
    </r>
    <r>
      <rPr>
        <u/>
        <sz val="10"/>
        <color rgb="FF1155CC"/>
        <rFont val="Arial"/>
      </rPr>
      <t>https://www.fragrantica.ru/perfume/Avon/Today-Tomorrow-Always-Diamond-8739.html</t>
    </r>
    <r>
      <rPr>
        <sz val="10"/>
        <rFont val="Arial"/>
      </rPr>
      <t>]</t>
    </r>
  </si>
  <si>
    <t>не ах какой AdjP / не ах (как) (VP)</t>
  </si>
  <si>
    <t>У конструкции зафиксировано новое значение: слабая негативная оценка, несоответствие высоким критериям</t>
  </si>
  <si>
    <r>
      <rPr>
        <sz val="10"/>
        <rFont val="Arial"/>
      </rPr>
      <t xml:space="preserve">Явно слышится нарцисс с гиацинтом, стойкий с нежным шлейфом, но </t>
    </r>
    <r>
      <rPr>
        <b/>
        <sz val="10"/>
        <rFont val="Arial"/>
      </rPr>
      <t>не ах</t>
    </r>
    <r>
      <rPr>
        <sz val="10"/>
        <rFont val="Arial"/>
      </rPr>
      <t>. [</t>
    </r>
    <r>
      <rPr>
        <u/>
        <sz val="10"/>
        <color rgb="FF1155CC"/>
        <rFont val="Arial"/>
      </rPr>
      <t>https://www.fragrantica.ru/perfume/Avon/Today-Tomorrow-Always-Diamond-8739.html</t>
    </r>
    <r>
      <rPr>
        <sz val="10"/>
        <rFont val="Arial"/>
      </rPr>
      <t>]</t>
    </r>
  </si>
  <si>
    <t>VP NP-Dat не в пример</t>
  </si>
  <si>
    <t>А ся статья въ семь государевѣ наказѣ про служилыхъ людей написана для даурского нового мѣста, и инымъ сибирскимъ городомъ и служилымъ людемъ не въ примѣръ и не въ образецъ. [Наказ Афанасию Филипповичу Пашкову на воеводство в Даурской земле (1655)]</t>
  </si>
  <si>
    <t>Не для тепла и не в пример потомству строились сталинградские блиндажи. [Василий Гроссман. Жизнь и судьба, ч. 1 (1960)]</t>
  </si>
  <si>
    <t>Cl не в пример NP-Dat</t>
  </si>
  <si>
    <t>metahpor</t>
  </si>
  <si>
    <t>Фиксируется идиоматичное употребление конструкции, в котором якорь имеет значение 'в противоположность'.</t>
  </si>
  <si>
    <t>Притом [человек] имееть неописуемую силу действовать и мыслить не въ примѣръ другимъ животным... [Истинное благочестiе христiанское доказано противъ безбожниковъ, язычниковъ, жидовъ и махометанъ (1768). Google Books.]</t>
  </si>
  <si>
    <t>Но вид у Маринки был вызывающе-дерзкий и не предвещал ничего хорошего, взгляд, полный ненависти, вещал: уж она-то, не в пример этим хлипким девицам и теткам, сумеет обуздать ретивую сочинительницу. [Анна Русских. Не спрашивай почему, или дождливое лето // «Дальний Восток», 2019]</t>
  </si>
  <si>
    <t>Зафиксировано употребление, в котором слот NP-Dat занимает неодушевлённый участник.</t>
  </si>
  <si>
    <t>Хупринское озеро &lt;...&gt; замечательно, во-первых, тем, что оно своего рода редкость в горах Кавказа, вообще бедных озерами, не в пример другим горным странам; [Н. И. Воронов. Из путешествия по Дагестану (1870)]</t>
  </si>
  <si>
    <t>Как отмечалось впоследствии, «банкет был очень удачен и прошел не в пример прочим под знаком истинного товарищеского сближения» [Елена Кириллова. Газетные злости Доктора Финке. Профессиональная деятельность журналиста Вс. Н. Иванова // «Дальний Восток», 2019]</t>
  </si>
  <si>
    <t>NP не в пример NP-Dat</t>
  </si>
  <si>
    <t>Зафиксированы случаи употребления конструкции, где "не в пример" играет роль сказуемого.</t>
  </si>
  <si>
    <t>— Хозяин у меня не в пример всем хозяевам. [С. Н. Дурылин. Колокола (1929)]</t>
  </si>
  <si>
    <t>Тогда они не в пример нынешним были. [А. Г. Асмолов. Белошвейка и белоручка (2015)]</t>
  </si>
  <si>
    <t>Зафиксирована интерпретация "X лучше Y".</t>
  </si>
  <si>
    <t>перешагнуть/переступить через PrnPoss труп</t>
  </si>
  <si>
    <t xml:space="preserve">В якорь конструкции входил предикат перешагнуть/переступить </t>
  </si>
  <si>
    <t>― «Ошибаетесь, ― отвечал Милорадович, ― вы не взяли бы этого иначе, как перешагнув через мой труп
 [А. И. Михайловский-Данилевский. Описание Отечественной войны в 1812 году (1839)]</t>
  </si>
  <si>
    <t>Капитонов не тот человек, который бы перешагнул через труп Водоёмова, чтобы попасть в правление!
 [Сергей Носов. Фигурные скобки (2015)]</t>
  </si>
  <si>
    <t>Предложная группа "через труп" может присоединяться к любому глаголу, не только к подходящим по смыслу к композициональной интерпретации "переступить/перешагнуть"</t>
  </si>
  <si>
    <t>1842-1859</t>
  </si>
  <si>
    <t>Он взял портрет, принес его к Николаю Аполлоновичу и объявил, что у него отнимут этот портрет не иначе, как если «зарежут или отравят его самого, словом, возьмут через труп».
 [И. А. Гончаров. Письма (1842-1859)]</t>
  </si>
  <si>
    <t>― Я сама решу, ― начала Анна.  ― Через мой труп решишь, ― отрезала бабушка.  Эд неожиданно рассмеялся:
 [Е. В. Колина. Дневник измены (2011)]</t>
  </si>
  <si>
    <t>Зафиксировано, что выражение обозначает угрозу</t>
  </si>
  <si>
    <t>― Да, я уйду, ― говорит мать, останавливаясь в дверях, ― но объявляю вам, что через мой труп вы перешагнете, прежде чем я позволю вам еще раз высечь мальчика.
 [Н. Г. Гарин-Михайловский. Детство Темы (1892)]</t>
  </si>
  <si>
    <t>— Не пущу!  Уйдёшь только через мой труп!  
 [Светлана Крещенская. Черный лебедь, белый лебедь… // «Ковчег», 2014]</t>
  </si>
  <si>
    <t>через PrnPoss труп</t>
  </si>
  <si>
    <t>Зафиксировано употребление выражения в качестве дискурсивной формулы, без глагольной группы</t>
  </si>
  <si>
    <t>― Алла попыталась проскользнуть мимо Феди, но тот загородил ей дорогу.  ― Только через мой труп…  
 [А. И. Мусатов. Клава Назарова (1958)]</t>
  </si>
  <si>
    <t>Но Вознесенский через несколько дней собрался бежать из больницы ― у него выступления, его ждут… «Я тогда сказала ему: только через мой труп.
 [И. Н. Вирабов. Андрей Вознесенский (2015)]</t>
  </si>
  <si>
    <t>Композициональное употребление в пространственном значении</t>
  </si>
  <si>
    <t>1110-е</t>
  </si>
  <si>
    <t>ѡнъ же по ѡбычаю своему нача призывати бѣсы вь храмину сво[ю] новгородцю же сѣдѧщю на порозѣ тоꙗ храмины в[ь] сторонѣ [Повесть временных лет по Ипатьевскому списку (1110-е) ]</t>
  </si>
  <si>
    <t>пятнадцатилетний сын, вернувшийся из аптеки, выронил пакет с лекарствами на пороге комнаты.
 [Йосси Кински. Харлей-Дэвидсон // «Дальний Восток», 2019]</t>
  </si>
  <si>
    <t>Зафиксировано сочетание не с пространственным существительным, выражение приобретает темпоральное значение</t>
  </si>
  <si>
    <t>1809-1820</t>
  </si>
  <si>
    <t>Алексия: ибо сей добродетельный старец уже стоял на пороге смерти.
 [Н. М. Карамзин. История государства Российского: Том 5 (1809-1820)]</t>
  </si>
  <si>
    <t>И тем не менее именно у Фроста было то, к чему Бродский осознанно или бессознательно всегда стремился, к чему пришел уже на пороге смерти.
 [Юрий Лепский. В поисках Бродского // «Дальний Восток», 2019]</t>
  </si>
  <si>
    <t>Зафиксировано управление пространственным существительным, не имеющим буквального "порога"; таким образом, "порог" интерпретируется не совсем буквально, а как граница пространства</t>
  </si>
  <si>
    <t>При пособии Саяны я обрушил на него большой камень, лежавший весьма непрочно на пороге пещеры.
 [О. И. Сенковский. Ученое путешествие на Медвежий Остров (1833)]</t>
  </si>
  <si>
    <t>Вот и сегодня, как только он возник на пороге усадьбы, чьи-то руки протянулись из темноты, бережно сняли с плеч тяжелую, вытертую на локтях шинель, приняли ушастый малахай длинного меха, смели снег с валенок.
 [Гузель Яхина. Дети мои (2018)]</t>
  </si>
  <si>
    <t>Зафиксировано управление абстрактным существительным, где "порог" обозначает границу.</t>
  </si>
  <si>
    <t>Нелепо, оставаясь реалистом в геологии, физике, ботанике, внезапно перерождаться, на пороге социологии, в утилитарного мечтателя. [К. Н. Леонтьев. Передовые статьи «Варшавского дневника» 1880 года ]</t>
  </si>
  <si>
    <t>29.06.2016</t>
  </si>
  <si>
    <t>В конце мая сообщалось, что, по данным главного статистического ведомства Евросоюза Eurostat, в Латвии на пороге нищеты оказались 644 тысячи человек, то есть каждый третий житель республики. [Более 40 процентов жителей Латвии захотели переехать в Эстонию // lenta.ru, 29.06.2016 ]</t>
  </si>
  <si>
    <t xml:space="preserve">во главу угла </t>
  </si>
  <si>
    <t>Цитата из Псалтиря (117:22)</t>
  </si>
  <si>
    <t>середина XI в. — середина XII в.</t>
  </si>
  <si>
    <r>
      <rPr>
        <sz val="10"/>
        <color theme="1"/>
        <rFont val="Arial"/>
      </rPr>
      <t xml:space="preserve">камень. ѥгоже искусиша зижющеи. се </t>
    </r>
    <r>
      <rPr>
        <b/>
        <sz val="10"/>
        <color theme="1"/>
        <rFont val="Arial"/>
      </rPr>
      <t xml:space="preserve">бы въ главу ѹглу </t>
    </r>
    <r>
      <rPr>
        <sz val="10"/>
        <color theme="1"/>
        <rFont val="Arial"/>
      </rPr>
      <t>[Житие Андрея Юродивого (середина XI в. — середина XII в.)]</t>
    </r>
  </si>
  <si>
    <t>1892-1894</t>
  </si>
  <si>
    <t>Оно и здесь, в области любви и половых отношений, есть тот «камень, его же небрегоша зиждущии» и «той бысть во главу угла». [В. С. Соловьев. Смысл любви (1892-1894)]</t>
  </si>
  <si>
    <t>ставить NP-Acc во главу угла</t>
  </si>
  <si>
    <t>Зафиксировано употребление выражения с переходными глаголами местоположения (поставить) и именной группой в винительном падеже.</t>
  </si>
  <si>
    <t>Жизнь западныхъ народовъ, начавшаяся съ сильнаго развитія личности человѣка, пришла къ сознанію ихъ живаго единства въ личности народной и ее поставила во главу угла при построеніи европейской жизни. [С. А. Юрьев. В чем наша задача? // «Беседа», № 1, 1871]</t>
  </si>
  <si>
    <t>Вместо синхронизации ТИИ ставит во главу угла интеграцию. [Наталия Дерикот. «Очень трудная проблема сознания». Наука до сих пор не понимает, как работает наш разум — но у нее есть несколько идей (04.2019)]</t>
  </si>
  <si>
    <t>ставить NP-Acc во главу угла NP-Gen</t>
  </si>
  <si>
    <t>Зафиксировано управление выражения с именной группой в родительном падеже.</t>
  </si>
  <si>
    <t>Она и экономистами признается, даже во главу угла науки ставится. [Н. К. Михайловский. Борьба за индивидуальность (1875)]</t>
  </si>
  <si>
    <t>Ни США, ни Китай не ставят международные договоренности во главу угла своей политики, они у них где-то на втором плане. [Руслан Гринберг, Александр Трушин. «У нас с Китаем больше конкуренции, чем кооперации» // «Огонек», 2015]</t>
  </si>
  <si>
    <t>Зафиксировано первое вхождение в значении "постоянно, ежедневно"</t>
  </si>
  <si>
    <r>
      <rPr>
        <sz val="10"/>
        <color theme="1"/>
        <rFont val="Arial"/>
      </rPr>
      <t xml:space="preserve">Не жьди обратитисѧ къ бѹ҃ и **не </t>
    </r>
    <r>
      <rPr>
        <b/>
        <sz val="10"/>
        <color theme="1"/>
        <rFont val="Arial"/>
      </rPr>
      <t>отълагаи</t>
    </r>
    <r>
      <rPr>
        <sz val="10"/>
        <color theme="1"/>
        <rFont val="Arial"/>
      </rPr>
      <t xml:space="preserve"> </t>
    </r>
    <r>
      <rPr>
        <b/>
        <sz val="10"/>
        <color theme="1"/>
        <rFont val="Arial"/>
      </rPr>
      <t>дн҃ь отъ дн҃е**</t>
    </r>
    <r>
      <rPr>
        <sz val="10"/>
        <color theme="1"/>
        <rFont val="Arial"/>
      </rPr>
      <t xml:space="preserve"> напрасно бо изидеть &lt;гнѣ&gt;въ  гн҃ь: и въ врѣмѧ мьсти погыбнеши. [Изборник 1076 г. (перевод X в. [Болгария])]</t>
    </r>
  </si>
  <si>
    <r>
      <rPr>
        <sz val="10"/>
        <color theme="1"/>
        <rFont val="Arial"/>
      </rPr>
      <t>Сие есть светлейшее церкве украшение, когда чада ея суть просвещенна, и **</t>
    </r>
    <r>
      <rPr>
        <b/>
        <sz val="10"/>
        <color theme="1"/>
        <rFont val="Arial"/>
      </rPr>
      <t>день от дне успевают в науке спасения</t>
    </r>
    <r>
      <rPr>
        <sz val="10"/>
        <color theme="1"/>
        <rFont val="Arial"/>
      </rPr>
      <t>.** [архиепископ Платон (Левшин). Слово в день Святителя Христова Николая, и при случае перваго священнослужения по возвращении из Санктпетербурга (1778)]</t>
    </r>
  </si>
  <si>
    <t>Конструкция начинает обознать постепенное изменение ситуации, возможна контаминация с конструкцией "час от часу"</t>
  </si>
  <si>
    <t>1551-1556</t>
  </si>
  <si>
    <r>
      <rPr>
        <sz val="10"/>
        <color theme="1"/>
        <rFont val="Arial"/>
      </rPr>
      <t>И ныне бы нам на мимоидущем свете слово прямое говорити о всяких делех добрых и о братстве, чтобы **</t>
    </r>
    <r>
      <rPr>
        <b/>
        <sz val="10"/>
        <color theme="1"/>
        <rFont val="Arial"/>
      </rPr>
      <t xml:space="preserve">день от дни** </t>
    </r>
    <r>
      <rPr>
        <sz val="10"/>
        <color theme="1"/>
        <rFont val="Arial"/>
      </rPr>
      <t>любовь **</t>
    </r>
    <r>
      <rPr>
        <b/>
        <sz val="10"/>
        <color theme="1"/>
        <rFont val="Arial"/>
      </rPr>
      <t>свыше прибывала**.</t>
    </r>
    <r>
      <rPr>
        <sz val="10"/>
        <color theme="1"/>
        <rFont val="Arial"/>
      </rPr>
      <t xml:space="preserve">  [Посольская книга по связям Московского государства с Ногайской Ордой. Книга 4-я. 1551–1556 гг (1551—1556)]</t>
    </r>
  </si>
  <si>
    <r>
      <rPr>
        <sz val="10"/>
        <color theme="1"/>
        <rFont val="Arial"/>
      </rPr>
      <t>Это и продвижение в космос, и изменение программы живого организма, и компьютерные технологии, и невиданные ранее возможности коммуникации, и многое другое, что **</t>
    </r>
    <r>
      <rPr>
        <b/>
        <sz val="10"/>
        <color theme="1"/>
        <rFont val="Arial"/>
      </rPr>
      <t>день от дня меняет наш мир.**</t>
    </r>
    <r>
      <rPr>
        <sz val="10"/>
        <color theme="1"/>
        <rFont val="Arial"/>
      </rPr>
      <t xml:space="preserve"> [«Информационное общество», 2011]</t>
    </r>
  </si>
  <si>
    <t>Зафиксировано, что слот-конструкции, обозначенный имперфективным глаголом, начинает иметь процессуальную семантику.</t>
  </si>
  <si>
    <r>
      <rPr>
        <sz val="10"/>
        <color theme="1"/>
        <rFont val="Arial"/>
      </rPr>
      <t>И ныне бы нам на мимоидущем свете слово прямое говорити о всяких делех добрых и о братстве, чтобы **</t>
    </r>
    <r>
      <rPr>
        <b/>
        <sz val="10"/>
        <color theme="1"/>
        <rFont val="Arial"/>
      </rPr>
      <t xml:space="preserve">день от дни** </t>
    </r>
    <r>
      <rPr>
        <sz val="10"/>
        <color theme="1"/>
        <rFont val="Arial"/>
      </rPr>
      <t>любовь **</t>
    </r>
    <r>
      <rPr>
        <b/>
        <sz val="10"/>
        <color theme="1"/>
        <rFont val="Arial"/>
      </rPr>
      <t>свыше прибывала.**</t>
    </r>
    <r>
      <rPr>
        <sz val="10"/>
        <color theme="1"/>
        <rFont val="Arial"/>
      </rPr>
      <t xml:space="preserve">  [Посольская книга по связям Московского государства с Ногайской Ордой. Книга 4-я. 1551–1556 гг (1551—1556)]</t>
    </r>
  </si>
  <si>
    <r>
      <rPr>
        <sz val="10"/>
        <color theme="1"/>
        <rFont val="Arial"/>
      </rPr>
      <t>Daily Star в качестве доказательства своих домыслов не нашла ничего лучше, чем цитату из северокорейской статьи: "дружба и сотрудничество между нашими странами **</t>
    </r>
    <r>
      <rPr>
        <b/>
        <sz val="10"/>
        <color theme="1"/>
        <rFont val="Arial"/>
      </rPr>
      <t xml:space="preserve">крепнет день от дня во множестве сфер** </t>
    </r>
    <r>
      <rPr>
        <sz val="10"/>
        <color theme="1"/>
        <rFont val="Arial"/>
      </rPr>
      <t>и показывает свою эффективность". [Vesti.ru, 23.10.2016]</t>
    </r>
  </si>
  <si>
    <t>день ото дня VP Adj-Comp</t>
  </si>
  <si>
    <t>Конструкция начинает употребляться с копулятивным глаголом и прилагательным в сравнительной степени.</t>
  </si>
  <si>
    <r>
      <rPr>
        <sz val="10"/>
        <color theme="1"/>
        <rFont val="Arial"/>
      </rPr>
      <t>&lt;...&gt; а отъ Сѣверного наволока и до Каппенгава **</t>
    </r>
    <r>
      <rPr>
        <b/>
        <sz val="10"/>
        <color theme="1"/>
        <rFont val="Arial"/>
      </rPr>
      <t xml:space="preserve">день ото дни теплѣе и покойнѣе.** </t>
    </r>
    <r>
      <rPr>
        <sz val="10"/>
        <color theme="1"/>
        <rFont val="Arial"/>
      </rPr>
      <t xml:space="preserve"> [Грамота прибывших в Колу царских послов князя С. Г. Звенигородского и дьяка И. Максимова к датским послам Ове Лунге с товарищами […] (1595.08.01)]</t>
    </r>
  </si>
  <si>
    <r>
      <rPr>
        <sz val="10"/>
        <color theme="1"/>
        <rFont val="Arial"/>
      </rPr>
      <t>Обама, который изначально заявлял о возможности такого признания, сам рисковать не хочет, понимая, что настроения в арабском мире переменчивы, память об американских обстрелах ливийских городов в 1986 году не исчезла, а нынешняя ситуация у главного союзника США – Саудовской Аравии, **</t>
    </r>
    <r>
      <rPr>
        <b/>
        <sz val="10"/>
        <color theme="1"/>
        <rFont val="Arial"/>
      </rPr>
      <t>становится день от дня все тревожнее.**</t>
    </r>
    <r>
      <rPr>
        <sz val="10"/>
        <color theme="1"/>
        <rFont val="Arial"/>
      </rPr>
      <t xml:space="preserve"> [Новый регион 2, 11.03.2011]</t>
    </r>
  </si>
  <si>
    <t>бог весть</t>
  </si>
  <si>
    <t>Зафиксировано употребление конструкции в композициональном значении: отсутствие знания о предмете разговора. Выражение употребляется или в отдельной клаузе, или в качестве вводного выражения.</t>
  </si>
  <si>
    <t>прѣсвѣтло и неизъгла҃ноє. но ѹже нѣ(с̑) година. дрꙋже. прѣити бо дол̾жнъ єси пакы таможе. ѿкꙋдѣже єси пришелъ. повелѣл ти єсть вл(д)ка". се же ємꙋ гл҃щю къ мнѣ. ꙗко ѹснꙋхъ слад̾ко. да ꙗкоже вепрь ѹснꙋвъ и спавъ всю нощь. ѹже заѹтра ѻбрѣтохсѧ сдѣ. ꙗкоже мѧ видиши. да нынѣ. дрꙋже мои възлюблене ѿ га҃. възвеселисѧ и потщимсѧ. да бꙋдемъ спс҃ни. и ѻбрѧщемсѧ тамо въ ѹдержанїє вѣчноє". еже бл҃женыи все къ мнѣ исповѣда. да вел̾ми ми сѧѹжаснꙋ дш҃а. да ꙗко се къ мнѣ гл҃ше. бѣаше видити чю(до) дивно. ꙗкоже бо цвѣти добровоньни вонѧхꙋ ѡколо наю. ꙗко ре(ч̑) поистинѣ тѹ сꙋть ст҃їи агг҃ли на бж҃иа повѣсти кадѧще невидимо. любѧть бо се бесплотни всег(д)а. ꙗкоже индѣ извѣстовасѧ намъ. много же сѧ ємꙋ молихъ. да бы ми повѣдалъ поне єдино слово. єже ємꙋ єсть ре(ч̑)но ѿ га҃ ӏс(с̑)а. и не повѣда ми. да бъ҃ вѣсть и бл҃жнаꙗ єго дш҃а. чего дѣлѧ или коєꙗ вины не повѣда ми. да тако въ бл҃гыхъ гь҃нихъ веселившесѧ дх҃овно всю нощь. заѹтра пакы изиде бл҃жныи по ѹлицамъ ходѧ и ѻбычаи свои дѣꙗше. подвизаꙗсѧ. паче же неприꙗзнивымъ д(ꙋ̑)х(ѡ̑)мъ рꙋгаꙗсѧ и примышлѧꙗ на нѧ. да никтоже ѿ бра(ти)ꙗ да не дерьзнеть никакоже похꙋлити дивнаꙗ. ꙗже волею бии҃єю створена</t>
  </si>
  <si>
    <t>бог весть Cl</t>
  </si>
  <si>
    <t>Зафиксировано употребление, при котором выражение присоединяет к себе клаузу с вопросительным порядком слов</t>
  </si>
  <si>
    <t>Но бог весть, как благочестивые от лести спасти, Мстислав бо хотя млад, но остраго ума и скораго разсуждения был, немедленно велел собраться всем бывшим при нем и наскоро послал по селам, чтоб к нему поспешали.</t>
  </si>
  <si>
    <t>бог весть/знает (Cl)</t>
  </si>
  <si>
    <t>Зафиксировано употребление, в котором словоформа &lt;i&gt;весть&lt;/i&gt; меняется на словоформу &lt;i&gt;знает&lt;/i&gt;. Вероятно, эта замена связана с изменением частотности употребления соответствующих лексем.</t>
  </si>
  <si>
    <t>Воображаю тебя, говорю мысленно с тобою, тужу с тобою о том, что мы разлучены, и бог знает надолго ль.</t>
  </si>
  <si>
    <t>бог весть/знает PP</t>
  </si>
  <si>
    <t>Зафиксированы контексты, в которых выражение может означать большое количество чего-либо</t>
  </si>
  <si>
    <t>Добросердечный сей юноша по простотѣ считая сїе преступленїе непростительнымъ и гнѣвъ своей красавицы вѣчнымъ, препроводилъ ночь, Богъ знаетъ въ коликомъ смятенїи.</t>
  </si>
  <si>
    <t>Зафиксировано оценочное употребление конструкции: она может использоваться как для положительной, так и для отрицательной оценки. Также эта конструкция несет семантику "выхода за рамки ожидаемой нормы": &lt;i&gt;как Бог знает за кем&lt;/i&gt; - как за "особенным", выходящим за рамки нормы человеком, &lt;i&gt;Бог знает где&lt;/i&gt; - далеко, в местах, выходящих за рамки ожидаемого.</t>
  </si>
  <si>
    <t>Хотя я живу въ прекрасныхъ покояхъ, у весьма добраго хозяина и хозяйки, которые меня поятъ, кормятъ, возятъ гулять, и ходятъ за мною какъ Богъ знаетъ за кѣмъ; однакожъ все это не веселитъ тогда, какъ ежеминутно ожидаешь тревоги.</t>
  </si>
  <si>
    <t>бог весть/знает XP</t>
  </si>
  <si>
    <t>Зафиксированы употребления, при которых конструкция в значении "отсутствие информации" присоединяет к себе различные фразовые группы (чаще всего именную, местоименную или предложную)</t>
  </si>
  <si>
    <t>Ты имеешь дар смотреть на вещи бог знает с какой стороны.</t>
  </si>
  <si>
    <t>не бог весть/знает XP</t>
  </si>
  <si>
    <t>Зафиксирован новый вариант якоря, включающий  в себя частицу &lt;i&gt;не&lt;/i&gt;</t>
  </si>
  <si>
    <t>1855-1856</t>
  </si>
  <si>
    <t>Не дворянин, конечно; да ведь и племянница не бог весть княжна какая: мать однодворчиха, такая же, как была Анисья Петровна до замужества…</t>
  </si>
  <si>
    <t>Зафиксировано семантическое изменение, сопутствующее изменению якоря: теперь конструкция обозначает невысокую степень проявления свойства или качества, отсутствие свойства или негативную оценку этого свойства.</t>
  </si>
  <si>
    <t>Воспитанья-то тоже не бог знает какого: пишет-то, как слон брюхом ползает, по-французскому али на фортопьянах тоже сям, тям, да и нет ничего; ну а танец-то отколоть ― я и сама пыли в нос пущу.</t>
  </si>
  <si>
    <t>Употребляется при указании на лицо или предмет, к которому направлено действие и перед лицевой частью которого оно завершается</t>
  </si>
  <si>
    <t>1660-1670</t>
  </si>
  <si>
    <t>Увѣда про онаго Савву, и повеле его привесть пред себя, и рече ему: «Хощеши ли, Савва, да прииму в дом мой и немалой чести сподоблю тя?» [Повесть о Савве Грудцыне (1660-1670)]</t>
  </si>
  <si>
    <t>― Когда? ― Сразу перед Новый год… Сараев зашел в «Викторию», и там то же самое ему сообщила хозяйка Вика. [Сергей Шикера. Выбор натуры // «Волга», 2014]</t>
  </si>
  <si>
    <t>Сочетание предстать перед очи — фразеологическая единица, которое имеет значение “явиться, появиться перед кем-либо с большим авторитетом или на высокопоставленной должности”. В большинстве употреблений "пред очи" с указанием на того, кому “принадлежат очи” “посессором” выступает как раз человек, находящийся в иерархии выше человека, совершающего действие</t>
  </si>
  <si>
    <t>Не был приглашен пред «ясные очи» также японский посол Иосида, как-то сиротливо жавшийся по углам. [И. М. Майский. Дневник (1937)]</t>
  </si>
  <si>
    <t>перед NP-Ιnstr</t>
  </si>
  <si>
    <t>Вытеснение управления винительным падежом управлением творительным падежом даже в контекстах, предполагающих направление</t>
  </si>
  <si>
    <t>― Любимые кушанья вашего величества готовы! ― громко провозгласил он и поставил блюда перед королем. [А. М. Волков. Урфин Джюс и его деревянные солдаты (1963)]</t>
  </si>
  <si>
    <t>new syntactic role: adjunct of PredP</t>
  </si>
  <si>
    <t>1. Определить общие для всей конструкции морфологические теги (частеречный состав) и занести их в столбец construction_morphotags (внести в столбец L на вкладке cnstruct)</t>
  </si>
  <si>
    <t>2. Написать комментарий, описывающий первое вхождение выражения</t>
  </si>
  <si>
    <t>3. Для каждого присоединяемого этапа:</t>
  </si>
  <si>
    <t>3.1. Определить место этого этапа относительно остальных на таймлайне (опираясь на датировку примеров и базовые принципы эволюции значений)</t>
  </si>
  <si>
    <t>3.2. Внести в столбец former change номер change предшествующего этапа (если таковой имеется). В случае, если какие-то два change произошли одновременно, для них обоих ставится один предыдущий этап; для последующего этапа ставятся оба предыдущих через запятую</t>
  </si>
  <si>
    <t>3.3. Заполнить столбцы level, type of change, subtype of change, руководствуясь вкладкой ch:instr.</t>
  </si>
  <si>
    <t>3.4. Написать комментарий, описывающий изменение</t>
  </si>
  <si>
    <t>3.5. Если происходящее изменение - морфологическое или синтаксическое, в столбце morphosyntags надо проставить морфологические и синтаксические теги, описывающие изменение.</t>
  </si>
  <si>
    <t>3.5.1. Если изменение затрагивает появление/исчезновение какого-то компонента, в столбце morphosyntags надо проставить часть речи задействованного компонента.</t>
  </si>
  <si>
    <t>3.6. Теги морфосинтаксиса считаются наследуемыми: будучи проставленными один раз, они наследуются от этапа к этапу, пока отдельным change не обозначено исчезновение этого тега.</t>
  </si>
  <si>
    <t>3.7. Теги семантики не считаются наследуемыми: для каждого этапа надо проставлять их отдельно.</t>
  </si>
  <si>
    <t>3.8. Если происходящее изменение - семантическое, надо проставить новый набор тегов в столбце semantags. Если есть основания полагать, что какие-то из тегов нового этапа прямо замещают какие-то теги предыдущего этапа, то теги в предшествующем строке надо отметить индексом, отделенным от основного тега точкой (пример: 1.Negative Assessment). В текущей строке теги-наследники надо отметить тем же индексом (пример: 1.Both Positive and Negative Assessment). Для каждой группы взаимосвязанных тегов используется новый индекс, внутри конструкции они не повторяются.</t>
  </si>
  <si>
    <t>3.9. Если какие-то семантические теги просто появляются или пропадают, индекса им присваивать не нужно.</t>
  </si>
  <si>
    <t>4. После разметки всей конструкции надо заполнить столбец construction_semantags на вкладке construction тегами, которые сохраняются в конструкции на протяжении всей ее истории. Если таких нет, столбец оставляется пустым.</t>
  </si>
  <si>
    <t>5. NB: порядок расположения строк changes не важен! Хронологическая связь разных этапов задается с помощью столбца former change</t>
  </si>
  <si>
    <t>Для большинства тегов есть инструкция в конструктиконе: https://constructicon.github.io/russian/semantic-types-russian/</t>
  </si>
  <si>
    <t>Теги диахроникона, которых нет в конструктиконе:</t>
  </si>
  <si>
    <t>(pro)noun categories: грамматические категории, которые встречаются у имён или местоимений</t>
  </si>
  <si>
    <t>inanimacy – неодушевленность. тег ставится, если у конструкции расширяется семантика или сочетаемость так, что то, что раньше было возможно только для одушевленных имён, становится возможно для неодушевленых</t>
  </si>
  <si>
    <t>animacy – одушевленность. тег ставится, если у конструкции расширяется семантика или сочетаемость так, что то, что раньше было возможно только для неодушевленных имён, становится возможно для одушевленых</t>
  </si>
  <si>
    <t>nominative -- именительный падеж</t>
  </si>
  <si>
    <t>genitive -- родительный падеж</t>
  </si>
  <si>
    <t>dative -- дательный падеж</t>
  </si>
  <si>
    <t>accusative -- винительный падеж</t>
  </si>
  <si>
    <t>instrumental -- творительный падеж</t>
  </si>
  <si>
    <t>locative --предложный падеж</t>
  </si>
  <si>
    <t>1st person -- первое лицо. так лицо обозначается только у местоимений, а не у глаголов</t>
  </si>
  <si>
    <t>2nd person -- второе лицо. так лицо обозначается только у местоимений, а не у глаголов</t>
  </si>
  <si>
    <t>3rd person -- третье лицо. так лицо обозначается только у местоимений, а не у глаголов</t>
  </si>
  <si>
    <t>singular -- едиственое число</t>
  </si>
  <si>
    <t>plural -- множественное число</t>
  </si>
  <si>
    <t>verbal categories: грамматические категории, которые встречаются у глаголов. Теги ставятся, если в якоре или изменяемой части конструкции возникает возможность появления глаголов этой категории.</t>
  </si>
  <si>
    <t>past tense – прошедшее время</t>
  </si>
  <si>
    <t>present tense – настоящее время</t>
  </si>
  <si>
    <t>future tense – будущее время</t>
  </si>
  <si>
    <t>imperfective – несовершенный вид</t>
  </si>
  <si>
    <t>perfective – совершенный вид</t>
  </si>
  <si>
    <t>infinitive – инфинитив</t>
  </si>
  <si>
    <t>subjunctive – условное наклонение</t>
  </si>
  <si>
    <t>imperative – повелительное наклонение ко 2 лицу</t>
  </si>
  <si>
    <t>hortative – повелительное наклонение к 1 инклюзивному лицу множественного числа; предложение совместного действия говорящего и слушающего</t>
  </si>
  <si>
    <t>telicity – предельность; глагол называет действие, у которого есть точка завершения, после которой оно не может быть продолжено.</t>
  </si>
  <si>
    <t>1sg -- 1 лицо единственного числа. тег ставвится только у глаголов, тег местоимений выглядит иначе</t>
  </si>
  <si>
    <t>2sg -- 2 лицо единственного числа. тег ставвится только у глаголов, тег местоимений выглядит иначе</t>
  </si>
  <si>
    <t>3sg -- 3 лицо единственного числа. тег ставвится только у глаголов, тег местоимений выглядит иначе</t>
  </si>
  <si>
    <t>1pl -- 1 лицо множественного числа. тег ставвится только у глаголов, тег местоимений выглядит иначе</t>
  </si>
  <si>
    <t>2pl -- 2 лицо множественного числа. тег ставвится только у глаголов, тег местоимений выглядит иначе</t>
  </si>
  <si>
    <t>3pl -- 3 лицо множественного числа. тег ставвится только у глаголов, тег местоимений выглядит иначе</t>
  </si>
  <si>
    <t>pronoun features: грамматические категории, которые встречаются у местоимений.</t>
  </si>
  <si>
    <t>proximity – ближний дейксис указательных местоимений (этот…)</t>
  </si>
  <si>
    <t>reflexive – рефлексивные местоимения</t>
  </si>
  <si>
    <t>PRO – неозвученный субъект нефинитной клаузы</t>
  </si>
  <si>
    <t>syntactic polarity: класс грамматических категорий и явлений, связанных с полярностью предложения</t>
  </si>
  <si>
    <t>npi – отрицательно поляризованные единицы. NB! Конструкция является npi, если употребляется в нескольких типах контекстов нисходящего следования. Если “не” – часть якоря конструкции, тег не ставится</t>
  </si>
  <si>
    <t>ppi – положительно поляризованная единица</t>
  </si>
  <si>
    <t>discourse mode: режимы дискурса</t>
  </si>
  <si>
    <t>диалог – тег ставится, если конструкция может употребляться только в диалоге (в таких случаях она чаще всего является рутиной) или если она раньше могла употребляться только в нарративе, а потом получает возможность употребляться в диалоге</t>
  </si>
  <si>
    <t>нарратив – тег ставится, если конструкция может употребляться только в нарративе или если она раньше могла употребляться только в диалоге, а потом получает возможность употребляться в нарратив</t>
  </si>
  <si>
    <t>phases: категории, связанные с синтаксисом составляющих</t>
  </si>
  <si>
    <t>clause – клауза. тег ставится, если у клаузы появляется возможность заполнять слот в изменяемой части конструкции</t>
  </si>
  <si>
    <t>complement clause – сентенциальное дополнение. тег ставится, если у сентенциальное дополнение появляется возможность заполнять слот в изменяемой части конструкции</t>
  </si>
  <si>
    <t>sententional actant – сентенциальный актант. тег ставится, если конструкция получает возможность быть сенценциальным подлежащим или дополнением</t>
  </si>
  <si>
    <t>finite clause – финитная клауза. тег ставится, если у финитной клаузы появляется возможность заполнять слот в изменяемой части конструкции</t>
  </si>
  <si>
    <t>predicate – предикат. тег ставится, если конструкция получает возможность быть предикатом</t>
  </si>
  <si>
    <t>word order – порядок слов. тег ставится, если порядок элементов конструкции (в первую очередь элементов её якоря) меняется (например, становится более свободным)</t>
  </si>
  <si>
    <t>discontinuity – разрывность. тег ставится, если элементы конструкции (в первую очередь – элементы её якоря) получает возможность разрываться другими составляющими</t>
  </si>
  <si>
    <t>subject – подлежащее. тег ставится, если меняются какие-либо свойства подлежащего, которое является якорем или основной частью конструкции</t>
  </si>
  <si>
    <t>antecedent – антецедент условного предложения</t>
  </si>
  <si>
    <t>consequent – консеквент условного предложения</t>
  </si>
  <si>
    <t>style: стиль</t>
  </si>
  <si>
    <t>obscenity – в якорь конструкции может быть обсценная лексика</t>
  </si>
  <si>
    <t>quantification: явления, связанные с квантификацией</t>
  </si>
  <si>
    <t>large quantity – конструкция означает большое количество чего-либо</t>
  </si>
  <si>
    <t>small quantity – конструкция означает малое количество чего-либо</t>
  </si>
  <si>
    <t>mass noun – неисчисляемые существительные. тег ставится, если они получают возможность занимать слот в изменяемой части конструкции или если у конструкции меняется возможность квантифицировать такие существительные</t>
  </si>
  <si>
    <t>Semantic class: семантические классы элементов конструкции или всей конструкции</t>
  </si>
  <si>
    <t>negation – отрицание. тег ставится, если в семантику конструкции входит отрицание какой-либо пропозиции</t>
  </si>
  <si>
    <t>physical action – физическое действие. тег ставится, если конструкция на каком-либо этапе означает только физическое действие</t>
  </si>
  <si>
    <t>physical movement – перемещение в пространстве. тег ставится, если конструкция на каком-либо этапе означает только перемещение в пространстве</t>
  </si>
  <si>
    <t>liquid – жидкость</t>
  </si>
  <si>
    <t>mental state – ментальное состояние</t>
  </si>
  <si>
    <t>part of speech: часть речи. класс тегов есть в конструктиконе, но мы добавили некоторые теги</t>
  </si>
  <si>
    <t>particle -- частица</t>
  </si>
  <si>
    <t>concessive particle -- уступительная частица</t>
  </si>
  <si>
    <t>double conjunction -- двойной союз, где каждая из частей союза одит сою клаузу ("если... то", "не только... но и" и т. д.)</t>
  </si>
  <si>
    <t>Routine: дискурсиные формулы.  класс тегов есть в конструктиконе, но мы добавили некоторые теги</t>
  </si>
  <si>
    <t>refusal -- отказ совершить что-либо, что просит или требует другой человек</t>
  </si>
  <si>
    <t>Polarity of assessment: положительность или отрицательность оценки. класс тегов есть в конструктиконе, но там он назыается просто "polarity", но нам нужно не путать оценку с синтаксической полярностью</t>
  </si>
  <si>
    <t>Positive Assessment</t>
  </si>
  <si>
    <t>наши названия, в конструктиконе теги назыаются так же, но без слова Assessment</t>
  </si>
  <si>
    <t>Negative assessment</t>
  </si>
  <si>
    <t>Both Negative and Positive assessment</t>
  </si>
  <si>
    <t>Level</t>
  </si>
  <si>
    <t>Type of change</t>
  </si>
  <si>
    <t>Subtype of change</t>
  </si>
  <si>
    <t>Description</t>
  </si>
  <si>
    <t>Example</t>
  </si>
  <si>
    <t>Comment</t>
  </si>
  <si>
    <t>Synt</t>
  </si>
  <si>
    <t>Change in anchor</t>
  </si>
  <si>
    <t>Якорь конструкции, который являлся идиомой, перестает быть неизменяемым</t>
  </si>
  <si>
    <t>Не знаю, по-мужицки или по-барски поступаете Вы, без всякого основания претендуя на то, что я не приехал и что со мной не сваришь каши. [Г. И. Успенский. Письма (1879-1883)] [омонимия не снята]</t>
  </si>
  <si>
    <t>В идиоме "каши не сваришь" порядок слов быть фиксированным</t>
  </si>
  <si>
    <t>Из конструкции пропадает какой-то элемент</t>
  </si>
  <si>
    <t>Использование выражения в его редуцированной форме: "не суть".</t>
  </si>
  <si>
    <t>Один компонент якоря меняется на другой</t>
  </si>
  <si>
    <t>― Да, да, она точно не в своем разуме… [М. Н. Загоскин. Аскольдова могила (1833)] [омонимия не снята]</t>
  </si>
  <si>
    <t>У идиомы "не в своем уме" появляется вариант "не в своем разуме"</t>
  </si>
  <si>
    <t>В констукции появляется новый компонент</t>
  </si>
  <si>
    <t>Добавляется частица "хоть"</t>
  </si>
  <si>
    <t>Более сильная идиоматизация: укоренение одного варианта выражения.</t>
  </si>
  <si>
    <t>Change in inner syntax</t>
  </si>
  <si>
    <t>У конструкции появляется новая валентность</t>
  </si>
  <si>
    <t>Раньше от "не до того" не могло ничего зависеть, а теперь от него зависит клауза</t>
  </si>
  <si>
    <t>Уже существующая в конструкции валентность получает возможность заполняться клаузой</t>
  </si>
  <si>
    <t>Существительное, которым управляет конструкция, начинает употребляться в новом падеже</t>
  </si>
  <si>
    <t>Своей партии в Концерте Чайковского она ни в зуб ногой не знает. [В. А. Швец. Дневник (1969)] [омонимия не снята]</t>
  </si>
  <si>
    <t>Употребление выражения с родительным падежом.</t>
  </si>
  <si>
    <t>Конструкция, которая до этого уже могла управлять каким-то типом клауз, получает возможность управлять клаузами нового типа</t>
  </si>
  <si>
    <t>Конструкция получает возможность употребляться с другими частями речи.</t>
  </si>
  <si>
    <t>Я, говорю, по-немецки ни в зуб ногой. [М. А. Булгаков. Шпрехен зи дейтч? (1925)] [омонимия не снята]</t>
  </si>
  <si>
    <t>Ранее - ни в зуб по хозяйству, в хозяйстве; теперь - ни в зуб по-немецки</t>
  </si>
  <si>
    <t>Меняется предлог, группой которого управляет якорь конструкции</t>
  </si>
  <si>
    <t>Раньше "не густо" управляло именной группой в родительном падеже, теперь -- группой предлога "с"</t>
  </si>
  <si>
    <t>Меняются какие-либо грамматические категории глагола, который может заполнять валентност конструкции (вид, время, лицо...)</t>
  </si>
  <si>
    <t>Вся элитка открыта, воруйте не хочу!!!</t>
  </si>
  <si>
    <t>Раньше  императив в конструкции мог быть только едиснтвенного числа, а теперь получил возможность быть множественного</t>
  </si>
  <si>
    <t>Исчезновение позиции изменяемого зависимого.</t>
  </si>
  <si>
    <t>Водить на помочах недальновидного барича и действовать за его спиной ― могло быть прибыльно, но мне не улыбалось. [А. В. Никитенко. Моя повесть о самом себе (1860-1877)]</t>
  </si>
  <si>
    <t>Ранее - "Dat не улыбается", теперь - просто "не улыбается".</t>
  </si>
  <si>
    <t>Change in outer syntax</t>
  </si>
  <si>
    <t>Конструкция приобретает или теряет отрицательную или положительную поляризованность</t>
  </si>
  <si>
    <t>Раньше "без царя в голове" употребялось только в утвердительных предложениях, а теперь стало употребляться и в отрицательных тоже</t>
  </si>
  <si>
    <t>Конструкция приобретает возможность быть адъюнктом группы прилагательного</t>
  </si>
  <si>
    <t>"По уши" получает возможность юыть адъюнктом группы прилагательного</t>
  </si>
  <si>
    <t>Конструкция приобретает возможность быть адъюнктом именной группы</t>
  </si>
  <si>
    <t>Сабашников — пишет театральные пьесы для одного актера, сам их печатает, сам читает; пьесы ни о чем, как и поздравление, долгий разговор ни о чем, даже не очень остроумный. [Александр Мардань. Тайна на троих // «Дальний Восток», 2019] [омонимия не снята]</t>
  </si>
  <si>
    <t>"Ни о чём" раньше могло быть только зависимым глагольной группы, теперь -- становится адъюнктом именной группы</t>
  </si>
  <si>
    <t>Конструкция приобретает возможность быть адъюнктом неглагольного предиката</t>
  </si>
  <si>
    <t>Здеся, в Москве, народу еще не ахти много, -- говорил высокий, худой, косматый, с глазами на выкате мужик</t>
  </si>
  <si>
    <t>"Не ахти", которое раньше могло быть только предикатом, стало адъюнктом неглагольного предиката</t>
  </si>
  <si>
    <t>Конструкция приобретает возможность быть адъюнктом глагольной группы</t>
  </si>
  <si>
    <t>Раньше конструкция "(NumCrd) (N) с гаком" могла быть только аргументом глагольной группы, а теперь получила возможность быть её адъюнктом</t>
  </si>
  <si>
    <t>Конструкция приобретает возможность быть предикатом</t>
  </si>
  <si>
    <t>"Не очень" (в некпозициональном значении) раньше могло быть адъюнктом глагольной группы, а теперь стало предикатом</t>
  </si>
  <si>
    <t>Sem</t>
  </si>
  <si>
    <t>Семантический переход, основанный на сходстве</t>
  </si>
  <si>
    <t>"Не пахло" меняет значение с "Х невозможно было обнаружить по запаху" на "Х невозможно было обнаружить даже по незначительным приметам"</t>
  </si>
  <si>
    <t>Семантический переход, основанный на смежности</t>
  </si>
  <si>
    <t>Раньше "не дай бог" обозначало ситуации, где субъект инфинитива был Р-участником, а теперь -- ситуации, где субъект инфинитива является А-участником, но котороые несут для него негативные последствия. что делает их смежными с ситуациями первого типа</t>
  </si>
  <si>
    <t>Расширение значения.</t>
  </si>
  <si>
    <t>Компьютер был по уши забит старыми Аркашиными материалами.</t>
  </si>
  <si>
    <t>Ранее "по уши" обозначало "много", теперь "много, почти целиком, достигает предела".</t>
  </si>
  <si>
    <t>Значение, состоявшее из нескольких компонентов, теряет один из них.</t>
  </si>
  <si>
    <t>Ранее "не дай бог" подразумевало интенсивность и негативную оценку; теперь оно подразумевает только интенсивность (то есть один компонент потерялся).</t>
  </si>
  <si>
    <t>Переход, не являющийся ни метафорой, ни метонимией, представляющий собой становление одного из компонентов или коннотаций значения оригинального слова ассерцией производного; может влечь за собой изменение синтаксиса.</t>
  </si>
  <si>
    <t>Одна из коннотаций "улыбки" - значение чего-то хорошего или приятного, то есть "не улыбается" являет собой высветление отрицания именно этого значения.</t>
  </si>
  <si>
    <t>Change in semantic compatibility</t>
  </si>
  <si>
    <t>Расширение множества имён-зависимых, с которыми может сочетаться выражение.</t>
  </si>
  <si>
    <t>На всех проходящих и Маслова не напасешься. [И. Т. Кокорев. Саввушка (1847)] [омонимия не снята]</t>
  </si>
  <si>
    <t>В качестве аргумента "чего не напасёшься" используется слово, не обозначающее множество (ранее это было невозможно).</t>
  </si>
  <si>
    <t>Расширение множества имён-вершин, с которыми может сочетаться выражение.</t>
  </si>
  <si>
    <t>У конструкции "без царя в голове" появляется возможность зависеть от неодушевленной вершины, ранее это было невозможно.</t>
  </si>
  <si>
    <t>Расширение множества глаголов-вершин, с которыми может сочетаться выражение.</t>
  </si>
  <si>
    <t>Своими руками. Читай не хочу. Я даже думаю, что обычное, разговорное общение, кроме внутрисемейного и на производственные темы, не будет, мягко говоря, приветствоваться. [М. Б. Бару. Принцип неопределенности // «Волга», 2015] [омонимия не снята]</t>
  </si>
  <si>
    <t>Использование выражения в его идиоматичном значении с глаголами, кроме "есть" и "пить" (первоначально мог использоваться только с ними, затем список глаголов расширился).</t>
  </si>
  <si>
    <t>Конструкция, которая раньше оценивала альтернативу, названную входящей в неё группой, как находящуюся высоко или низко на шкале, теперь получает возможность не иметь это свойство</t>
  </si>
  <si>
    <t>Он обращался к собаке не то чтобы ласковым, а удивительно спокойным и даже уважительным тоном. [И. Меттер. Мухтар (1960)]</t>
  </si>
  <si>
    <t>Раньше в сфере действия "не то чтобы" находилась группа, называющая более сильную альтернативу, а союз "а"/"но" вводил более слабую альтернативу, а теперь группы в сфере действия этих элементов конструкции не расположены на какой-либо шкале</t>
  </si>
  <si>
    <t>У изменяемой части выражения имеются ограничения.</t>
  </si>
  <si>
    <t>В качестве сравнительной формы - только слова "больше", "хуже", "дальше".</t>
  </si>
  <si>
    <t>У изменяемой части выражения теряются ограничения.</t>
  </si>
  <si>
    <t>А раз так, рождение ребёнка для многих своего рода вопрос престижа ― у нас "всё как у людей", благополучнее некуда. [Мария Давыдова. Кто в доме хозяин? // «100% здоровья», 2003.01.15]</t>
  </si>
  <si>
    <t>Ограничение на употребление со словами "больше", "хуже", "дальше" пропадает.</t>
  </si>
  <si>
    <t>Конструкция становится дискурсивной формулой.</t>
  </si>
  <si>
    <t>[ - А сейчас он где?] - Без понятия. [НКРЯ. Алексеи Сидоров, Игорь Порублев. Бригада, к/ф (2002)]</t>
  </si>
  <si>
    <t>Ранее - "я без понятия", теперь же конструкцию можно употреблять обособленно.</t>
  </si>
  <si>
    <t>Конструкция отходит от своей функции дискурсивной формулы и начинает употребляться в нарративе.</t>
  </si>
  <si>
    <t>Ранее "ни-ни" употреблялось как дискурсивная формула, теперь может быть частью предложения.</t>
  </si>
  <si>
    <t>Иллокутивная функция конструкции меняется, говорящий рассчитывает на другую интерпретацию своей коммуникативной цели.</t>
  </si>
  <si>
    <t>Ранее "не V ли" в значении предложения, теперь - со значением отказа и коннотацией издёвки, иллокутивная цель - выразить отказ.</t>
  </si>
  <si>
    <t>Source</t>
  </si>
  <si>
    <t>Первое вхождение в композициональном значении</t>
  </si>
  <si>
    <t>. Ну… а ты, бестия, остолбенела, а ты
 не впилась братцу в харю, а ты не раздёрнула ему рыла по уши… [Д. И. Фонвизин. Недоросль (1782)] [омонимия снята]</t>
  </si>
  <si>
    <t>Первое вхождение в некомпозициональном значении</t>
  </si>
  <si>
    <t>Видитъ она, что враги хотятъ прудить ровъ и стрѣляютъ по стѣнамъ. [А. В. Дружинин. Письма иногороднего подписчика о русской журналистике (1850)</t>
  </si>
  <si>
    <t>(pro)noun features</t>
  </si>
  <si>
    <t>verb features</t>
  </si>
  <si>
    <t>part of speech</t>
  </si>
  <si>
    <t>verbal categories</t>
  </si>
  <si>
    <t>quantification</t>
  </si>
  <si>
    <t>cases</t>
  </si>
  <si>
    <t>noun categories</t>
  </si>
  <si>
    <t>polarity</t>
  </si>
  <si>
    <t>clauses and groups</t>
  </si>
  <si>
    <t>pragmatics</t>
  </si>
  <si>
    <t>style</t>
  </si>
  <si>
    <t>semantic classes</t>
  </si>
  <si>
    <t>pronoun features</t>
  </si>
  <si>
    <t>1st person</t>
  </si>
  <si>
    <t>1sg</t>
  </si>
  <si>
    <t>infinitive</t>
  </si>
  <si>
    <t>case</t>
  </si>
  <si>
    <t>in_animacy</t>
  </si>
  <si>
    <t>complement clause</t>
  </si>
  <si>
    <t>obscenity</t>
  </si>
  <si>
    <t>physical action</t>
  </si>
  <si>
    <t>deixis</t>
  </si>
  <si>
    <t>2nd person</t>
  </si>
  <si>
    <t>2sg</t>
  </si>
  <si>
    <t>hortative</t>
  </si>
  <si>
    <t>genitive</t>
  </si>
  <si>
    <t>inanimacy</t>
  </si>
  <si>
    <t>clause</t>
  </si>
  <si>
    <t>physical movement</t>
  </si>
  <si>
    <t>proximity</t>
  </si>
  <si>
    <t>3rd person</t>
  </si>
  <si>
    <t>3sg</t>
  </si>
  <si>
    <t>imperative</t>
  </si>
  <si>
    <t>quantity</t>
  </si>
  <si>
    <t>locative</t>
  </si>
  <si>
    <t>animacy</t>
  </si>
  <si>
    <t>lack of information</t>
  </si>
  <si>
    <t>finite clause</t>
  </si>
  <si>
    <t>parenthetical expression</t>
  </si>
  <si>
    <t>reflexive</t>
  </si>
  <si>
    <t>plural</t>
  </si>
  <si>
    <t>1pl</t>
  </si>
  <si>
    <t>perfective</t>
  </si>
  <si>
    <t>dative</t>
  </si>
  <si>
    <t>refusal</t>
  </si>
  <si>
    <t>predicate</t>
  </si>
  <si>
    <t>indirect speech act</t>
  </si>
  <si>
    <t>PRO</t>
  </si>
  <si>
    <t>singular</t>
  </si>
  <si>
    <t>2pl</t>
  </si>
  <si>
    <t>particle</t>
  </si>
  <si>
    <t>imperfective</t>
  </si>
  <si>
    <t>small quantity</t>
  </si>
  <si>
    <t>agency</t>
  </si>
  <si>
    <t>negation</t>
  </si>
  <si>
    <t>word order</t>
  </si>
  <si>
    <t>offer</t>
  </si>
  <si>
    <t>liquid</t>
  </si>
  <si>
    <t>3pl</t>
  </si>
  <si>
    <t>concessive particle</t>
  </si>
  <si>
    <t>intensity</t>
  </si>
  <si>
    <t>mass noun</t>
  </si>
  <si>
    <t>nominative</t>
  </si>
  <si>
    <t>npi</t>
  </si>
  <si>
    <t xml:space="preserve">discontinuity </t>
  </si>
  <si>
    <t>subject</t>
  </si>
  <si>
    <t>exclamation</t>
  </si>
  <si>
    <t>loss of negative polarity</t>
  </si>
  <si>
    <t>antecedent</t>
  </si>
  <si>
    <t>future tense</t>
  </si>
  <si>
    <t>prohibition</t>
  </si>
  <si>
    <t>consequent</t>
  </si>
  <si>
    <t>double conjunction</t>
  </si>
  <si>
    <t>telicity</t>
  </si>
  <si>
    <t>dialogue</t>
  </si>
  <si>
    <t>narrative</t>
  </si>
  <si>
    <t>conditional</t>
  </si>
  <si>
    <t>scalarity</t>
  </si>
  <si>
    <t>subjunctive</t>
  </si>
  <si>
    <t>mental state</t>
  </si>
  <si>
    <t>exclusiveness</t>
  </si>
  <si>
    <t>present tense</t>
  </si>
  <si>
    <t>они уберутся</t>
  </si>
  <si>
    <t>evidenciality</t>
  </si>
  <si>
    <t>direct evidenciality</t>
  </si>
  <si>
    <t>indirect evidenciality</t>
  </si>
  <si>
    <t>Visual</t>
  </si>
  <si>
    <t>nonvisual</t>
  </si>
  <si>
    <t>Inferential</t>
  </si>
  <si>
    <t>Reportative</t>
  </si>
  <si>
    <t>Distant past</t>
  </si>
  <si>
    <t>Recent past</t>
  </si>
  <si>
    <t>Past</t>
  </si>
  <si>
    <t xml:space="preserve">Present </t>
  </si>
  <si>
    <t>Future</t>
  </si>
  <si>
    <t>Distant future</t>
  </si>
  <si>
    <t>Actionality</t>
  </si>
  <si>
    <t>Attenuative</t>
  </si>
  <si>
    <t>Cumulative</t>
  </si>
  <si>
    <t>Distributive</t>
  </si>
  <si>
    <t>Punctual</t>
  </si>
  <si>
    <t>Saturative</t>
  </si>
  <si>
    <t>Pluractionality</t>
  </si>
  <si>
    <t xml:space="preserve">Alternation </t>
  </si>
  <si>
    <t>Discontinuative</t>
  </si>
  <si>
    <t xml:space="preserve">Frequentative </t>
  </si>
  <si>
    <t>Multiplicative</t>
  </si>
  <si>
    <t xml:space="preserve">Phase of action </t>
  </si>
  <si>
    <t>Inchoative</t>
  </si>
  <si>
    <t>Continuative</t>
  </si>
  <si>
    <t>Terminative</t>
  </si>
  <si>
    <t>Cunctative</t>
  </si>
  <si>
    <t>Achieved Result</t>
  </si>
  <si>
    <t>Conative</t>
  </si>
  <si>
    <t>Addressee</t>
  </si>
  <si>
    <t>Core Addressee</t>
  </si>
  <si>
    <t>Audience</t>
  </si>
  <si>
    <t>Beneficiary</t>
  </si>
  <si>
    <t>Maleficiary</t>
  </si>
  <si>
    <t>Subclass Major Roles</t>
  </si>
  <si>
    <t>Instrument</t>
  </si>
  <si>
    <t>Possession</t>
  </si>
  <si>
    <t>Comitative</t>
  </si>
  <si>
    <t xml:space="preserve">Caritive </t>
  </si>
  <si>
    <t>Spatial expressions</t>
  </si>
  <si>
    <t>Path:Source</t>
  </si>
  <si>
    <t>Path:Goal</t>
  </si>
  <si>
    <t>Path:Route</t>
  </si>
  <si>
    <t>Subclass Logical Relations</t>
  </si>
  <si>
    <t>Cause</t>
  </si>
  <si>
    <t>Purpose</t>
  </si>
  <si>
    <t xml:space="preserve">Consequence </t>
  </si>
  <si>
    <t>Condition</t>
  </si>
  <si>
    <t>Concession</t>
  </si>
  <si>
    <t>Salient property</t>
  </si>
  <si>
    <t>Belonging to a class</t>
  </si>
  <si>
    <t xml:space="preserve">Capacity for an activity </t>
  </si>
  <si>
    <t>Characteristics through specification</t>
  </si>
  <si>
    <t>Domain</t>
  </si>
  <si>
    <t>Essence</t>
  </si>
  <si>
    <t>Experience</t>
  </si>
  <si>
    <t>Functionality</t>
  </si>
  <si>
    <t>Matching the standard</t>
  </si>
  <si>
    <t>Naming</t>
  </si>
  <si>
    <t>Paragon</t>
  </si>
  <si>
    <t>Personal interests</t>
  </si>
  <si>
    <t>Personality</t>
  </si>
  <si>
    <t xml:space="preserve">Property assignment </t>
  </si>
  <si>
    <t>Repeatedly the same</t>
  </si>
  <si>
    <t>Sensory property</t>
  </si>
  <si>
    <t>Spatial characteristics</t>
  </si>
  <si>
    <t>Status</t>
  </si>
  <si>
    <t>Temporal characteristics</t>
  </si>
  <si>
    <t>Temporary characteristics</t>
  </si>
  <si>
    <t xml:space="preserve">Appropriateness </t>
  </si>
  <si>
    <t>Availability</t>
  </si>
  <si>
    <t>Behavior</t>
  </si>
  <si>
    <t>Bodily position</t>
  </si>
  <si>
    <t>Circumstances</t>
  </si>
  <si>
    <t>Context</t>
  </si>
  <si>
    <t>Control</t>
  </si>
  <si>
    <t>Emotional state</t>
  </si>
  <si>
    <t>Matching the norm</t>
  </si>
  <si>
    <t>Physical state</t>
  </si>
  <si>
    <t>Relevance</t>
  </si>
  <si>
    <t>Witnesses</t>
  </si>
  <si>
    <t>Equality</t>
  </si>
  <si>
    <t>Inequality</t>
  </si>
  <si>
    <t xml:space="preserve">Similarity </t>
  </si>
  <si>
    <t xml:space="preserve">Imitation </t>
  </si>
  <si>
    <t>Subclass Sets and Elements</t>
  </si>
  <si>
    <t>Additive</t>
  </si>
  <si>
    <t>Inclusive</t>
  </si>
  <si>
    <t>Еxceptive</t>
  </si>
  <si>
    <t xml:space="preserve">Exclusive </t>
  </si>
  <si>
    <t>Subset</t>
  </si>
  <si>
    <t>Options</t>
  </si>
  <si>
    <t>Quantification</t>
  </si>
  <si>
    <t>Universal</t>
  </si>
  <si>
    <t>Existential</t>
  </si>
  <si>
    <t>Existential: Free Choice</t>
  </si>
  <si>
    <t xml:space="preserve">Proportional </t>
  </si>
  <si>
    <t>Existential: Value judgment quantifier</t>
  </si>
  <si>
    <t>Non-Existence</t>
  </si>
  <si>
    <t>Absence</t>
  </si>
  <si>
    <t>Disappear</t>
  </si>
  <si>
    <t>Unaffected generally</t>
  </si>
  <si>
    <t>Unaffected small portion</t>
  </si>
  <si>
    <t>Subclass Magnitude</t>
  </si>
  <si>
    <t>Measure</t>
  </si>
  <si>
    <t>Calculation</t>
  </si>
  <si>
    <t>Root modality</t>
  </si>
  <si>
    <t xml:space="preserve">Necessity: Internal </t>
  </si>
  <si>
    <t>Necessity: External</t>
  </si>
  <si>
    <t>Permission</t>
  </si>
  <si>
    <t>Epistemic modality</t>
  </si>
  <si>
    <t>High degree of certainty</t>
  </si>
  <si>
    <t>Low degree of certainty</t>
  </si>
  <si>
    <t>Neighborhood of Core Modal Meanings</t>
  </si>
  <si>
    <t>Volition</t>
  </si>
  <si>
    <t>Causation: direct</t>
  </si>
  <si>
    <t>Causation: indirect</t>
  </si>
  <si>
    <t>Threat</t>
  </si>
  <si>
    <t>Request</t>
  </si>
  <si>
    <t>Prohibition</t>
  </si>
  <si>
    <t>Attenuated prohibitive</t>
  </si>
  <si>
    <t>Continuative prohibitive</t>
  </si>
  <si>
    <t>Prohibitive</t>
  </si>
  <si>
    <t>Apprehension</t>
  </si>
  <si>
    <t>Assessment in relation to knowledge</t>
  </si>
  <si>
    <t>General Assessment</t>
  </si>
  <si>
    <t>Capacity and Preferences</t>
  </si>
  <si>
    <t>Emotional Attitude</t>
  </si>
  <si>
    <t>Mental Attitude</t>
  </si>
  <si>
    <t>Polarity of assessment</t>
  </si>
  <si>
    <t>Source of opinion</t>
  </si>
  <si>
    <t>Asking for opinion</t>
  </si>
  <si>
    <t>Expressing opinion</t>
  </si>
  <si>
    <t>SUBJECTIVITY</t>
  </si>
  <si>
    <t>Mirative</t>
  </si>
  <si>
    <t>Discourse structure</t>
  </si>
  <si>
    <t>Clarification</t>
  </si>
  <si>
    <t>Discourse additive</t>
  </si>
  <si>
    <t>Emphasis</t>
  </si>
  <si>
    <t>Sequence</t>
  </si>
  <si>
    <t>Summary</t>
  </si>
  <si>
    <t>Topic</t>
  </si>
  <si>
    <t xml:space="preserve">Topic change </t>
  </si>
  <si>
    <t>Discourse Organization</t>
  </si>
  <si>
    <t>Intersubjectivity</t>
  </si>
  <si>
    <t>Objectivity</t>
  </si>
  <si>
    <t>Source of information</t>
  </si>
  <si>
    <t>Reaction to the previous discourse</t>
  </si>
  <si>
    <t>Agreement</t>
  </si>
  <si>
    <t>Disagreement</t>
  </si>
  <si>
    <t>Doubt</t>
  </si>
  <si>
    <t>Insight</t>
  </si>
  <si>
    <t>Irrelevance</t>
  </si>
  <si>
    <t xml:space="preserve">Self-evidence </t>
  </si>
  <si>
    <t>Surprise</t>
  </si>
  <si>
    <t>Warning</t>
  </si>
  <si>
    <t>Accentuation</t>
  </si>
  <si>
    <t>Routine</t>
  </si>
  <si>
    <t>Apology</t>
  </si>
  <si>
    <t>Conversation support</t>
  </si>
  <si>
    <t>Curse</t>
  </si>
  <si>
    <t>Greeting</t>
  </si>
  <si>
    <t>Kind wishes</t>
  </si>
  <si>
    <t>Oath</t>
  </si>
  <si>
    <t>Parting</t>
  </si>
  <si>
    <t xml:space="preserve">Politeness marker </t>
  </si>
  <si>
    <t>Praise</t>
  </si>
  <si>
    <t>Swearing</t>
  </si>
  <si>
    <t>Thanks</t>
  </si>
  <si>
    <t>Approximator</t>
  </si>
  <si>
    <t>Diminisher</t>
  </si>
  <si>
    <t>Degree of accuracy</t>
  </si>
  <si>
    <t>Approximate</t>
  </si>
  <si>
    <t>Exact</t>
  </si>
  <si>
    <t>Noun</t>
  </si>
  <si>
    <t>NumColl</t>
  </si>
  <si>
    <t>NumCrd</t>
  </si>
  <si>
    <t>NumOrd</t>
  </si>
  <si>
    <t>PronDem</t>
  </si>
  <si>
    <t>PronPers</t>
  </si>
  <si>
    <t>PronPoss</t>
  </si>
  <si>
    <t>Aux</t>
  </si>
  <si>
    <t>Bare</t>
  </si>
  <si>
    <t>Cop</t>
  </si>
  <si>
    <t>Cvb</t>
  </si>
  <si>
    <t>Inf</t>
  </si>
  <si>
    <t>PtcpAct</t>
  </si>
  <si>
    <t>PtcpPass</t>
  </si>
  <si>
    <t>Verb</t>
  </si>
  <si>
    <t>Intj</t>
  </si>
  <si>
    <t>Prep</t>
  </si>
  <si>
    <t>Cconj</t>
  </si>
  <si>
    <t>Sconj</t>
  </si>
  <si>
    <t>(пусто)</t>
  </si>
  <si>
    <t>Общий итог</t>
  </si>
  <si>
    <r>
      <rPr>
        <u/>
        <sz val="10"/>
        <color rgb="FF1155CC"/>
        <rFont val="Arial"/>
        <family val="2"/>
        <charset val="204"/>
        <scheme val="minor"/>
      </rPr>
      <t>N-Gen.Pl</t>
    </r>
    <r>
      <rPr>
        <sz val="10"/>
        <color rgb="FF000000"/>
        <rFont val="Arial"/>
        <family val="2"/>
        <charset val="204"/>
        <scheme val="minor"/>
      </rPr>
      <t xml:space="preserve"> Cop (хоть) пруд пруди</t>
    </r>
  </si>
  <si>
    <r>
      <t xml:space="preserve">PART N-Acc </t>
    </r>
    <r>
      <rPr>
        <sz val="10"/>
        <color rgb="FF000000"/>
        <rFont val="Arial"/>
        <family val="2"/>
        <charset val="204"/>
        <scheme val="minor"/>
      </rPr>
      <t>V-Imper.Sg</t>
    </r>
  </si>
  <si>
    <t>horse-Nom.Sg not wallow-Pst.3Sg</t>
  </si>
  <si>
    <r>
      <t>PART PREP</t>
    </r>
    <r>
      <rPr>
        <sz val="10"/>
        <color rgb="FF000000"/>
        <rFont val="Arial"/>
        <family val="2"/>
        <charset val="204"/>
        <scheme val="minor"/>
      </rPr>
      <t xml:space="preserve"> N-Dat.S</t>
    </r>
    <r>
      <rPr>
        <sz val="10"/>
        <color theme="1"/>
        <rFont val="Arial"/>
        <family val="2"/>
        <charset val="204"/>
        <scheme val="minor"/>
      </rPr>
      <t>g</t>
    </r>
  </si>
  <si>
    <r>
      <t xml:space="preserve">not to </t>
    </r>
    <r>
      <rPr>
        <sz val="10"/>
        <color rgb="FF000000"/>
        <rFont val="Arial"/>
        <family val="2"/>
        <charset val="204"/>
        <scheme val="minor"/>
      </rPr>
      <t>face-Dat.Sg</t>
    </r>
  </si>
  <si>
    <r>
      <rPr>
        <sz val="10"/>
        <color rgb="FF000000"/>
        <rFont val="Arial"/>
        <family val="2"/>
        <charset val="204"/>
        <scheme val="minor"/>
      </rPr>
      <t>finger-Instr.Sg</t>
    </r>
    <r>
      <rPr>
        <sz val="10"/>
        <color theme="1"/>
        <rFont val="Arial"/>
        <family val="2"/>
        <charset val="204"/>
        <scheme val="minor"/>
      </rPr>
      <t xml:space="preserve"> not move</t>
    </r>
  </si>
  <si>
    <r>
      <rPr>
        <u/>
        <sz val="10"/>
        <color rgb="FF1155CC"/>
        <rFont val="Arial"/>
        <family val="2"/>
        <charset val="204"/>
        <scheme val="minor"/>
      </rPr>
      <t>Noun-Nom.Sg</t>
    </r>
    <r>
      <rPr>
        <sz val="10"/>
        <rFont val="Arial"/>
        <family val="2"/>
        <charset val="204"/>
        <scheme val="minor"/>
      </rPr>
      <t xml:space="preserve"> Conj </t>
    </r>
    <r>
      <rPr>
        <u/>
        <sz val="10"/>
        <color rgb="FF1155CC"/>
        <rFont val="Arial"/>
        <family val="2"/>
        <charset val="204"/>
        <scheme val="minor"/>
      </rPr>
      <t>Noun-Nom.Sg</t>
    </r>
  </si>
  <si>
    <t>court-Nom.Sg and trial-Nom.Sg</t>
  </si>
  <si>
    <r>
      <rPr>
        <sz val="10"/>
        <rFont val="Arial"/>
        <family val="2"/>
        <charset val="204"/>
        <scheme val="minor"/>
      </rPr>
      <t xml:space="preserve">Noun-NOM.Sg Prep </t>
    </r>
    <r>
      <rPr>
        <u/>
        <sz val="10"/>
        <color rgb="FF1155CC"/>
        <rFont val="Arial"/>
        <family val="2"/>
        <charset val="204"/>
        <scheme val="minor"/>
      </rPr>
      <t>Noun-Gen.Sg</t>
    </r>
  </si>
  <si>
    <r>
      <t xml:space="preserve">day-Nom.Sg from </t>
    </r>
    <r>
      <rPr>
        <sz val="10"/>
        <color rgb="FF000000"/>
        <rFont val="Arial"/>
        <family val="2"/>
        <charset val="204"/>
        <scheme val="minor"/>
      </rPr>
      <t>day-Gen.Sg</t>
    </r>
  </si>
  <si>
    <r>
      <t xml:space="preserve">VP/NP до победного </t>
    </r>
    <r>
      <rPr>
        <b/>
        <sz val="10"/>
        <color theme="1"/>
        <rFont val="Arial"/>
        <family val="2"/>
        <charset val="204"/>
        <scheme val="minor"/>
      </rPr>
      <t>Noun-Gen</t>
    </r>
    <r>
      <rPr>
        <sz val="10"/>
        <color theme="1"/>
        <rFont val="Arial"/>
        <family val="2"/>
        <charset val="204"/>
        <scheme val="minor"/>
      </rPr>
      <t xml:space="preserve">
VP/NP до победного
до NP победного </t>
    </r>
    <r>
      <rPr>
        <b/>
        <sz val="10"/>
        <color theme="1"/>
        <rFont val="Arial"/>
        <family val="2"/>
        <charset val="204"/>
        <scheme val="minor"/>
      </rPr>
      <t xml:space="preserve">Noun-Gen
</t>
    </r>
    <r>
      <rPr>
        <sz val="10"/>
        <color theme="1"/>
        <rFont val="Arial"/>
        <family val="2"/>
        <charset val="204"/>
        <scheme val="minor"/>
      </rPr>
      <t xml:space="preserve">до NP победного
</t>
    </r>
    <r>
      <rPr>
        <b/>
        <sz val="10"/>
        <color theme="1"/>
        <rFont val="Arial"/>
        <family val="2"/>
        <charset val="204"/>
        <scheme val="minor"/>
      </rPr>
      <t>Noun-Gen:</t>
    </r>
    <r>
      <rPr>
        <sz val="10"/>
        <color theme="1"/>
        <rFont val="Arial"/>
        <family val="2"/>
        <charset val="204"/>
        <scheme val="minor"/>
      </rPr>
      <t xml:space="preserve"> конца, раунда, хруста, финала, дня, мая, трындеца, результата, майского дня, отчета, завершения, шествия, финиша, окончания, шествия, возвращения, часа, разгрома, битв, реляций, салютов, удара, исхода, края, года, формата, скрипа и мяча</t>
    </r>
  </si>
  <si>
    <r>
      <rPr>
        <u/>
        <sz val="10"/>
        <color rgb="FF1155CC"/>
        <rFont val="Arial"/>
        <family val="2"/>
        <charset val="204"/>
        <scheme val="minor"/>
      </rPr>
      <t>NP-Nom похож на</t>
    </r>
    <r>
      <rPr>
        <sz val="10"/>
        <rFont val="Arial"/>
        <family val="2"/>
        <charset val="204"/>
        <scheme val="minor"/>
      </rPr>
      <t xml:space="preserve"> </t>
    </r>
    <r>
      <rPr>
        <u/>
        <sz val="10"/>
        <color rgb="FF1155CC"/>
        <rFont val="Arial"/>
        <family val="2"/>
        <charset val="204"/>
        <scheme val="minor"/>
      </rPr>
      <t>NP-Gen</t>
    </r>
    <r>
      <rPr>
        <sz val="10"/>
        <rFont val="Arial"/>
        <family val="2"/>
        <charset val="204"/>
        <scheme val="minor"/>
      </rPr>
      <t xml:space="preserve"> как две капли (воды) </t>
    </r>
  </si>
  <si>
    <r>
      <rPr>
        <sz val="10"/>
        <rFont val="Arial"/>
        <family val="2"/>
        <charset val="204"/>
        <scheme val="minor"/>
      </rPr>
      <t xml:space="preserve">like </t>
    </r>
    <r>
      <rPr>
        <u/>
        <sz val="10"/>
        <color rgb="FF1155CC"/>
        <rFont val="Arial"/>
        <family val="2"/>
        <charset val="204"/>
        <scheme val="minor"/>
      </rPr>
      <t>two-Nom.Pl</t>
    </r>
    <r>
      <rPr>
        <sz val="10"/>
        <rFont val="Arial"/>
        <family val="2"/>
        <charset val="204"/>
        <scheme val="minor"/>
      </rPr>
      <t xml:space="preserve"> drops-Nom.Pl</t>
    </r>
  </si>
  <si>
    <r>
      <t xml:space="preserve">between </t>
    </r>
    <r>
      <rPr>
        <sz val="10"/>
        <color rgb="FF000000"/>
        <rFont val="Arial"/>
        <family val="2"/>
        <charset val="204"/>
        <scheme val="minor"/>
      </rPr>
      <t>that-Ins.Sg</t>
    </r>
  </si>
  <si>
    <r>
      <t xml:space="preserve">NEG по </t>
    </r>
    <r>
      <rPr>
        <sz val="10"/>
        <color rgb="FF000000"/>
        <rFont val="Arial"/>
        <family val="2"/>
        <charset val="204"/>
        <scheme val="minor"/>
      </rPr>
      <t>Noun-Dat.Pl</t>
    </r>
  </si>
  <si>
    <r>
      <t xml:space="preserve">not by </t>
    </r>
    <r>
      <rPr>
        <sz val="10"/>
        <color rgb="FF000000"/>
        <rFont val="Arial"/>
        <family val="2"/>
        <charset val="204"/>
        <scheme val="minor"/>
      </rPr>
      <t>year-Dat.Pl</t>
    </r>
  </si>
  <si>
    <r>
      <rPr>
        <sz val="10"/>
        <color rgb="FF000000"/>
        <rFont val="Arial"/>
        <family val="2"/>
        <charset val="204"/>
        <scheme val="minor"/>
      </rPr>
      <t>Noun-Nom.Sg</t>
    </r>
    <r>
      <rPr>
        <sz val="10"/>
        <color theme="1"/>
        <rFont val="Arial"/>
        <family val="2"/>
        <charset val="204"/>
        <scheme val="minor"/>
      </rPr>
      <t xml:space="preserve"> Preposition </t>
    </r>
    <r>
      <rPr>
        <sz val="10"/>
        <color rgb="FF000000"/>
        <rFont val="Arial"/>
        <family val="2"/>
        <charset val="204"/>
        <scheme val="minor"/>
      </rPr>
      <t>Noun-Gen.Sg</t>
    </r>
  </si>
  <si>
    <r>
      <t xml:space="preserve">hour-Nom.Sg from </t>
    </r>
    <r>
      <rPr>
        <sz val="10"/>
        <color rgb="FF000000"/>
        <rFont val="Arial"/>
        <family val="2"/>
        <charset val="204"/>
        <scheme val="minor"/>
      </rPr>
      <t>hour-Gen.Sg</t>
    </r>
  </si>
  <si>
    <r>
      <t xml:space="preserve">Prep Noun-Gen.Sg Prep </t>
    </r>
    <r>
      <rPr>
        <sz val="10"/>
        <color rgb="FF000000"/>
        <rFont val="Arial"/>
        <family val="2"/>
        <charset val="204"/>
        <scheme val="minor"/>
      </rPr>
      <t>Noun-Acc.Sg</t>
    </r>
  </si>
  <si>
    <r>
      <t xml:space="preserve">Prep </t>
    </r>
    <r>
      <rPr>
        <sz val="10"/>
        <color rgb="FF000000"/>
        <rFont val="Arial"/>
        <family val="2"/>
        <charset val="204"/>
        <scheme val="minor"/>
      </rPr>
      <t>Noun-Gen.Sg</t>
    </r>
  </si>
  <si>
    <r>
      <t xml:space="preserve">Prep PronDem-N.Acc.Sg Part </t>
    </r>
    <r>
      <rPr>
        <sz val="10"/>
        <color rgb="FF000000"/>
        <rFont val="Arial"/>
        <family val="2"/>
        <charset val="204"/>
        <scheme val="minor"/>
      </rPr>
      <t>Noun-Acc.Sg</t>
    </r>
  </si>
  <si>
    <r>
      <t xml:space="preserve">в тот-N.Acc.Sg </t>
    </r>
    <r>
      <rPr>
        <b/>
        <sz val="10"/>
        <color theme="1"/>
        <rFont val="Arial"/>
        <family val="2"/>
        <charset val="204"/>
        <scheme val="minor"/>
      </rPr>
      <t>же</t>
    </r>
    <r>
      <rPr>
        <sz val="10"/>
        <color theme="1"/>
        <rFont val="Arial"/>
        <family val="2"/>
        <charset val="204"/>
        <scheme val="minor"/>
      </rPr>
      <t xml:space="preserve"> время-Acc.Sg</t>
    </r>
  </si>
  <si>
    <r>
      <t xml:space="preserve">at </t>
    </r>
    <r>
      <rPr>
        <b/>
        <sz val="10"/>
        <color theme="1"/>
        <rFont val="Arial"/>
        <family val="2"/>
        <charset val="204"/>
        <scheme val="minor"/>
      </rPr>
      <t>the</t>
    </r>
    <r>
      <rPr>
        <sz val="10"/>
        <color theme="1"/>
        <rFont val="Arial"/>
        <family val="2"/>
        <charset val="204"/>
        <scheme val="minor"/>
      </rPr>
      <t xml:space="preserve"> same-N.Acc.Sg time-Acc.Sg</t>
    </r>
  </si>
  <si>
    <r>
      <t xml:space="preserve">PREP </t>
    </r>
    <r>
      <rPr>
        <sz val="10"/>
        <color rgb="FF000000"/>
        <rFont val="Arial"/>
        <family val="2"/>
        <charset val="204"/>
        <scheme val="minor"/>
      </rPr>
      <t>N-Gen.Pl</t>
    </r>
  </si>
  <si>
    <r>
      <t xml:space="preserve">without </t>
    </r>
    <r>
      <rPr>
        <sz val="10"/>
        <color rgb="FF000000"/>
        <rFont val="Arial"/>
        <family val="2"/>
        <charset val="204"/>
        <scheme val="minor"/>
      </rPr>
      <t>fool-gen.pl</t>
    </r>
  </si>
  <si>
    <r>
      <t xml:space="preserve">SCONJ PART </t>
    </r>
    <r>
      <rPr>
        <sz val="10"/>
        <color rgb="FF000000"/>
        <rFont val="Arial"/>
        <family val="2"/>
        <charset val="204"/>
        <scheme val="minor"/>
      </rPr>
      <t>V-Imper.Sg</t>
    </r>
  </si>
  <si>
    <r>
      <t xml:space="preserve">SCONJ PART </t>
    </r>
    <r>
      <rPr>
        <u/>
        <sz val="10"/>
        <color rgb="FF1155CC"/>
        <rFont val="Arial"/>
        <family val="2"/>
        <charset val="204"/>
        <scheme val="minor"/>
      </rPr>
      <t>V-Imper.Sg</t>
    </r>
  </si>
  <si>
    <r>
      <t xml:space="preserve">where not </t>
    </r>
    <r>
      <rPr>
        <sz val="10"/>
        <color rgb="FF000000"/>
        <rFont val="Arial"/>
        <family val="2"/>
        <charset val="204"/>
        <scheme val="minor"/>
      </rPr>
      <t>throw-Imper.Sg</t>
    </r>
  </si>
  <si>
    <t>N-Dat.Sg по адресу</t>
  </si>
  <si>
    <r>
      <rPr>
        <sz val="10"/>
        <rFont val="Arial"/>
        <family val="2"/>
        <charset val="204"/>
        <scheme val="minor"/>
      </rPr>
      <t xml:space="preserve">Prep </t>
    </r>
    <r>
      <rPr>
        <u/>
        <sz val="10"/>
        <color rgb="FF1155CC"/>
        <rFont val="Arial"/>
        <family val="2"/>
        <charset val="204"/>
        <scheme val="minor"/>
      </rPr>
      <t>N-Dat.Sg</t>
    </r>
  </si>
  <si>
    <r>
      <rPr>
        <sz val="10"/>
        <rFont val="Arial"/>
        <family val="2"/>
        <charset val="204"/>
        <scheme val="minor"/>
      </rPr>
      <t xml:space="preserve">by the </t>
    </r>
    <r>
      <rPr>
        <u/>
        <sz val="10"/>
        <color rgb="FF1155CC"/>
        <rFont val="Arial"/>
        <family val="2"/>
        <charset val="204"/>
        <scheme val="minor"/>
      </rPr>
      <t>adressee - Dat.Sg</t>
    </r>
  </si>
  <si>
    <r>
      <t xml:space="preserve">From hour-Gen.Sg to </t>
    </r>
    <r>
      <rPr>
        <sz val="10"/>
        <color rgb="FF000000"/>
        <rFont val="Arial"/>
        <family val="2"/>
        <charset val="204"/>
        <scheme val="minor"/>
      </rPr>
      <t>hour-Acc.Sg</t>
    </r>
  </si>
  <si>
    <r>
      <t xml:space="preserve">Prep </t>
    </r>
    <r>
      <rPr>
        <sz val="10"/>
        <color rgb="FF000000"/>
        <rFont val="Arial"/>
        <family val="2"/>
        <charset val="204"/>
        <scheme val="minor"/>
      </rPr>
      <t>N-Acc.Pl</t>
    </r>
  </si>
  <si>
    <r>
      <t xml:space="preserve">to </t>
    </r>
    <r>
      <rPr>
        <sz val="10"/>
        <color rgb="FF000000"/>
        <rFont val="Arial"/>
        <family val="2"/>
        <charset val="204"/>
        <scheme val="minor"/>
      </rPr>
      <t>ears-Acc.Pl</t>
    </r>
  </si>
  <si>
    <r>
      <t xml:space="preserve">Prep </t>
    </r>
    <r>
      <rPr>
        <sz val="10"/>
        <color rgb="FF000000"/>
        <rFont val="Arial"/>
        <family val="2"/>
        <charset val="204"/>
        <scheme val="minor"/>
      </rPr>
      <t>Noun-Ins.Sg</t>
    </r>
  </si>
  <si>
    <r>
      <t xml:space="preserve">over </t>
    </r>
    <r>
      <rPr>
        <sz val="10"/>
        <color rgb="FF000000"/>
        <rFont val="Arial"/>
        <family val="2"/>
        <charset val="204"/>
        <scheme val="minor"/>
      </rPr>
      <t>soul-Ins.Sg</t>
    </r>
  </si>
  <si>
    <r>
      <t xml:space="preserve">(PART) Prep PrnPoss </t>
    </r>
    <r>
      <rPr>
        <u/>
        <sz val="10"/>
        <color rgb="FF1155CC"/>
        <rFont val="Arial"/>
        <family val="2"/>
        <charset val="204"/>
        <scheme val="minor"/>
      </rPr>
      <t>N-Acc.Sg</t>
    </r>
  </si>
  <si>
    <r>
      <t xml:space="preserve">(только) через </t>
    </r>
    <r>
      <rPr>
        <sz val="10"/>
        <color rgb="FF000000"/>
        <rFont val="Arial"/>
        <family val="2"/>
        <charset val="204"/>
        <scheme val="minor"/>
      </rPr>
      <t>PrnPoss-Acc.sg</t>
    </r>
    <r>
      <rPr>
        <sz val="10"/>
        <color theme="1"/>
        <rFont val="Arial"/>
        <family val="2"/>
        <charset val="204"/>
        <scheme val="minor"/>
      </rPr>
      <t>.m труп-Acc.Sg</t>
    </r>
  </si>
  <si>
    <r>
      <t xml:space="preserve">(only) through PrnPoss-Acc.sg.m </t>
    </r>
    <r>
      <rPr>
        <sz val="10"/>
        <color rgb="FF000000"/>
        <rFont val="Arial"/>
        <family val="2"/>
        <charset val="204"/>
        <scheme val="minor"/>
      </rPr>
      <t>corpse-Acc.Sg</t>
    </r>
  </si>
  <si>
    <r>
      <t xml:space="preserve">Prep </t>
    </r>
    <r>
      <rPr>
        <sz val="10"/>
        <color rgb="FF000000"/>
        <rFont val="Arial"/>
        <family val="2"/>
        <charset val="204"/>
        <scheme val="minor"/>
      </rPr>
      <t>N-Acc.Sg</t>
    </r>
  </si>
  <si>
    <r>
      <rPr>
        <sz val="10"/>
        <rFont val="Arial"/>
        <family val="2"/>
        <charset val="204"/>
        <scheme val="minor"/>
      </rPr>
      <t xml:space="preserve">porridge-Gen.Sg not </t>
    </r>
    <r>
      <rPr>
        <u/>
        <sz val="10"/>
        <color rgb="FF1155CC"/>
        <rFont val="Arial"/>
        <family val="2"/>
        <charset val="204"/>
        <scheme val="minor"/>
      </rPr>
      <t>cook-2Sg</t>
    </r>
  </si>
  <si>
    <r>
      <t xml:space="preserve">what </t>
    </r>
    <r>
      <rPr>
        <sz val="10"/>
        <color rgb="FF000000"/>
        <rFont val="Arial"/>
        <family val="2"/>
        <charset val="204"/>
        <scheme val="minor"/>
      </rPr>
      <t>want-Prs.2.Sg</t>
    </r>
  </si>
  <si>
    <r>
      <t xml:space="preserve">Prep </t>
    </r>
    <r>
      <rPr>
        <sz val="10"/>
        <color rgb="FF000000"/>
        <rFont val="Arial"/>
        <family val="2"/>
        <charset val="204"/>
        <scheme val="minor"/>
      </rPr>
      <t>N-Gen.Sg</t>
    </r>
    <r>
      <rPr>
        <sz val="10"/>
        <color theme="1"/>
        <rFont val="Arial"/>
        <family val="2"/>
        <charset val="204"/>
        <scheme val="minor"/>
      </rPr>
      <t xml:space="preserve"> Prep N-Gen.Sg.</t>
    </r>
  </si>
  <si>
    <r>
      <t xml:space="preserve">from </t>
    </r>
    <r>
      <rPr>
        <sz val="10"/>
        <color rgb="FF000000"/>
        <rFont val="Arial"/>
        <family val="2"/>
        <charset val="204"/>
        <scheme val="minor"/>
      </rPr>
      <t>crust-Gen.Sg</t>
    </r>
    <r>
      <rPr>
        <sz val="10"/>
        <color theme="1"/>
        <rFont val="Arial"/>
        <family val="2"/>
        <charset val="204"/>
        <scheme val="minor"/>
      </rPr>
      <t xml:space="preserve"> to </t>
    </r>
    <r>
      <rPr>
        <sz val="10"/>
        <color rgb="FF000000"/>
        <rFont val="Arial"/>
        <family val="2"/>
        <charset val="204"/>
        <scheme val="minor"/>
      </rPr>
      <t>crust-Gen.Sg</t>
    </r>
    <r>
      <rPr>
        <sz val="10"/>
        <color theme="1"/>
        <rFont val="Arial"/>
        <family val="2"/>
        <charset val="204"/>
        <scheme val="minor"/>
      </rPr>
      <t>.</t>
    </r>
  </si>
  <si>
    <r>
      <t xml:space="preserve">VP/NP на </t>
    </r>
    <r>
      <rPr>
        <b/>
        <sz val="10"/>
        <color theme="1"/>
        <rFont val="Arial"/>
        <family val="2"/>
        <charset val="204"/>
        <scheme val="minor"/>
      </rPr>
      <t>Noun-Acc</t>
    </r>
    <r>
      <rPr>
        <sz val="10"/>
        <color theme="1"/>
        <rFont val="Arial"/>
        <family val="2"/>
        <charset val="204"/>
        <scheme val="minor"/>
      </rPr>
      <t xml:space="preserve"> глядя
VP/NP глядя на </t>
    </r>
    <r>
      <rPr>
        <b/>
        <sz val="10"/>
        <color theme="1"/>
        <rFont val="Arial"/>
        <family val="2"/>
        <charset val="204"/>
        <scheme val="minor"/>
      </rPr>
      <t>Noun-Acc</t>
    </r>
    <r>
      <rPr>
        <sz val="10"/>
        <color theme="1"/>
        <rFont val="Arial"/>
        <family val="2"/>
        <charset val="204"/>
        <scheme val="minor"/>
      </rPr>
      <t xml:space="preserve">
</t>
    </r>
    <r>
      <rPr>
        <b/>
        <sz val="10"/>
        <color theme="1"/>
        <rFont val="Arial"/>
        <family val="2"/>
        <charset val="204"/>
        <scheme val="minor"/>
      </rPr>
      <t>Noun-Acc</t>
    </r>
    <r>
      <rPr>
        <sz val="10"/>
        <color theme="1"/>
        <rFont val="Arial"/>
        <family val="2"/>
        <charset val="204"/>
        <scheme val="minor"/>
      </rPr>
      <t>: ночь, вечер, осень, зима, лето, старость, смерть, сон</t>
    </r>
  </si>
  <si>
    <r>
      <t xml:space="preserve">Prep </t>
    </r>
    <r>
      <rPr>
        <sz val="10"/>
        <color rgb="FF000000"/>
        <rFont val="Arial"/>
        <family val="2"/>
        <charset val="204"/>
        <scheme val="minor"/>
      </rPr>
      <t>Noun-Dat.Pl</t>
    </r>
  </si>
  <si>
    <r>
      <t xml:space="preserve">to </t>
    </r>
    <r>
      <rPr>
        <sz val="10"/>
        <color rgb="FF000000"/>
        <rFont val="Arial"/>
        <family val="2"/>
        <charset val="204"/>
        <scheme val="minor"/>
      </rPr>
      <t>anchestor-Dat.Pl</t>
    </r>
  </si>
  <si>
    <r>
      <t xml:space="preserve">Prep </t>
    </r>
    <r>
      <rPr>
        <sz val="10"/>
        <color rgb="FF000000"/>
        <rFont val="Arial"/>
        <family val="2"/>
        <charset val="204"/>
        <scheme val="minor"/>
      </rPr>
      <t>N-Loc.Sg</t>
    </r>
  </si>
  <si>
    <r>
      <t>NP-Nom ― yesterday'</t>
    </r>
    <r>
      <rPr>
        <sz val="10"/>
        <color rgb="FF000000"/>
        <rFont val="Arial"/>
        <family val="2"/>
        <charset val="204"/>
        <scheme val="minor"/>
      </rPr>
      <t>s-M.Sg</t>
    </r>
    <r>
      <rPr>
        <sz val="10"/>
        <color theme="1"/>
        <rFont val="Arial"/>
        <family val="2"/>
        <charset val="204"/>
        <scheme val="minor"/>
      </rPr>
      <t xml:space="preserve"> day-Sg</t>
    </r>
  </si>
  <si>
    <r>
      <t xml:space="preserve">Pron-Acc.Sg PART </t>
    </r>
    <r>
      <rPr>
        <sz val="10"/>
        <color rgb="FF000000"/>
        <rFont val="Arial"/>
        <family val="2"/>
        <charset val="204"/>
        <scheme val="minor"/>
      </rPr>
      <t>Noun-Acc.Sg</t>
    </r>
  </si>
  <si>
    <r>
      <t xml:space="preserve">this-Acc.Sg very </t>
    </r>
    <r>
      <rPr>
        <sz val="10"/>
        <color rgb="FF000000"/>
        <rFont val="Arial"/>
        <family val="2"/>
        <charset val="204"/>
        <scheme val="minor"/>
      </rPr>
      <t>minute-Acc.Sg</t>
    </r>
  </si>
  <si>
    <r>
      <t xml:space="preserve">V NP Prep </t>
    </r>
    <r>
      <rPr>
        <sz val="10"/>
        <color rgb="FF000000"/>
        <rFont val="Arial"/>
        <family val="2"/>
        <charset val="204"/>
        <scheme val="minor"/>
      </rPr>
      <t>N-Acc.Sg</t>
    </r>
    <r>
      <rPr>
        <sz val="10"/>
        <color theme="1"/>
        <rFont val="Arial"/>
        <family val="2"/>
        <charset val="204"/>
        <scheme val="minor"/>
      </rPr>
      <t xml:space="preserve">. </t>
    </r>
    <r>
      <rPr>
        <sz val="10"/>
        <color rgb="FF000000"/>
        <rFont val="Arial"/>
        <family val="2"/>
        <charset val="204"/>
        <scheme val="minor"/>
      </rPr>
      <t>N-Gen.Sg</t>
    </r>
  </si>
  <si>
    <r>
      <t xml:space="preserve">put NP in </t>
    </r>
    <r>
      <rPr>
        <sz val="10"/>
        <color rgb="FF000000"/>
        <rFont val="Arial"/>
        <family val="2"/>
        <charset val="204"/>
        <scheme val="minor"/>
      </rPr>
      <t xml:space="preserve"> head</t>
    </r>
    <r>
      <rPr>
        <sz val="10"/>
        <color theme="1"/>
        <rFont val="Arial"/>
        <family val="2"/>
        <charset val="204"/>
        <scheme val="minor"/>
      </rPr>
      <t>-</t>
    </r>
    <r>
      <rPr>
        <sz val="10"/>
        <color rgb="FF000000"/>
        <rFont val="Arial"/>
        <family val="2"/>
        <charset val="204"/>
        <scheme val="minor"/>
      </rPr>
      <t>Acc.Sg corner</t>
    </r>
    <r>
      <rPr>
        <sz val="10"/>
        <color theme="1"/>
        <rFont val="Arial"/>
        <family val="2"/>
        <charset val="204"/>
        <scheme val="minor"/>
      </rPr>
      <t>-Gen.Sg (NP-Gen)</t>
    </r>
  </si>
  <si>
    <r>
      <t xml:space="preserve">PREP </t>
    </r>
    <r>
      <rPr>
        <sz val="10"/>
        <color rgb="FF000000"/>
        <rFont val="Arial"/>
        <family val="2"/>
        <charset val="204"/>
        <scheme val="minor"/>
      </rPr>
      <t>N-Gen.Sg</t>
    </r>
  </si>
  <si>
    <r>
      <t xml:space="preserve">until </t>
    </r>
    <r>
      <rPr>
        <sz val="10"/>
        <color rgb="FF000000"/>
        <rFont val="Arial"/>
        <family val="2"/>
        <charset val="204"/>
        <scheme val="minor"/>
      </rPr>
      <t>stop-Gen.Sg</t>
    </r>
  </si>
  <si>
    <r>
      <t xml:space="preserve">not </t>
    </r>
    <r>
      <rPr>
        <sz val="10"/>
        <color rgb="FF000000"/>
        <rFont val="Arial"/>
        <family val="2"/>
        <charset val="204"/>
        <scheme val="minor"/>
      </rPr>
      <t>fish-Nom.Sg</t>
    </r>
    <r>
      <rPr>
        <sz val="10"/>
        <color theme="1"/>
        <rFont val="Arial"/>
        <family val="2"/>
        <charset val="204"/>
        <scheme val="minor"/>
      </rPr>
      <t xml:space="preserve"> not </t>
    </r>
    <r>
      <rPr>
        <sz val="10"/>
        <color rgb="FF000000"/>
        <rFont val="Arial"/>
        <family val="2"/>
        <charset val="204"/>
        <scheme val="minor"/>
      </rPr>
      <t>meat-Nom.Sg</t>
    </r>
  </si>
  <si>
    <r>
      <rPr>
        <u/>
        <sz val="10"/>
        <color rgb="FF1155CC"/>
        <rFont val="Arial"/>
        <family val="2"/>
        <charset val="204"/>
        <scheme val="minor"/>
      </rPr>
      <t>beaten-Acc.Sg</t>
    </r>
    <r>
      <rPr>
        <sz val="10"/>
        <rFont val="Arial"/>
        <family val="2"/>
        <charset val="204"/>
        <scheme val="minor"/>
      </rPr>
      <t xml:space="preserve"> hour-Acc.Sg</t>
    </r>
  </si>
  <si>
    <r>
      <t xml:space="preserve">ni </t>
    </r>
    <r>
      <rPr>
        <sz val="10"/>
        <color rgb="FF000000"/>
        <rFont val="Arial"/>
        <family val="2"/>
        <charset val="204"/>
        <scheme val="minor"/>
      </rPr>
      <t>shame-Gen.Sg</t>
    </r>
    <r>
      <rPr>
        <sz val="10"/>
        <color theme="1"/>
        <rFont val="Arial"/>
        <family val="2"/>
        <charset val="204"/>
        <scheme val="minor"/>
      </rPr>
      <t xml:space="preserve"> ni </t>
    </r>
    <r>
      <rPr>
        <sz val="10"/>
        <color rgb="FF000000"/>
        <rFont val="Arial"/>
        <family val="2"/>
        <charset val="204"/>
        <scheme val="minor"/>
      </rPr>
      <t>conscience-Gen.Sg</t>
    </r>
  </si>
  <si>
    <r>
      <rPr>
        <sz val="10"/>
        <rFont val="Arial"/>
        <family val="2"/>
        <charset val="204"/>
        <scheme val="minor"/>
      </rPr>
      <t xml:space="preserve">NEG PREP </t>
    </r>
    <r>
      <rPr>
        <u/>
        <sz val="10"/>
        <color rgb="FF1155CC"/>
        <rFont val="Arial"/>
        <family val="2"/>
        <charset val="204"/>
        <scheme val="minor"/>
      </rPr>
      <t>PronDem-Gen.Sg</t>
    </r>
  </si>
  <si>
    <r>
      <t xml:space="preserve">not </t>
    </r>
    <r>
      <rPr>
        <sz val="10"/>
        <color rgb="FF000000"/>
        <rFont val="Arial"/>
        <family val="2"/>
        <charset val="204"/>
        <scheme val="minor"/>
      </rPr>
      <t>once-Dat.Sg</t>
    </r>
    <r>
      <rPr>
        <sz val="10"/>
        <color theme="1"/>
        <rFont val="Arial"/>
        <family val="2"/>
        <charset val="204"/>
        <scheme val="minor"/>
      </rPr>
      <t xml:space="preserve"> not</t>
    </r>
  </si>
  <si>
    <r>
      <t xml:space="preserve">NEG </t>
    </r>
    <r>
      <rPr>
        <sz val="10"/>
        <color rgb="FF000000"/>
        <rFont val="Arial"/>
        <family val="2"/>
        <charset val="204"/>
        <scheme val="minor"/>
      </rPr>
      <t>N-Gen.Sg</t>
    </r>
  </si>
  <si>
    <r>
      <t xml:space="preserve">СConj N-Gen.Sg СConj </t>
    </r>
    <r>
      <rPr>
        <sz val="10"/>
        <color rgb="FF000000"/>
        <rFont val="Arial"/>
        <family val="2"/>
        <charset val="204"/>
        <scheme val="minor"/>
      </rPr>
      <t>N-Gen.Sg</t>
    </r>
  </si>
  <si>
    <r>
      <t xml:space="preserve">Part V-Imper.3Sg </t>
    </r>
    <r>
      <rPr>
        <sz val="10"/>
        <color rgb="FF000000"/>
        <rFont val="Arial"/>
        <family val="2"/>
        <charset val="204"/>
        <scheme val="minor"/>
      </rPr>
      <t>Noun-Nom.Sg</t>
    </r>
  </si>
  <si>
    <t>loss of anchor component</t>
  </si>
  <si>
    <t>loss of inner syntax component</t>
  </si>
  <si>
    <t>loss of outer syntax component</t>
  </si>
  <si>
    <t>construction formula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</si>
</sst>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 m\,\ yyyy"/>
    <numFmt numFmtId="165" formatCode="dd\.mm\.yyyy"/>
  </numFmts>
  <fonts count="78">
    <font>
      <sz val="10"/>
      <color rgb="FF000000"/>
      <name val="Arial"/>
      <scheme val="minor"/>
    </font>
    <font>
      <b/>
      <sz val="10"/>
      <color theme="1"/>
      <name val="Arial"/>
    </font>
    <font>
      <b/>
      <sz val="10"/>
      <color rgb="FF000000"/>
      <name val="Arial"/>
    </font>
    <font>
      <b/>
      <sz val="10"/>
      <color theme="1"/>
      <name val="Arial"/>
      <scheme val="minor"/>
    </font>
    <font>
      <sz val="10"/>
      <color theme="1"/>
      <name val="Arial"/>
      <scheme val="minor"/>
    </font>
    <font>
      <sz val="10"/>
      <color theme="1"/>
      <name val="Arial"/>
    </font>
    <font>
      <u/>
      <sz val="10"/>
      <color rgb="FF1155CC"/>
      <name val="Arial"/>
    </font>
    <font>
      <u/>
      <sz val="10"/>
      <color rgb="FF1155CC"/>
      <name val="Arial"/>
    </font>
    <font>
      <u/>
      <sz val="10"/>
      <color rgb="FF0000FF"/>
      <name val="Arial"/>
    </font>
    <font>
      <u/>
      <sz val="10"/>
      <color rgb="FF0000FF"/>
      <name val="Arial"/>
    </font>
    <font>
      <u/>
      <sz val="10"/>
      <color rgb="FF0000FF"/>
      <name val="Arial"/>
    </font>
    <font>
      <u/>
      <sz val="10"/>
      <color rgb="FF1155CC"/>
      <name val="Arial"/>
    </font>
    <font>
      <u/>
      <sz val="10"/>
      <color rgb="FF4285F4"/>
      <name val="Arial"/>
      <scheme val="minor"/>
    </font>
    <font>
      <u/>
      <sz val="10"/>
      <color rgb="FF0000FF"/>
      <name val="Arial"/>
    </font>
    <font>
      <u/>
      <sz val="10"/>
      <color rgb="FF1155CC"/>
      <name val="Arial"/>
    </font>
    <font>
      <sz val="10"/>
      <color rgb="FF000000"/>
      <name val="Roboto"/>
    </font>
    <font>
      <u/>
      <sz val="10"/>
      <color rgb="FF1155CC"/>
      <name val="Arial"/>
    </font>
    <font>
      <u/>
      <sz val="10"/>
      <color rgb="FF1155CC"/>
      <name val="Roboto"/>
    </font>
    <font>
      <sz val="10"/>
      <color theme="1"/>
      <name val="Roboto"/>
    </font>
    <font>
      <sz val="10"/>
      <color rgb="FF000000"/>
      <name val="Arial"/>
    </font>
    <font>
      <sz val="10"/>
      <color rgb="FF000000"/>
      <name val="Arial"/>
    </font>
    <font>
      <sz val="10"/>
      <color theme="1"/>
      <name val="Arial"/>
    </font>
    <font>
      <sz val="10"/>
      <color rgb="FF1F1F1F"/>
      <name val="Arial"/>
    </font>
    <font>
      <b/>
      <sz val="10"/>
      <color theme="1"/>
      <name val="Arial"/>
      <scheme val="minor"/>
    </font>
    <font>
      <b/>
      <sz val="10"/>
      <color rgb="FF000000"/>
      <name val="Arial"/>
    </font>
    <font>
      <i/>
      <sz val="10"/>
      <color theme="1"/>
      <name val="Calibri"/>
    </font>
    <font>
      <sz val="10"/>
      <color theme="1"/>
      <name val="Roboto"/>
    </font>
    <font>
      <sz val="9"/>
      <color rgb="FF000000"/>
      <name val="Arial"/>
    </font>
    <font>
      <sz val="10"/>
      <color theme="1"/>
      <name val="Docs-Roboto"/>
    </font>
    <font>
      <sz val="10"/>
      <color theme="1"/>
      <name val="Arial"/>
      <scheme val="minor"/>
    </font>
    <font>
      <sz val="10"/>
      <color rgb="FF1F1F1F"/>
      <name val="&quot;Google Sans&quot;"/>
    </font>
    <font>
      <sz val="10"/>
      <color theme="1"/>
      <name val="Calibri"/>
    </font>
    <font>
      <sz val="10"/>
      <color theme="1"/>
      <name val="&quot;Noto Sans&quot;"/>
    </font>
    <font>
      <sz val="10"/>
      <color rgb="FF1C1C1C"/>
      <name val="&quot;Noto Sans&quot;"/>
    </font>
    <font>
      <sz val="10"/>
      <color rgb="FF000000"/>
      <name val="Docs-Roboto"/>
    </font>
    <font>
      <sz val="10"/>
      <color rgb="FF000000"/>
      <name val="Roboto"/>
    </font>
    <font>
      <sz val="9"/>
      <color rgb="FF1F1F1F"/>
      <name val="&quot;Google Sans&quot;"/>
    </font>
    <font>
      <sz val="9"/>
      <color rgb="FF000000"/>
      <name val="&quot;Google Sans Mono&quot;"/>
    </font>
    <font>
      <sz val="11"/>
      <color rgb="FF1F1F1F"/>
      <name val="&quot;Google Sans&quot;"/>
    </font>
    <font>
      <sz val="10"/>
      <color rgb="FF1C1C1C"/>
      <name val="Arial"/>
    </font>
    <font>
      <sz val="10"/>
      <color rgb="FF1C1C1C"/>
      <name val="Arial"/>
    </font>
    <font>
      <sz val="10"/>
      <color rgb="FF1F1F1F"/>
      <name val="Google Sans"/>
    </font>
    <font>
      <sz val="10"/>
      <color rgb="FF1F1F1F"/>
      <name val="Arial"/>
      <scheme val="minor"/>
    </font>
    <font>
      <sz val="10"/>
      <color rgb="FF000000"/>
      <name val="Calibri"/>
    </font>
    <font>
      <i/>
      <sz val="10"/>
      <color rgb="FF000000"/>
      <name val="Calibri"/>
    </font>
    <font>
      <sz val="11"/>
      <color theme="1"/>
      <name val="Inconsolata"/>
    </font>
    <font>
      <sz val="10"/>
      <color rgb="FF1F1F1F"/>
      <name val="Arial"/>
    </font>
    <font>
      <sz val="10"/>
      <color rgb="FF000000"/>
      <name val="&quot;Times New Roman&quot;"/>
    </font>
    <font>
      <u/>
      <sz val="10"/>
      <color rgb="FF1F1F1F"/>
      <name val="Arial"/>
    </font>
    <font>
      <i/>
      <sz val="10"/>
      <color theme="1"/>
      <name val="Arial"/>
    </font>
    <font>
      <sz val="10"/>
      <color theme="1"/>
      <name val="Calibri"/>
    </font>
    <font>
      <sz val="11"/>
      <color theme="1"/>
      <name val="Arial"/>
    </font>
    <font>
      <sz val="10"/>
      <color theme="1"/>
      <name val="Docs-Calibri"/>
    </font>
    <font>
      <u/>
      <sz val="10"/>
      <color rgb="FF0000FF"/>
      <name val="Arial"/>
    </font>
    <font>
      <sz val="11"/>
      <color rgb="FF000000"/>
      <name val="Arial"/>
    </font>
    <font>
      <b/>
      <sz val="11"/>
      <color rgb="FF000000"/>
      <name val="Arial"/>
    </font>
    <font>
      <b/>
      <sz val="11"/>
      <color theme="1"/>
      <name val="Arial"/>
    </font>
    <font>
      <sz val="11"/>
      <color rgb="FF000000"/>
      <name val="Calibri"/>
    </font>
    <font>
      <i/>
      <sz val="11"/>
      <color rgb="FF000000"/>
      <name val="Calibri"/>
    </font>
    <font>
      <sz val="11"/>
      <color rgb="FF202122"/>
      <name val="Arial"/>
    </font>
    <font>
      <sz val="11"/>
      <color rgb="FF202122"/>
      <name val="Sans-serif"/>
    </font>
    <font>
      <sz val="12"/>
      <color rgb="FF212529"/>
      <name val="Roboto"/>
    </font>
    <font>
      <sz val="10"/>
      <name val="Arial"/>
    </font>
    <font>
      <sz val="9"/>
      <color rgb="FF000000"/>
      <name val="Arial, sans-serif"/>
    </font>
    <font>
      <b/>
      <sz val="10"/>
      <name val="Arial"/>
    </font>
    <font>
      <sz val="10"/>
      <color theme="1"/>
      <name val="Arial"/>
      <family val="2"/>
      <charset val="204"/>
    </font>
    <font>
      <sz val="10"/>
      <color theme="1"/>
      <name val="Arial"/>
      <family val="2"/>
      <charset val="204"/>
      <scheme val="minor"/>
    </font>
    <font>
      <b/>
      <sz val="10"/>
      <color theme="1"/>
      <name val="Arial"/>
      <family val="2"/>
      <charset val="204"/>
      <scheme val="minor"/>
    </font>
    <font>
      <sz val="10"/>
      <color rgb="FF000000"/>
      <name val="Arial"/>
      <family val="2"/>
      <charset val="204"/>
      <scheme val="minor"/>
    </font>
    <font>
      <u/>
      <sz val="10"/>
      <color rgb="FF0000FF"/>
      <name val="Arial"/>
      <family val="2"/>
      <charset val="204"/>
      <scheme val="minor"/>
    </font>
    <font>
      <u/>
      <sz val="10"/>
      <color rgb="FF1155CC"/>
      <name val="Arial"/>
      <family val="2"/>
      <charset val="204"/>
      <scheme val="minor"/>
    </font>
    <font>
      <sz val="10"/>
      <color rgb="FF212529"/>
      <name val="Arial"/>
      <family val="2"/>
      <charset val="204"/>
      <scheme val="minor"/>
    </font>
    <font>
      <sz val="10"/>
      <name val="Arial"/>
      <family val="2"/>
      <charset val="204"/>
      <scheme val="minor"/>
    </font>
    <font>
      <sz val="10"/>
      <color rgb="FF0000FF"/>
      <name val="Arial"/>
      <family val="2"/>
      <charset val="204"/>
      <scheme val="minor"/>
    </font>
    <font>
      <sz val="10"/>
      <color rgb="FF1F1F1F"/>
      <name val="Arial"/>
      <family val="2"/>
      <charset val="204"/>
      <scheme val="minor"/>
    </font>
    <font>
      <sz val="10"/>
      <color rgb="FF222222"/>
      <name val="Arial"/>
      <family val="2"/>
      <charset val="204"/>
      <scheme val="minor"/>
    </font>
    <font>
      <b/>
      <sz val="10"/>
      <color theme="1"/>
      <name val="Arial"/>
      <family val="2"/>
      <charset val="204"/>
    </font>
    <font>
      <sz val="9"/>
      <color rgb="FF000000"/>
      <name val="Arial"/>
      <family val="2"/>
      <charset val="204"/>
      <scheme val="minor"/>
    </font>
  </fonts>
  <fills count="10">
    <fill>
      <patternFill patternType="none"/>
    </fill>
    <fill>
      <patternFill patternType="gray125"/>
    </fill>
    <fill>
      <patternFill patternType="solid">
        <fgColor rgb="FFFFFFFF"/>
        <bgColor rgb="FFFFFFFF"/>
      </patternFill>
    </fill>
    <fill>
      <patternFill patternType="solid">
        <fgColor rgb="FFFFF2CC"/>
        <bgColor rgb="FFFFF2CC"/>
      </patternFill>
    </fill>
    <fill>
      <patternFill patternType="solid">
        <fgColor theme="0"/>
        <bgColor theme="0"/>
      </patternFill>
    </fill>
    <fill>
      <patternFill patternType="solid">
        <fgColor rgb="FFD9EAD3"/>
        <bgColor rgb="FFD9EAD3"/>
      </patternFill>
    </fill>
    <fill>
      <patternFill patternType="solid">
        <fgColor rgb="FFFCE5CD"/>
        <bgColor rgb="FFFCE5CD"/>
      </patternFill>
    </fill>
    <fill>
      <patternFill patternType="solid">
        <fgColor rgb="FFC6E0B4"/>
        <bgColor rgb="FFC6E0B4"/>
      </patternFill>
    </fill>
    <fill>
      <patternFill patternType="solid">
        <fgColor rgb="FFFFE599"/>
        <bgColor rgb="FFFFE599"/>
      </patternFill>
    </fill>
    <fill>
      <patternFill patternType="solid">
        <fgColor rgb="FFE06666"/>
        <bgColor rgb="FFE06666"/>
      </patternFill>
    </fill>
  </fills>
  <borders count="19">
    <border>
      <left/>
      <right/>
      <top/>
      <bottom/>
      <diagonal/>
    </border>
    <border>
      <left style="thin">
        <color rgb="FFCCCCCC"/>
      </left>
      <right style="thin">
        <color rgb="FFCCCCCC"/>
      </right>
      <top style="thin">
        <color rgb="FFCCCCCC"/>
      </top>
      <bottom style="thin">
        <color rgb="FFCCCCCC"/>
      </bottom>
      <diagonal/>
    </border>
    <border>
      <left/>
      <right/>
      <top/>
      <bottom style="thick">
        <color rgb="FF000000"/>
      </bottom>
      <diagonal/>
    </border>
    <border>
      <left/>
      <right/>
      <top/>
      <bottom style="thin">
        <color rgb="FFA3B2CC"/>
      </bottom>
      <diagonal/>
    </border>
    <border>
      <left/>
      <right style="thin">
        <color rgb="FFFFFFFF"/>
      </right>
      <top/>
      <bottom style="thin">
        <color rgb="FFA3B2CC"/>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321">
    <xf numFmtId="0" fontId="0" fillId="0" borderId="0" xfId="0" applyFont="1" applyAlignment="1"/>
    <xf numFmtId="0" fontId="2" fillId="0" borderId="0" xfId="0" applyFont="1" applyAlignment="1">
      <alignment horizontal="right"/>
    </xf>
    <xf numFmtId="0" fontId="3" fillId="0" borderId="0" xfId="0" applyFont="1" applyAlignment="1">
      <alignment horizontal="left" wrapText="1"/>
    </xf>
    <xf numFmtId="0" fontId="3" fillId="0" borderId="0" xfId="0" applyFont="1" applyAlignment="1">
      <alignment horizontal="right" wrapText="1"/>
    </xf>
    <xf numFmtId="0" fontId="3" fillId="0" borderId="0" xfId="0" applyFont="1" applyAlignment="1"/>
    <xf numFmtId="0" fontId="1" fillId="2" borderId="0" xfId="0" applyFont="1" applyFill="1" applyAlignment="1"/>
    <xf numFmtId="0" fontId="4" fillId="0" borderId="0" xfId="0" applyFont="1"/>
    <xf numFmtId="0" fontId="3" fillId="0" borderId="0" xfId="0" applyFont="1" applyAlignment="1"/>
    <xf numFmtId="0" fontId="3" fillId="0" borderId="0" xfId="0" applyFont="1"/>
    <xf numFmtId="0" fontId="5" fillId="0" borderId="0" xfId="0" applyFont="1" applyAlignment="1">
      <alignment horizontal="right"/>
    </xf>
    <xf numFmtId="0" fontId="5" fillId="0" borderId="0" xfId="0" applyFont="1" applyAlignment="1">
      <alignment horizontal="left"/>
    </xf>
    <xf numFmtId="0" fontId="5" fillId="0" borderId="0" xfId="0" applyFont="1" applyAlignment="1">
      <alignment horizontal="right"/>
    </xf>
    <xf numFmtId="0" fontId="5" fillId="0" borderId="0" xfId="0" applyFont="1" applyAlignment="1"/>
    <xf numFmtId="0" fontId="5" fillId="2" borderId="0" xfId="0" applyFont="1" applyFill="1" applyAlignment="1"/>
    <xf numFmtId="0" fontId="6" fillId="0" borderId="0" xfId="0" applyFont="1" applyAlignment="1"/>
    <xf numFmtId="0" fontId="5" fillId="2" borderId="0" xfId="0" applyFont="1" applyFill="1" applyAlignment="1"/>
    <xf numFmtId="0" fontId="5" fillId="0" borderId="0" xfId="0" applyFont="1" applyAlignment="1"/>
    <xf numFmtId="0" fontId="4" fillId="3" borderId="0" xfId="0" applyFont="1" applyFill="1" applyAlignment="1">
      <alignment horizontal="right"/>
    </xf>
    <xf numFmtId="0" fontId="4" fillId="0" borderId="0" xfId="0" applyFont="1"/>
    <xf numFmtId="0" fontId="5" fillId="0" borderId="0" xfId="0" applyFont="1" applyAlignment="1">
      <alignment horizontal="left"/>
    </xf>
    <xf numFmtId="0" fontId="7" fillId="0" borderId="0" xfId="0" applyFont="1" applyAlignment="1"/>
    <xf numFmtId="0" fontId="8" fillId="0" borderId="0" xfId="0" applyFont="1" applyAlignment="1"/>
    <xf numFmtId="0" fontId="4" fillId="0" borderId="0" xfId="0" applyFont="1" applyAlignment="1">
      <alignment horizontal="left"/>
    </xf>
    <xf numFmtId="0" fontId="4" fillId="0" borderId="0" xfId="0" applyFont="1" applyAlignment="1">
      <alignment horizontal="right"/>
    </xf>
    <xf numFmtId="0" fontId="4" fillId="0" borderId="0" xfId="0" applyFont="1" applyAlignment="1"/>
    <xf numFmtId="0" fontId="4" fillId="0" borderId="0" xfId="0" applyFont="1" applyAlignment="1"/>
    <xf numFmtId="0" fontId="9" fillId="0" borderId="0" xfId="0" applyFont="1" applyAlignment="1"/>
    <xf numFmtId="0" fontId="10" fillId="0" borderId="0" xfId="0" applyFont="1" applyAlignment="1"/>
    <xf numFmtId="0" fontId="4" fillId="0" borderId="0" xfId="0" applyFont="1" applyAlignment="1"/>
    <xf numFmtId="0" fontId="5" fillId="0" borderId="0" xfId="0" applyFont="1" applyAlignment="1"/>
    <xf numFmtId="0" fontId="11" fillId="0" borderId="0" xfId="0" applyFont="1" applyAlignment="1"/>
    <xf numFmtId="0" fontId="4" fillId="0" borderId="0" xfId="0" applyFont="1" applyAlignment="1">
      <alignment horizontal="right"/>
    </xf>
    <xf numFmtId="0" fontId="4" fillId="0" borderId="0" xfId="0" applyFont="1" applyAlignment="1">
      <alignment horizontal="left" wrapText="1"/>
    </xf>
    <xf numFmtId="0" fontId="4" fillId="0" borderId="0" xfId="0" applyFont="1" applyAlignment="1">
      <alignment horizontal="right" wrapText="1"/>
    </xf>
    <xf numFmtId="0" fontId="12" fillId="0" borderId="0" xfId="0" applyFont="1" applyAlignment="1"/>
    <xf numFmtId="0" fontId="5" fillId="2" borderId="0" xfId="0" applyFont="1" applyFill="1" applyAlignment="1"/>
    <xf numFmtId="0" fontId="4" fillId="0" borderId="0" xfId="0" applyFont="1" applyAlignment="1">
      <alignment wrapText="1"/>
    </xf>
    <xf numFmtId="0" fontId="13" fillId="0" borderId="0" xfId="0" applyFont="1" applyAlignment="1"/>
    <xf numFmtId="0" fontId="14" fillId="0" borderId="0" xfId="0" applyFont="1" applyAlignment="1"/>
    <xf numFmtId="0" fontId="15" fillId="2" borderId="0" xfId="0" applyFont="1" applyFill="1" applyAlignment="1">
      <alignment horizontal="left"/>
    </xf>
    <xf numFmtId="0" fontId="5" fillId="0" borderId="0" xfId="0" applyFont="1" applyAlignment="1"/>
    <xf numFmtId="0" fontId="5" fillId="0" borderId="0" xfId="0" applyFont="1" applyAlignment="1">
      <alignment horizontal="right"/>
    </xf>
    <xf numFmtId="0" fontId="5" fillId="0" borderId="0" xfId="0" applyFont="1" applyAlignment="1">
      <alignment horizontal="left"/>
    </xf>
    <xf numFmtId="0" fontId="16" fillId="0" borderId="0" xfId="0" applyFont="1" applyAlignment="1"/>
    <xf numFmtId="0" fontId="17" fillId="0" borderId="0" xfId="0" applyFont="1" applyAlignment="1"/>
    <xf numFmtId="0" fontId="4" fillId="0" borderId="0" xfId="0" applyFont="1" applyAlignment="1">
      <alignment horizontal="left"/>
    </xf>
    <xf numFmtId="0" fontId="5" fillId="4" borderId="0" xfId="0" applyFont="1" applyFill="1" applyAlignment="1">
      <alignment horizontal="left"/>
    </xf>
    <xf numFmtId="0" fontId="19" fillId="2" borderId="0" xfId="0" applyFont="1" applyFill="1" applyAlignment="1">
      <alignment horizontal="right"/>
    </xf>
    <xf numFmtId="0" fontId="5" fillId="0" borderId="0" xfId="0" applyFont="1" applyAlignment="1">
      <alignment horizontal="right"/>
    </xf>
    <xf numFmtId="0" fontId="4" fillId="0" borderId="0" xfId="0" applyFont="1" applyAlignment="1">
      <alignment horizontal="right"/>
    </xf>
    <xf numFmtId="0" fontId="5" fillId="0" borderId="0" xfId="0" applyFont="1" applyAlignment="1">
      <alignment horizontal="left" wrapText="1"/>
    </xf>
    <xf numFmtId="0" fontId="5" fillId="3" borderId="0" xfId="0" applyFont="1" applyFill="1" applyAlignment="1">
      <alignment horizontal="right"/>
    </xf>
    <xf numFmtId="0" fontId="23" fillId="0" borderId="0" xfId="0" applyFont="1" applyAlignment="1">
      <alignment horizontal="right"/>
    </xf>
    <xf numFmtId="0" fontId="1" fillId="2" borderId="0" xfId="0" applyFont="1" applyFill="1" applyAlignment="1">
      <alignment horizontal="right"/>
    </xf>
    <xf numFmtId="0" fontId="24" fillId="2" borderId="0" xfId="0" applyFont="1" applyFill="1" applyAlignment="1"/>
    <xf numFmtId="0" fontId="24" fillId="2" borderId="0" xfId="0" applyFont="1" applyFill="1" applyAlignment="1"/>
    <xf numFmtId="0" fontId="24" fillId="2" borderId="0" xfId="0" applyFont="1" applyFill="1" applyAlignment="1">
      <alignment horizontal="right"/>
    </xf>
    <xf numFmtId="0" fontId="24" fillId="2" borderId="0" xfId="0" applyFont="1" applyFill="1" applyAlignment="1"/>
    <xf numFmtId="0" fontId="21" fillId="0" borderId="0" xfId="0" applyFont="1" applyAlignment="1"/>
    <xf numFmtId="0" fontId="21" fillId="0" borderId="0" xfId="0" applyFont="1" applyAlignment="1"/>
    <xf numFmtId="0" fontId="21" fillId="0" borderId="0" xfId="0" applyFont="1" applyAlignment="1">
      <alignment horizontal="right"/>
    </xf>
    <xf numFmtId="0" fontId="21" fillId="0" borderId="0" xfId="0" applyFont="1" applyAlignment="1">
      <alignment horizontal="right"/>
    </xf>
    <xf numFmtId="0" fontId="21" fillId="0" borderId="0" xfId="0" applyFont="1" applyAlignment="1"/>
    <xf numFmtId="0" fontId="21" fillId="0" borderId="0" xfId="0" applyFont="1" applyAlignment="1"/>
    <xf numFmtId="0" fontId="21" fillId="0" borderId="0" xfId="0" applyFont="1" applyAlignment="1">
      <alignment wrapText="1"/>
    </xf>
    <xf numFmtId="0" fontId="25" fillId="0" borderId="0" xfId="0" applyFont="1" applyAlignment="1"/>
    <xf numFmtId="0" fontId="25" fillId="0" borderId="0" xfId="0" applyFont="1" applyAlignment="1"/>
    <xf numFmtId="0" fontId="21" fillId="2" borderId="0" xfId="0" applyFont="1" applyFill="1" applyAlignment="1"/>
    <xf numFmtId="0" fontId="21" fillId="0" borderId="0" xfId="0" applyFont="1" applyAlignment="1"/>
    <xf numFmtId="0" fontId="21" fillId="0" borderId="0" xfId="0" applyFont="1" applyAlignment="1"/>
    <xf numFmtId="0" fontId="27" fillId="0" borderId="0" xfId="0" applyFont="1" applyAlignment="1"/>
    <xf numFmtId="0" fontId="21" fillId="0" borderId="0" xfId="0" applyFont="1" applyAlignment="1"/>
    <xf numFmtId="0" fontId="21" fillId="0" borderId="0" xfId="0" applyFont="1" applyAlignment="1">
      <alignment horizontal="right"/>
    </xf>
    <xf numFmtId="0" fontId="19" fillId="2" borderId="0" xfId="0" applyFont="1" applyFill="1" applyAlignment="1">
      <alignment horizontal="left"/>
    </xf>
    <xf numFmtId="0" fontId="29" fillId="0" borderId="0" xfId="0" applyFont="1" applyAlignment="1"/>
    <xf numFmtId="0" fontId="29" fillId="0" borderId="0" xfId="0" applyFont="1" applyAlignment="1"/>
    <xf numFmtId="0" fontId="29" fillId="0" borderId="0" xfId="0" applyFont="1" applyAlignment="1">
      <alignment horizontal="right"/>
    </xf>
    <xf numFmtId="0" fontId="29" fillId="0" borderId="0" xfId="0" applyFont="1" applyAlignment="1"/>
    <xf numFmtId="0" fontId="29" fillId="0" borderId="0" xfId="0" applyFont="1" applyAlignment="1">
      <alignment horizontal="right"/>
    </xf>
    <xf numFmtId="0" fontId="21" fillId="0" borderId="0" xfId="0" applyFont="1" applyAlignment="1"/>
    <xf numFmtId="0" fontId="29" fillId="0" borderId="0" xfId="0" applyFont="1" applyAlignment="1">
      <alignment horizontal="right"/>
    </xf>
    <xf numFmtId="0" fontId="4" fillId="0" borderId="0" xfId="0" applyFont="1" applyAlignment="1"/>
    <xf numFmtId="0" fontId="21" fillId="0" borderId="0" xfId="0" applyFont="1" applyAlignment="1"/>
    <xf numFmtId="0" fontId="5" fillId="2" borderId="0" xfId="0" applyFont="1" applyFill="1" applyAlignment="1">
      <alignment horizontal="right"/>
    </xf>
    <xf numFmtId="0" fontId="5" fillId="2" borderId="0" xfId="0" applyFont="1" applyFill="1" applyAlignment="1">
      <alignment horizontal="right"/>
    </xf>
    <xf numFmtId="0" fontId="5" fillId="2" borderId="0" xfId="0" applyFont="1" applyFill="1" applyAlignment="1">
      <alignment horizontal="left"/>
    </xf>
    <xf numFmtId="0" fontId="21" fillId="2" borderId="0" xfId="0" applyFont="1" applyFill="1" applyAlignment="1"/>
    <xf numFmtId="0" fontId="21" fillId="2" borderId="0" xfId="0" applyFont="1" applyFill="1" applyAlignment="1"/>
    <xf numFmtId="0" fontId="21" fillId="2" borderId="0" xfId="0" applyFont="1" applyFill="1" applyAlignment="1"/>
    <xf numFmtId="0" fontId="21" fillId="2" borderId="0" xfId="0" applyFont="1" applyFill="1" applyAlignment="1">
      <alignment horizontal="right"/>
    </xf>
    <xf numFmtId="0" fontId="31" fillId="2" borderId="0" xfId="0" applyFont="1" applyFill="1" applyAlignment="1"/>
    <xf numFmtId="0" fontId="28" fillId="2" borderId="0" xfId="0" applyFont="1" applyFill="1" applyAlignment="1">
      <alignment horizontal="right"/>
    </xf>
    <xf numFmtId="0" fontId="18" fillId="2" borderId="0" xfId="0" applyFont="1" applyFill="1" applyAlignment="1">
      <alignment horizontal="right"/>
    </xf>
    <xf numFmtId="0" fontId="18" fillId="2" borderId="0" xfId="0" applyFont="1" applyFill="1" applyAlignment="1">
      <alignment horizontal="left"/>
    </xf>
    <xf numFmtId="0" fontId="34" fillId="2" borderId="0" xfId="0" applyFont="1" applyFill="1" applyAlignment="1">
      <alignment horizontal="left"/>
    </xf>
    <xf numFmtId="0" fontId="21" fillId="2" borderId="0" xfId="0" applyFont="1" applyFill="1" applyAlignment="1">
      <alignment horizontal="right"/>
    </xf>
    <xf numFmtId="0" fontId="33" fillId="2" borderId="0" xfId="0" applyFont="1" applyFill="1" applyAlignment="1"/>
    <xf numFmtId="0" fontId="15" fillId="2" borderId="0" xfId="0" applyFont="1" applyFill="1" applyAlignment="1"/>
    <xf numFmtId="0" fontId="21" fillId="0" borderId="0" xfId="0" applyFont="1" applyAlignment="1">
      <alignment horizontal="right"/>
    </xf>
    <xf numFmtId="0" fontId="21" fillId="0" borderId="0" xfId="0" applyFont="1" applyAlignment="1">
      <alignment horizontal="right"/>
    </xf>
    <xf numFmtId="0" fontId="33" fillId="0" borderId="0" xfId="0" applyFont="1" applyAlignment="1">
      <alignment horizontal="left"/>
    </xf>
    <xf numFmtId="0" fontId="5" fillId="0" borderId="0" xfId="0" applyFont="1" applyAlignment="1"/>
    <xf numFmtId="0" fontId="35" fillId="2" borderId="0" xfId="0" applyFont="1" applyFill="1" applyAlignment="1">
      <alignment horizontal="right"/>
    </xf>
    <xf numFmtId="0" fontId="31" fillId="0" borderId="0" xfId="0" applyFont="1" applyAlignment="1">
      <alignment horizontal="left"/>
    </xf>
    <xf numFmtId="0" fontId="29" fillId="2" borderId="0" xfId="0" applyFont="1" applyFill="1" applyAlignment="1"/>
    <xf numFmtId="0" fontId="29" fillId="0" borderId="0" xfId="0" applyFont="1" applyAlignment="1">
      <alignment horizontal="right"/>
    </xf>
    <xf numFmtId="0" fontId="21" fillId="0" borderId="0" xfId="0" applyFont="1" applyAlignment="1">
      <alignment horizontal="right"/>
    </xf>
    <xf numFmtId="0" fontId="21" fillId="0" borderId="0" xfId="0" applyFont="1" applyAlignment="1"/>
    <xf numFmtId="0" fontId="26" fillId="0" borderId="0" xfId="0" applyFont="1" applyAlignment="1">
      <alignment horizontal="right"/>
    </xf>
    <xf numFmtId="0" fontId="32" fillId="0" borderId="0" xfId="0" applyFont="1" applyAlignment="1"/>
    <xf numFmtId="0" fontId="21" fillId="0" borderId="0" xfId="0" applyFont="1" applyAlignment="1">
      <alignment wrapText="1"/>
    </xf>
    <xf numFmtId="0" fontId="26" fillId="2" borderId="0" xfId="0" applyFont="1" applyFill="1" applyAlignment="1">
      <alignment horizontal="right"/>
    </xf>
    <xf numFmtId="0" fontId="29" fillId="2" borderId="0" xfId="0" applyFont="1" applyFill="1" applyAlignment="1">
      <alignment wrapText="1"/>
    </xf>
    <xf numFmtId="0" fontId="4" fillId="2" borderId="0" xfId="0" applyFont="1" applyFill="1" applyAlignment="1">
      <alignment horizontal="right"/>
    </xf>
    <xf numFmtId="0" fontId="21" fillId="0" borderId="0" xfId="0" applyFont="1" applyAlignment="1">
      <alignment horizontal="right"/>
    </xf>
    <xf numFmtId="0" fontId="21" fillId="0" borderId="0" xfId="0" applyFont="1" applyAlignment="1">
      <alignment wrapText="1"/>
    </xf>
    <xf numFmtId="0" fontId="26" fillId="0" borderId="0" xfId="0" applyFont="1" applyAlignment="1"/>
    <xf numFmtId="0" fontId="37" fillId="2" borderId="0" xfId="0" applyFont="1" applyFill="1" applyAlignment="1">
      <alignment horizontal="right"/>
    </xf>
    <xf numFmtId="0" fontId="5" fillId="2" borderId="0" xfId="0" applyFont="1" applyFill="1" applyAlignment="1">
      <alignment horizontal="right"/>
    </xf>
    <xf numFmtId="0" fontId="40" fillId="0" borderId="0" xfId="0" applyFont="1" applyAlignment="1"/>
    <xf numFmtId="0" fontId="4" fillId="0" borderId="0" xfId="0" applyFont="1" applyAlignment="1">
      <alignment horizontal="left"/>
    </xf>
    <xf numFmtId="0" fontId="5" fillId="0" borderId="0" xfId="0" applyFont="1" applyAlignment="1">
      <alignment horizontal="right"/>
    </xf>
    <xf numFmtId="0" fontId="5" fillId="0" borderId="0" xfId="0" applyFont="1" applyAlignment="1">
      <alignment horizontal="left"/>
    </xf>
    <xf numFmtId="0" fontId="21" fillId="2" borderId="0" xfId="0" applyFont="1" applyFill="1" applyAlignment="1"/>
    <xf numFmtId="0" fontId="21" fillId="0" borderId="0" xfId="0" applyFont="1" applyAlignment="1">
      <alignment horizontal="right"/>
    </xf>
    <xf numFmtId="49" fontId="21" fillId="0" borderId="0" xfId="0" applyNumberFormat="1" applyFont="1" applyAlignment="1"/>
    <xf numFmtId="0" fontId="21" fillId="2" borderId="0" xfId="0" applyFont="1" applyFill="1" applyAlignment="1"/>
    <xf numFmtId="0" fontId="21" fillId="2" borderId="0" xfId="0" applyFont="1" applyFill="1" applyAlignment="1"/>
    <xf numFmtId="0" fontId="21" fillId="2" borderId="0" xfId="0" applyFont="1" applyFill="1" applyAlignment="1"/>
    <xf numFmtId="0" fontId="25" fillId="2" borderId="0" xfId="0" applyFont="1" applyFill="1" applyAlignment="1"/>
    <xf numFmtId="0" fontId="5" fillId="0" borderId="0" xfId="0" applyFont="1" applyAlignment="1">
      <alignment horizontal="right" wrapText="1"/>
    </xf>
    <xf numFmtId="0" fontId="21" fillId="0" borderId="0" xfId="0" applyFont="1" applyAlignment="1">
      <alignment horizontal="right" wrapText="1"/>
    </xf>
    <xf numFmtId="0" fontId="5" fillId="2" borderId="0" xfId="0" applyFont="1" applyFill="1" applyAlignment="1">
      <alignment horizontal="right" wrapText="1"/>
    </xf>
    <xf numFmtId="0" fontId="5" fillId="2" borderId="0" xfId="0" applyFont="1" applyFill="1" applyAlignment="1">
      <alignment horizontal="left" wrapText="1"/>
    </xf>
    <xf numFmtId="0" fontId="21" fillId="2" borderId="0" xfId="0" applyFont="1" applyFill="1" applyAlignment="1">
      <alignment wrapText="1"/>
    </xf>
    <xf numFmtId="0" fontId="21" fillId="2" borderId="0" xfId="0" applyFont="1" applyFill="1" applyAlignment="1">
      <alignment horizontal="right" wrapText="1"/>
    </xf>
    <xf numFmtId="0" fontId="15" fillId="2" borderId="0" xfId="0" applyFont="1" applyFill="1" applyAlignment="1">
      <alignment horizontal="right"/>
    </xf>
    <xf numFmtId="0" fontId="29" fillId="4" borderId="0" xfId="0" applyFont="1" applyFill="1" applyAlignment="1"/>
    <xf numFmtId="0" fontId="38" fillId="2" borderId="0" xfId="0" applyFont="1" applyFill="1" applyAlignment="1">
      <alignment horizontal="left"/>
    </xf>
    <xf numFmtId="0" fontId="29" fillId="0" borderId="0" xfId="0" applyFont="1" applyAlignment="1">
      <alignment horizontal="right"/>
    </xf>
    <xf numFmtId="0" fontId="5" fillId="0" borderId="0" xfId="0" applyFont="1" applyAlignment="1">
      <alignment horizontal="right"/>
    </xf>
    <xf numFmtId="0" fontId="29" fillId="0" borderId="0" xfId="0" applyFont="1" applyAlignment="1">
      <alignment wrapText="1"/>
    </xf>
    <xf numFmtId="0" fontId="35" fillId="0" borderId="0" xfId="0" applyFont="1" applyAlignment="1">
      <alignment horizontal="right"/>
    </xf>
    <xf numFmtId="0" fontId="5" fillId="0" borderId="0" xfId="0" applyFont="1" applyAlignment="1">
      <alignment horizontal="right"/>
    </xf>
    <xf numFmtId="0" fontId="5" fillId="0" borderId="0" xfId="0" applyFont="1" applyAlignment="1">
      <alignment horizontal="left"/>
    </xf>
    <xf numFmtId="0" fontId="21" fillId="4" borderId="0" xfId="0" applyFont="1" applyFill="1" applyAlignment="1">
      <alignment horizontal="right"/>
    </xf>
    <xf numFmtId="0" fontId="43" fillId="0" borderId="0" xfId="0" applyFont="1" applyAlignment="1"/>
    <xf numFmtId="0" fontId="43" fillId="0" borderId="0" xfId="0" applyFont="1" applyAlignment="1">
      <alignment horizontal="left"/>
    </xf>
    <xf numFmtId="0" fontId="30" fillId="2" borderId="0" xfId="0" applyFont="1" applyFill="1" applyAlignment="1">
      <alignment horizontal="left"/>
    </xf>
    <xf numFmtId="0" fontId="25" fillId="0" borderId="0" xfId="0" applyFont="1" applyAlignment="1"/>
    <xf numFmtId="0" fontId="44" fillId="0" borderId="0" xfId="0" applyFont="1" applyAlignment="1"/>
    <xf numFmtId="0" fontId="0" fillId="0" borderId="0" xfId="0" applyFont="1" applyAlignment="1"/>
    <xf numFmtId="0" fontId="29" fillId="0" borderId="0" xfId="0" applyFont="1" applyAlignment="1"/>
    <xf numFmtId="0" fontId="29" fillId="0" borderId="0" xfId="0" applyFont="1" applyAlignment="1">
      <alignment horizontal="right"/>
    </xf>
    <xf numFmtId="0" fontId="29" fillId="0" borderId="0" xfId="0" applyFont="1" applyAlignment="1"/>
    <xf numFmtId="0" fontId="45" fillId="2" borderId="0" xfId="0" applyFont="1" applyFill="1" applyAlignment="1">
      <alignment horizontal="right"/>
    </xf>
    <xf numFmtId="0" fontId="41" fillId="2" borderId="0" xfId="0" applyFont="1" applyFill="1" applyAlignment="1">
      <alignment horizontal="right"/>
    </xf>
    <xf numFmtId="0" fontId="36" fillId="2" borderId="0" xfId="0" applyFont="1" applyFill="1" applyAlignment="1">
      <alignment horizontal="left"/>
    </xf>
    <xf numFmtId="0" fontId="30" fillId="2" borderId="0" xfId="0" applyFont="1" applyFill="1" applyAlignment="1"/>
    <xf numFmtId="0" fontId="47" fillId="0" borderId="0" xfId="0" applyFont="1" applyAlignment="1"/>
    <xf numFmtId="0" fontId="15" fillId="4" borderId="0" xfId="0" applyFont="1" applyFill="1" applyAlignment="1">
      <alignment horizontal="right"/>
    </xf>
    <xf numFmtId="0" fontId="15" fillId="4" borderId="0" xfId="0" applyFont="1" applyFill="1" applyAlignment="1">
      <alignment horizontal="left"/>
    </xf>
    <xf numFmtId="0" fontId="39" fillId="0" borderId="0" xfId="0" applyFont="1" applyAlignment="1">
      <alignment horizontal="left"/>
    </xf>
    <xf numFmtId="0" fontId="36" fillId="2" borderId="0" xfId="0" applyFont="1" applyFill="1" applyAlignment="1"/>
    <xf numFmtId="0" fontId="33" fillId="0" borderId="0" xfId="0" applyFont="1" applyAlignment="1"/>
    <xf numFmtId="0" fontId="21" fillId="2" borderId="0" xfId="0" applyFont="1" applyFill="1" applyAlignment="1">
      <alignment horizontal="right"/>
    </xf>
    <xf numFmtId="0" fontId="21" fillId="2" borderId="0" xfId="0" applyFont="1" applyFill="1"/>
    <xf numFmtId="0" fontId="48" fillId="2" borderId="0" xfId="0" applyFont="1" applyFill="1" applyAlignment="1"/>
    <xf numFmtId="0" fontId="21" fillId="0" borderId="0" xfId="0" applyFont="1" applyAlignment="1">
      <alignment vertical="top"/>
    </xf>
    <xf numFmtId="49" fontId="5" fillId="0" borderId="0" xfId="0" applyNumberFormat="1" applyFont="1" applyAlignment="1">
      <alignment horizontal="right"/>
    </xf>
    <xf numFmtId="0" fontId="50" fillId="0" borderId="0" xfId="0" applyFont="1" applyAlignment="1"/>
    <xf numFmtId="164" fontId="5" fillId="0" borderId="0" xfId="0" applyNumberFormat="1" applyFont="1" applyAlignment="1">
      <alignment horizontal="right"/>
    </xf>
    <xf numFmtId="0" fontId="5" fillId="0" borderId="0" xfId="0" applyFont="1" applyAlignment="1"/>
    <xf numFmtId="0" fontId="29" fillId="0" borderId="0" xfId="0" applyFont="1" applyAlignment="1">
      <alignment horizontal="right"/>
    </xf>
    <xf numFmtId="0" fontId="20" fillId="2" borderId="0" xfId="0" applyFont="1" applyFill="1" applyAlignment="1">
      <alignment horizontal="left"/>
    </xf>
    <xf numFmtId="0" fontId="49" fillId="0" borderId="0" xfId="0" applyFont="1" applyAlignment="1"/>
    <xf numFmtId="0" fontId="39" fillId="0" borderId="0" xfId="0" applyFont="1" applyAlignment="1"/>
    <xf numFmtId="0" fontId="52" fillId="0" borderId="0" xfId="0" applyFont="1" applyAlignment="1"/>
    <xf numFmtId="0" fontId="46" fillId="0" borderId="0" xfId="0" applyFont="1" applyAlignment="1"/>
    <xf numFmtId="0" fontId="42" fillId="2" borderId="0" xfId="0" applyFont="1" applyFill="1" applyAlignment="1">
      <alignment wrapText="1"/>
    </xf>
    <xf numFmtId="0" fontId="5" fillId="2" borderId="0" xfId="0" applyFont="1" applyFill="1" applyAlignment="1">
      <alignment horizontal="right"/>
    </xf>
    <xf numFmtId="0" fontId="21" fillId="2" borderId="0" xfId="0" applyFont="1" applyFill="1" applyAlignment="1"/>
    <xf numFmtId="0" fontId="5" fillId="0" borderId="0" xfId="0" applyFont="1" applyAlignment="1">
      <alignment horizontal="right"/>
    </xf>
    <xf numFmtId="0" fontId="21" fillId="0" borderId="0" xfId="0" applyFont="1"/>
    <xf numFmtId="0" fontId="21" fillId="0" borderId="0" xfId="0" applyFont="1" applyAlignment="1">
      <alignment horizontal="left"/>
    </xf>
    <xf numFmtId="0" fontId="5" fillId="0" borderId="0" xfId="0" applyFont="1" applyAlignment="1">
      <alignment wrapText="1"/>
    </xf>
    <xf numFmtId="0" fontId="38" fillId="2" borderId="0" xfId="0" applyFont="1" applyFill="1" applyAlignment="1"/>
    <xf numFmtId="0" fontId="49" fillId="2" borderId="0" xfId="0" applyFont="1" applyFill="1" applyAlignment="1"/>
    <xf numFmtId="0" fontId="19" fillId="2" borderId="0" xfId="0" applyFont="1" applyFill="1" applyAlignment="1">
      <alignment horizontal="left"/>
    </xf>
    <xf numFmtId="0" fontId="46" fillId="2" borderId="0" xfId="0" applyFont="1" applyFill="1" applyAlignment="1"/>
    <xf numFmtId="0" fontId="29" fillId="2" borderId="0" xfId="0" applyFont="1" applyFill="1" applyAlignment="1">
      <alignment horizontal="right"/>
    </xf>
    <xf numFmtId="0" fontId="5" fillId="0" borderId="0" xfId="0" applyFont="1" applyAlignment="1"/>
    <xf numFmtId="0" fontId="29" fillId="0" borderId="0" xfId="0" applyFont="1" applyAlignment="1"/>
    <xf numFmtId="0" fontId="29" fillId="0" borderId="0" xfId="0" applyFont="1" applyAlignment="1">
      <alignment horizontal="right"/>
    </xf>
    <xf numFmtId="165" fontId="5" fillId="0" borderId="0" xfId="0" applyNumberFormat="1" applyFont="1" applyAlignment="1">
      <alignment horizontal="right"/>
    </xf>
    <xf numFmtId="165" fontId="21" fillId="0" borderId="0" xfId="0" applyNumberFormat="1" applyFont="1" applyAlignment="1">
      <alignment horizontal="right"/>
    </xf>
    <xf numFmtId="0" fontId="53" fillId="0" borderId="0" xfId="0" applyFont="1" applyAlignment="1"/>
    <xf numFmtId="0" fontId="4" fillId="0" borderId="0" xfId="0" applyFont="1" applyAlignment="1"/>
    <xf numFmtId="0" fontId="4" fillId="0" borderId="0" xfId="0" applyFont="1" applyAlignment="1">
      <alignment horizontal="right"/>
    </xf>
    <xf numFmtId="0" fontId="19" fillId="0" borderId="0" xfId="0" applyFont="1" applyAlignment="1">
      <alignment horizontal="left"/>
    </xf>
    <xf numFmtId="0" fontId="29" fillId="0" borderId="0" xfId="0" applyFont="1"/>
    <xf numFmtId="0" fontId="5" fillId="2" borderId="0" xfId="0" applyFont="1" applyFill="1" applyAlignment="1"/>
    <xf numFmtId="0" fontId="18" fillId="2" borderId="0" xfId="0" applyFont="1" applyFill="1" applyAlignment="1"/>
    <xf numFmtId="0" fontId="26" fillId="2" borderId="0" xfId="0" applyFont="1" applyFill="1" applyAlignment="1"/>
    <xf numFmtId="0" fontId="35" fillId="2" borderId="0" xfId="0" applyFont="1" applyFill="1" applyAlignment="1"/>
    <xf numFmtId="0" fontId="31" fillId="0" borderId="0" xfId="0" applyFont="1" applyAlignment="1"/>
    <xf numFmtId="0" fontId="42" fillId="2" borderId="0" xfId="0" applyFont="1" applyFill="1" applyAlignment="1"/>
    <xf numFmtId="0" fontId="20" fillId="2" borderId="0" xfId="0" applyFont="1" applyFill="1" applyAlignment="1">
      <alignment horizontal="right"/>
    </xf>
    <xf numFmtId="0" fontId="20" fillId="2" borderId="0" xfId="0" applyFont="1" applyFill="1" applyAlignment="1"/>
    <xf numFmtId="0" fontId="20" fillId="0" borderId="0" xfId="0" applyFont="1" applyAlignment="1"/>
    <xf numFmtId="0" fontId="22" fillId="0" borderId="0" xfId="0" applyFont="1" applyAlignment="1"/>
    <xf numFmtId="0" fontId="21" fillId="2" borderId="5" xfId="0" applyFont="1" applyFill="1" applyBorder="1" applyAlignment="1"/>
    <xf numFmtId="0" fontId="54" fillId="0" borderId="0" xfId="0" applyFont="1" applyAlignment="1"/>
    <xf numFmtId="0" fontId="51" fillId="0" borderId="0" xfId="0" applyFont="1"/>
    <xf numFmtId="0" fontId="54" fillId="0" borderId="0" xfId="0" applyFont="1"/>
    <xf numFmtId="0" fontId="55" fillId="0" borderId="0" xfId="0" applyFont="1" applyAlignment="1"/>
    <xf numFmtId="0" fontId="56" fillId="0" borderId="0" xfId="0" applyFont="1"/>
    <xf numFmtId="0" fontId="51" fillId="0" borderId="0" xfId="0" applyFont="1" applyAlignment="1"/>
    <xf numFmtId="0" fontId="54" fillId="2" borderId="0" xfId="0" applyFont="1" applyFill="1" applyAlignment="1"/>
    <xf numFmtId="0" fontId="51" fillId="0" borderId="0" xfId="0" applyFont="1" applyAlignment="1"/>
    <xf numFmtId="0" fontId="56" fillId="0" borderId="0" xfId="0" applyFont="1" applyAlignment="1"/>
    <xf numFmtId="0" fontId="57" fillId="7" borderId="0" xfId="0" applyFont="1" applyFill="1" applyAlignment="1"/>
    <xf numFmtId="0" fontId="57" fillId="0" borderId="0" xfId="0" applyFont="1" applyAlignment="1"/>
    <xf numFmtId="0" fontId="57" fillId="0" borderId="0" xfId="0" applyFont="1" applyAlignment="1"/>
    <xf numFmtId="0" fontId="4" fillId="0" borderId="0" xfId="0" applyFont="1" applyAlignment="1">
      <alignment wrapText="1"/>
    </xf>
    <xf numFmtId="0" fontId="29" fillId="0" borderId="0" xfId="0" applyFont="1" applyAlignment="1"/>
    <xf numFmtId="0" fontId="57" fillId="8" borderId="0" xfId="0" applyFont="1" applyFill="1" applyAlignment="1"/>
    <xf numFmtId="0" fontId="58" fillId="8" borderId="0" xfId="0" applyFont="1" applyFill="1" applyAlignment="1"/>
    <xf numFmtId="0" fontId="15" fillId="2" borderId="0" xfId="0" applyFont="1" applyFill="1" applyAlignment="1"/>
    <xf numFmtId="0" fontId="57" fillId="0" borderId="0" xfId="0" applyFont="1" applyAlignment="1"/>
    <xf numFmtId="0" fontId="58" fillId="0" borderId="0" xfId="0" applyFont="1" applyAlignment="1"/>
    <xf numFmtId="0" fontId="4" fillId="2" borderId="0" xfId="0" applyFont="1" applyFill="1" applyAlignment="1"/>
    <xf numFmtId="0" fontId="57" fillId="2" borderId="0" xfId="0" applyFont="1" applyFill="1" applyAlignment="1"/>
    <xf numFmtId="0" fontId="4" fillId="0" borderId="6" xfId="0" applyFont="1" applyBorder="1" applyAlignment="1"/>
    <xf numFmtId="0" fontId="4" fillId="0" borderId="5" xfId="0" applyFont="1" applyBorder="1"/>
    <xf numFmtId="0" fontId="4" fillId="0" borderId="7" xfId="0" applyFont="1" applyBorder="1"/>
    <xf numFmtId="0" fontId="4" fillId="0" borderId="8" xfId="0" applyFont="1" applyBorder="1"/>
    <xf numFmtId="0" fontId="4" fillId="0" borderId="9" xfId="0" applyFont="1" applyBorder="1"/>
    <xf numFmtId="0" fontId="4" fillId="0" borderId="9" xfId="0" applyFont="1" applyBorder="1" applyAlignment="1"/>
    <xf numFmtId="0" fontId="4" fillId="9" borderId="0" xfId="0" applyFont="1" applyFill="1"/>
    <xf numFmtId="0" fontId="4" fillId="0" borderId="10" xfId="0" applyFont="1" applyBorder="1"/>
    <xf numFmtId="0" fontId="4" fillId="0" borderId="11" xfId="0" applyFont="1" applyBorder="1"/>
    <xf numFmtId="0" fontId="4" fillId="0" borderId="12" xfId="0" applyFont="1" applyBorder="1"/>
    <xf numFmtId="0" fontId="59" fillId="2" borderId="0" xfId="0" applyFont="1" applyFill="1" applyAlignment="1">
      <alignment horizontal="left"/>
    </xf>
    <xf numFmtId="0" fontId="60" fillId="2" borderId="0" xfId="0" applyFont="1" applyFill="1" applyAlignment="1">
      <alignment horizontal="left"/>
    </xf>
    <xf numFmtId="0" fontId="60" fillId="2" borderId="0" xfId="0" applyFont="1" applyFill="1" applyAlignment="1"/>
    <xf numFmtId="0" fontId="4" fillId="0" borderId="0" xfId="0" applyFont="1" applyAlignment="1"/>
    <xf numFmtId="0" fontId="61" fillId="2" borderId="0" xfId="0" applyFont="1" applyFill="1" applyAlignment="1">
      <alignment horizontal="left"/>
    </xf>
    <xf numFmtId="0" fontId="0" fillId="0" borderId="13" xfId="0" pivotButton="1" applyFont="1" applyBorder="1" applyAlignment="1"/>
    <xf numFmtId="0" fontId="0" fillId="0" borderId="14" xfId="0" applyFont="1" applyBorder="1" applyAlignment="1"/>
    <xf numFmtId="0" fontId="0" fillId="0" borderId="13" xfId="0" applyFont="1" applyBorder="1" applyAlignment="1"/>
    <xf numFmtId="0" fontId="0" fillId="0" borderId="14" xfId="0" applyNumberFormat="1" applyFont="1" applyBorder="1" applyAlignment="1"/>
    <xf numFmtId="0" fontId="0" fillId="0" borderId="15" xfId="0" applyFont="1" applyBorder="1" applyAlignment="1"/>
    <xf numFmtId="0" fontId="0" fillId="0" borderId="16" xfId="0" applyNumberFormat="1" applyFont="1" applyBorder="1" applyAlignment="1"/>
    <xf numFmtId="0" fontId="0" fillId="0" borderId="17" xfId="0" applyFont="1" applyBorder="1" applyAlignment="1"/>
    <xf numFmtId="0" fontId="0" fillId="0" borderId="18" xfId="0" applyNumberFormat="1" applyFont="1" applyBorder="1" applyAlignment="1"/>
    <xf numFmtId="0" fontId="28" fillId="2" borderId="0" xfId="0" applyFont="1" applyFill="1" applyBorder="1" applyAlignment="1">
      <alignment horizontal="right"/>
    </xf>
    <xf numFmtId="0" fontId="21" fillId="0" borderId="3" xfId="0" applyFont="1" applyBorder="1" applyAlignment="1">
      <alignment horizontal="right"/>
    </xf>
    <xf numFmtId="0" fontId="31" fillId="0" borderId="0" xfId="0" applyFont="1" applyBorder="1" applyAlignment="1"/>
    <xf numFmtId="0" fontId="21" fillId="0" borderId="0" xfId="0" applyFont="1" applyBorder="1" applyAlignment="1"/>
    <xf numFmtId="0" fontId="29" fillId="0" borderId="4" xfId="0" applyFont="1" applyBorder="1" applyAlignment="1"/>
    <xf numFmtId="0" fontId="66" fillId="0" borderId="0" xfId="0" applyFont="1" applyAlignment="1">
      <alignment horizontal="left" wrapText="1"/>
    </xf>
    <xf numFmtId="0" fontId="67" fillId="5" borderId="0" xfId="0" applyFont="1" applyFill="1" applyAlignment="1">
      <alignment horizontal="center"/>
    </xf>
    <xf numFmtId="0" fontId="67" fillId="5" borderId="0" xfId="0" applyFont="1" applyFill="1" applyAlignment="1">
      <alignment wrapText="1"/>
    </xf>
    <xf numFmtId="0" fontId="67" fillId="3" borderId="0" xfId="0" applyFont="1" applyFill="1" applyAlignment="1">
      <alignment wrapText="1"/>
    </xf>
    <xf numFmtId="0" fontId="67" fillId="3" borderId="0" xfId="0" applyFont="1" applyFill="1" applyAlignment="1">
      <alignment horizontal="center" wrapText="1"/>
    </xf>
    <xf numFmtId="0" fontId="67" fillId="6" borderId="0" xfId="0" applyFont="1" applyFill="1" applyAlignment="1">
      <alignment wrapText="1"/>
    </xf>
    <xf numFmtId="0" fontId="67" fillId="6" borderId="0" xfId="0" applyFont="1" applyFill="1" applyAlignment="1"/>
    <xf numFmtId="0" fontId="67" fillId="6" borderId="0" xfId="0" applyFont="1" applyFill="1"/>
    <xf numFmtId="0" fontId="68" fillId="0" borderId="0" xfId="0" applyFont="1" applyAlignment="1"/>
    <xf numFmtId="0" fontId="66" fillId="0" borderId="0" xfId="0" applyFont="1" applyAlignment="1">
      <alignment horizontal="left"/>
    </xf>
    <xf numFmtId="0" fontId="69" fillId="5" borderId="0" xfId="0" applyFont="1" applyFill="1" applyAlignment="1">
      <alignment wrapText="1"/>
    </xf>
    <xf numFmtId="0" fontId="66" fillId="5" borderId="0" xfId="0" applyFont="1" applyFill="1" applyAlignment="1">
      <alignment wrapText="1"/>
    </xf>
    <xf numFmtId="0" fontId="66" fillId="3" borderId="0" xfId="0" applyFont="1" applyFill="1"/>
    <xf numFmtId="0" fontId="66" fillId="3" borderId="0" xfId="0" applyFont="1" applyFill="1" applyAlignment="1">
      <alignment horizontal="center" wrapText="1"/>
    </xf>
    <xf numFmtId="0" fontId="66" fillId="6" borderId="0" xfId="0" applyFont="1" applyFill="1" applyAlignment="1">
      <alignment wrapText="1"/>
    </xf>
    <xf numFmtId="0" fontId="66" fillId="5" borderId="0" xfId="0" applyFont="1" applyFill="1" applyAlignment="1">
      <alignment horizontal="center" wrapText="1"/>
    </xf>
    <xf numFmtId="0" fontId="66" fillId="5" borderId="0" xfId="0" applyFont="1" applyFill="1" applyAlignment="1">
      <alignment horizontal="center"/>
    </xf>
    <xf numFmtId="0" fontId="66" fillId="3" borderId="0" xfId="0" applyFont="1" applyFill="1" applyAlignment="1"/>
    <xf numFmtId="0" fontId="66" fillId="6" borderId="0" xfId="0" applyFont="1" applyFill="1" applyAlignment="1"/>
    <xf numFmtId="0" fontId="66" fillId="5" borderId="1" xfId="0" applyFont="1" applyFill="1" applyBorder="1" applyAlignment="1">
      <alignment wrapText="1"/>
    </xf>
    <xf numFmtId="0" fontId="71" fillId="5" borderId="0" xfId="0" applyFont="1" applyFill="1" applyAlignment="1"/>
    <xf numFmtId="0" fontId="66" fillId="5" borderId="1" xfId="0" applyFont="1" applyFill="1" applyBorder="1" applyAlignment="1"/>
    <xf numFmtId="0" fontId="66" fillId="5" borderId="0" xfId="0" applyFont="1" applyFill="1" applyAlignment="1"/>
    <xf numFmtId="0" fontId="68" fillId="6" borderId="0" xfId="0" applyFont="1" applyFill="1" applyAlignment="1"/>
    <xf numFmtId="0" fontId="66" fillId="3" borderId="2" xfId="0" applyFont="1" applyFill="1" applyBorder="1"/>
    <xf numFmtId="0" fontId="66" fillId="3" borderId="0" xfId="0" applyFont="1" applyFill="1" applyAlignment="1">
      <alignment horizontal="center"/>
    </xf>
    <xf numFmtId="0" fontId="66" fillId="5" borderId="0" xfId="0" applyFont="1" applyFill="1"/>
    <xf numFmtId="0" fontId="69" fillId="6" borderId="0" xfId="0" applyFont="1" applyFill="1" applyAlignment="1">
      <alignment horizontal="center" wrapText="1"/>
    </xf>
    <xf numFmtId="0" fontId="66" fillId="6" borderId="0" xfId="0" applyFont="1" applyFill="1" applyAlignment="1">
      <alignment horizontal="center" wrapText="1"/>
    </xf>
    <xf numFmtId="0" fontId="70" fillId="6" borderId="0" xfId="0" applyFont="1" applyFill="1" applyAlignment="1"/>
    <xf numFmtId="0" fontId="68" fillId="6" borderId="0" xfId="0" applyFont="1" applyFill="1" applyAlignment="1">
      <alignment horizontal="left"/>
    </xf>
    <xf numFmtId="0" fontId="66" fillId="3" borderId="0" xfId="0" applyFont="1" applyFill="1" applyAlignment="1">
      <alignment horizontal="right"/>
    </xf>
    <xf numFmtId="0" fontId="69" fillId="6" borderId="0" xfId="0" applyFont="1" applyFill="1" applyAlignment="1"/>
    <xf numFmtId="0" fontId="71" fillId="5" borderId="0" xfId="0" applyFont="1" applyFill="1" applyAlignment="1">
      <alignment horizontal="center" wrapText="1"/>
    </xf>
    <xf numFmtId="0" fontId="68" fillId="5" borderId="0" xfId="0" applyFont="1" applyFill="1" applyAlignment="1"/>
    <xf numFmtId="0" fontId="66" fillId="3" borderId="0" xfId="0" applyFont="1" applyFill="1" applyBorder="1"/>
    <xf numFmtId="0" fontId="66" fillId="0" borderId="0" xfId="0" applyFont="1" applyAlignment="1">
      <alignment horizontal="right"/>
    </xf>
    <xf numFmtId="0" fontId="69" fillId="5" borderId="0" xfId="0" applyFont="1" applyFill="1" applyAlignment="1"/>
    <xf numFmtId="0" fontId="71" fillId="5" borderId="1" xfId="0" applyFont="1" applyFill="1" applyBorder="1" applyAlignment="1"/>
    <xf numFmtId="0" fontId="66" fillId="6" borderId="0" xfId="0" applyFont="1" applyFill="1"/>
    <xf numFmtId="0" fontId="73" fillId="6" borderId="0" xfId="0" applyFont="1" applyFill="1" applyAlignment="1"/>
    <xf numFmtId="0" fontId="70" fillId="5" borderId="0" xfId="0" applyFont="1" applyFill="1" applyAlignment="1">
      <alignment wrapText="1"/>
    </xf>
    <xf numFmtId="0" fontId="69" fillId="6" borderId="0" xfId="0" applyFont="1" applyFill="1" applyAlignment="1">
      <alignment wrapText="1"/>
    </xf>
    <xf numFmtId="0" fontId="68" fillId="5" borderId="0" xfId="0" applyFont="1" applyFill="1" applyAlignment="1">
      <alignment horizontal="left"/>
    </xf>
    <xf numFmtId="0" fontId="67" fillId="0" borderId="0" xfId="0" applyFont="1" applyAlignment="1">
      <alignment horizontal="left"/>
    </xf>
    <xf numFmtId="0" fontId="68" fillId="5" borderId="0" xfId="0" applyFont="1" applyFill="1" applyBorder="1" applyAlignment="1">
      <alignment horizontal="center" wrapText="1"/>
    </xf>
    <xf numFmtId="0" fontId="66" fillId="5" borderId="0" xfId="0" applyFont="1" applyFill="1" applyBorder="1" applyAlignment="1">
      <alignment horizontal="center" wrapText="1"/>
    </xf>
    <xf numFmtId="0" fontId="68" fillId="0" borderId="0" xfId="0" applyFont="1" applyAlignment="1">
      <alignment horizontal="left" wrapText="1"/>
    </xf>
    <xf numFmtId="0" fontId="68" fillId="5" borderId="0" xfId="0" applyFont="1" applyFill="1" applyBorder="1" applyAlignment="1">
      <alignment horizontal="left" wrapText="1"/>
    </xf>
    <xf numFmtId="0" fontId="74" fillId="5" borderId="0" xfId="0" applyFont="1" applyFill="1" applyAlignment="1"/>
    <xf numFmtId="0" fontId="66" fillId="5" borderId="0" xfId="0" applyFont="1" applyFill="1" applyAlignment="1">
      <alignment horizontal="left"/>
    </xf>
    <xf numFmtId="0" fontId="68" fillId="6" borderId="0" xfId="0" applyFont="1" applyFill="1" applyAlignment="1">
      <alignment wrapText="1"/>
    </xf>
    <xf numFmtId="0" fontId="68" fillId="6" borderId="0" xfId="0" applyFont="1" applyFill="1" applyAlignment="1">
      <alignment horizontal="left" wrapText="1"/>
    </xf>
    <xf numFmtId="0" fontId="75" fillId="5" borderId="0" xfId="0" applyFont="1" applyFill="1" applyAlignment="1"/>
    <xf numFmtId="0" fontId="65" fillId="0" borderId="0" xfId="0" applyFont="1" applyAlignment="1"/>
    <xf numFmtId="0" fontId="77" fillId="0" borderId="0" xfId="0" applyFont="1" applyAlignment="1"/>
    <xf numFmtId="0" fontId="65" fillId="0" borderId="0" xfId="0" applyFont="1" applyAlignment="1">
      <alignment wrapText="1"/>
    </xf>
    <xf numFmtId="0" fontId="65" fillId="2" borderId="0" xfId="0" applyFont="1" applyFill="1" applyAlignment="1"/>
    <xf numFmtId="0" fontId="66" fillId="0" borderId="0" xfId="0" applyFont="1" applyAlignment="1"/>
    <xf numFmtId="0" fontId="76" fillId="2" borderId="0" xfId="0" applyFont="1" applyFill="1" applyAlignment="1">
      <alignment horizontal="left"/>
    </xf>
  </cellXfs>
  <cellStyles count="1">
    <cellStyle name="Обычный" xfId="0" builtinId="0"/>
  </cellStyles>
  <dxfs count="6">
    <dxf>
      <fill>
        <patternFill>
          <bgColor theme="6"/>
        </patternFill>
      </fill>
    </dxf>
    <dxf>
      <font>
        <b val="0"/>
        <i val="0"/>
        <strike val="0"/>
        <condense val="0"/>
        <extend val="0"/>
        <outline val="0"/>
        <shadow val="0"/>
        <u val="none"/>
        <vertAlign val="baseline"/>
        <sz val="10"/>
        <color theme="1"/>
        <name val="Arial"/>
        <scheme val="none"/>
      </font>
      <fill>
        <patternFill patternType="solid">
          <fgColor rgb="FFFFFFFF"/>
          <bgColor rgb="FFFFFFFF"/>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scheme val="none"/>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righ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Дарья Харламова" refreshedDate="46098.915545254633" refreshedVersion="8" recordCount="951" xr:uid="{00000000-000A-0000-FFFF-FFFF00000000}">
  <cacheSource type="worksheet">
    <worksheetSource ref="F1:F952" sheet="gen_inf"/>
  </cacheSource>
  <cacheFields count="1">
    <cacheField name="status" numFmtId="0">
      <sharedItems containsBlank="1" count="3">
        <s v="ready"/>
        <s v="draft"/>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1">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1"/>
  </r>
  <r>
    <x v="0"/>
  </r>
  <r>
    <x v="0"/>
  </r>
  <r>
    <x v="0"/>
  </r>
  <r>
    <x v="0"/>
  </r>
  <r>
    <x v="0"/>
  </r>
  <r>
    <x v="0"/>
  </r>
  <r>
    <x v="0"/>
  </r>
  <r>
    <x v="0"/>
  </r>
  <r>
    <x v="1"/>
  </r>
  <r>
    <x v="0"/>
  </r>
  <r>
    <x v="0"/>
  </r>
  <r>
    <x v="0"/>
  </r>
  <r>
    <x v="0"/>
  </r>
  <r>
    <x v="1"/>
  </r>
  <r>
    <x v="0"/>
  </r>
  <r>
    <x v="0"/>
  </r>
  <r>
    <x v="0"/>
  </r>
  <r>
    <x v="0"/>
  </r>
  <r>
    <x v="1"/>
  </r>
  <r>
    <x v="0"/>
  </r>
  <r>
    <x v="0"/>
  </r>
  <r>
    <x v="0"/>
  </r>
  <r>
    <x v="0"/>
  </r>
  <r>
    <x v="0"/>
  </r>
  <r>
    <x v="0"/>
  </r>
  <r>
    <x v="0"/>
  </r>
  <r>
    <x v="0"/>
  </r>
  <r>
    <x v="0"/>
  </r>
  <r>
    <x v="0"/>
  </r>
  <r>
    <x v="0"/>
  </r>
  <r>
    <x v="0"/>
  </r>
  <r>
    <x v="0"/>
  </r>
  <r>
    <x v="0"/>
  </r>
  <r>
    <x v="0"/>
  </r>
  <r>
    <x v="0"/>
  </r>
  <r>
    <x v="0"/>
  </r>
  <r>
    <x v="0"/>
  </r>
  <r>
    <x v="0"/>
  </r>
  <r>
    <x v="0"/>
  </r>
  <r>
    <x v="1"/>
  </r>
  <r>
    <x v="1"/>
  </r>
  <r>
    <x v="0"/>
  </r>
  <r>
    <x v="0"/>
  </r>
  <r>
    <x v="0"/>
  </r>
  <r>
    <x v="0"/>
  </r>
  <r>
    <x v="0"/>
  </r>
  <r>
    <x v="0"/>
  </r>
  <r>
    <x v="0"/>
  </r>
  <r>
    <x v="0"/>
  </r>
  <r>
    <x v="0"/>
  </r>
  <r>
    <x v="0"/>
  </r>
  <r>
    <x v="0"/>
  </r>
  <r>
    <x v="0"/>
  </r>
  <r>
    <x v="0"/>
  </r>
  <r>
    <x v="0"/>
  </r>
  <r>
    <x v="0"/>
  </r>
  <r>
    <x v="0"/>
  </r>
  <r>
    <x v="0"/>
  </r>
  <r>
    <x v="0"/>
  </r>
  <r>
    <x v="0"/>
  </r>
  <r>
    <x v="0"/>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gen_inf" cacheId="4" applyNumberFormats="0" applyBorderFormats="0" applyFontFormats="0" applyPatternFormats="0" applyAlignmentFormats="0" applyWidthHeightFormats="0" dataCaption="" updatedVersion="8" compact="0" compactData="0">
  <location ref="H2:I6" firstHeaderRow="1" firstDataRow="1" firstDataCol="1"/>
  <pivotFields count="1">
    <pivotField name="status" axis="axisRow" dataField="1" compact="0" outline="0" multipleItemSelectionAllowed="1" showAll="0" sortType="ascending">
      <items count="4">
        <item x="1"/>
        <item x="0"/>
        <item x="2"/>
        <item t="default"/>
      </items>
    </pivotField>
  </pivotFields>
  <rowFields count="1">
    <field x="0"/>
  </rowFields>
  <rowItems count="4">
    <i>
      <x/>
    </i>
    <i>
      <x v="1"/>
    </i>
    <i>
      <x v="2"/>
    </i>
    <i t="grand">
      <x/>
    </i>
  </rowItems>
  <colItems count="1">
    <i/>
  </colItems>
  <dataFields count="1">
    <dataField name="COUNTA of status" fld="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gen_inf 2" cacheId="4" applyNumberFormats="0" applyBorderFormats="0" applyFontFormats="0" applyPatternFormats="0" applyAlignmentFormats="0" applyWidthHeightFormats="0" dataCaption="" updatedVersion="8" compact="0" compactData="0">
  <location ref="H9:I13" firstHeaderRow="1" firstDataRow="1" firstDataCol="1"/>
  <pivotFields count="1">
    <pivotField name="status" axis="axisRow" dataField="1" compact="0" outline="0" multipleItemSelectionAllowed="1" showAll="0" sortType="ascending">
      <items count="4">
        <item x="1"/>
        <item x="0"/>
        <item x="2"/>
        <item t="default"/>
      </items>
    </pivotField>
  </pivotFields>
  <rowFields count="1">
    <field x="0"/>
  </rowFields>
  <rowItems count="4">
    <i>
      <x/>
    </i>
    <i>
      <x v="1"/>
    </i>
    <i>
      <x v="2"/>
    </i>
    <i t="grand">
      <x/>
    </i>
  </rowItems>
  <colItems count="1">
    <i/>
  </colItems>
  <dataFields count="1">
    <dataField name="COUNTA of status" fld="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CB519DA-39D8-4326-8C07-7A1A94B5C8A1}" name="Таблица2" displayName="Таблица2" ref="A1:F131" totalsRowShown="0">
  <autoFilter ref="A1:F131" xr:uid="{3CB519DA-39D8-4326-8C07-7A1A94B5C8A1}"/>
  <sortState xmlns:xlrd2="http://schemas.microsoft.com/office/spreadsheetml/2017/richdata2" ref="A2:F131">
    <sortCondition ref="A1:A131"/>
  </sortState>
  <tableColumns count="6">
    <tableColumn id="1" xr3:uid="{2A7609BA-4272-406A-82C2-D2CA596137AA}" name="construction_id" dataDxfId="5"/>
    <tableColumn id="2" xr3:uid="{C00C9E2C-D0AB-4AD3-AC02-270DAAED4D08}" name="construction name" dataDxfId="4"/>
    <tableColumn id="5" xr3:uid="{D263E7FB-C5F0-47CA-AB80-96EAFEEA0763}" name="group_number"/>
    <tableColumn id="6" xr3:uid="{A8026284-D497-42EA-BDE2-E0BB00AFEB93}" name="annotated_sample" dataDxfId="3"/>
    <tableColumn id="7" xr3:uid="{60CDEFAE-710A-48DF-89BA-9CA35515E351}" name="term_paper" dataDxfId="2"/>
    <tableColumn id="8" xr3:uid="{AAC13F1B-7BE0-4171-9B61-EC142986D65A}" name="status" dataDxfId="1"/>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ocs.google.com/document/d/15BLqgfTNE66nBXcO3CbD6msk1F46KI2CFM_6zOKZmWc/edit?usp=sharing" TargetMode="External"/><Relationship Id="rId21" Type="http://schemas.openxmlformats.org/officeDocument/2006/relationships/hyperlink" Target="https://docs.google.com/spreadsheets/d/1spaN4SNhqJPavCuchXBkNCyH-3jKw-9ncV1U2JbXf74/edit?usp=sharing" TargetMode="External"/><Relationship Id="rId42" Type="http://schemas.openxmlformats.org/officeDocument/2006/relationships/hyperlink" Target="https://drive.google.com/file/d/1BPU_HPFA4IkowjPe4xRhd5EvqTy6DtQD/view?usp=sharing" TargetMode="External"/><Relationship Id="rId47" Type="http://schemas.openxmlformats.org/officeDocument/2006/relationships/hyperlink" Target="https://docs.google.com/document/d/18znWbnCGtPNQiXdRtfzq-WVyLCjKbnXnEwhHVAdsdJo/edit?usp=sharing" TargetMode="External"/><Relationship Id="rId63" Type="http://schemas.openxmlformats.org/officeDocument/2006/relationships/hyperlink" Target="https://drive.google.com/file/d/1xkMxqDTvKoSPKauSNPG4kkWuRzEmwFTi/view?usp=sharing" TargetMode="External"/><Relationship Id="rId68" Type="http://schemas.openxmlformats.org/officeDocument/2006/relationships/hyperlink" Target="https://docs.google.com/document/d/1QLeLFMo9e-EYbI4GCuJBLXVrZWQ-2u08Sw_bx0Sq9IE/edit?usp=sharing" TargetMode="External"/><Relationship Id="rId84" Type="http://schemas.openxmlformats.org/officeDocument/2006/relationships/hyperlink" Target="https://docs.google.com/document/d/1PXIZ0TlRtXSqLiFcznuYFmY78SZ1dEvD/edit?usp=drive_link&amp;ouid=100858586463664673812&amp;rtpof=true&amp;sd=true" TargetMode="External"/><Relationship Id="rId89" Type="http://schemas.openxmlformats.org/officeDocument/2006/relationships/hyperlink" Target="https://docs.google.com/spreadsheets/d/127XP336sPKx9eFd5cEPrj7aLTcr3KooU7MbZFzAl8zE/edit" TargetMode="External"/><Relationship Id="rId16" Type="http://schemas.openxmlformats.org/officeDocument/2006/relationships/hyperlink" Target="https://drive.google.com/file/d/1uk-AjtbsJ1wkcsIKYqaHZXvG5_FV5y0X/view?usp=sharing" TargetMode="External"/><Relationship Id="rId11" Type="http://schemas.openxmlformats.org/officeDocument/2006/relationships/hyperlink" Target="https://docs.google.com/spreadsheets/d/1VfxibQAZFilOnLBn7z79TO0mq5IU2Ehn/edit?usp=sharing&amp;ouid=114133663026573777689&amp;rtpof=true&amp;sd=true" TargetMode="External"/><Relationship Id="rId32" Type="http://schemas.openxmlformats.org/officeDocument/2006/relationships/hyperlink" Target="https://docs.google.com/document/d/1kuBhp3uWs0Vk8xpD1d_VMqT3tKRCz2bPKvQxuSLZaLg/edit?usp=sharing" TargetMode="External"/><Relationship Id="rId37" Type="http://schemas.openxmlformats.org/officeDocument/2006/relationships/hyperlink" Target="https://drive.google.com/file/d/1qD3wB9-Ddeuk1UkSM7ZTw1bwcVirLmL_/view?usp=sharing" TargetMode="External"/><Relationship Id="rId53" Type="http://schemas.openxmlformats.org/officeDocument/2006/relationships/hyperlink" Target="https://docs.google.com/document/d/1zBgsPyuaPcElC0VW6iaJX9X4al69XzmdN9eNwjsGn4M/edit" TargetMode="External"/><Relationship Id="rId58" Type="http://schemas.openxmlformats.org/officeDocument/2006/relationships/hyperlink" Target="https://drive.google.com/file/d/1GgUBwj1vW7PQKV1EIYs8tywffU5HsQXr/view?usp=sharing" TargetMode="External"/><Relationship Id="rId74" Type="http://schemas.openxmlformats.org/officeDocument/2006/relationships/hyperlink" Target="https://docs.google.com/document/d/12P9GpKYBHZnxatDU1Zfu2TPS8fQt-By_/edit?usp=sharing&amp;ouid=108067062046513429349&amp;rtpof=true&amp;sd=true" TargetMode="External"/><Relationship Id="rId79" Type="http://schemas.openxmlformats.org/officeDocument/2006/relationships/hyperlink" Target="https://docs.google.com/spreadsheets/d/1h88LdZWyBScJp7e-RAp9uCUPtMP40Tme/edit?usp=sharing&amp;ouid=101523672450776755127&amp;rtpof=true&amp;sd=true" TargetMode="External"/><Relationship Id="rId102" Type="http://schemas.openxmlformats.org/officeDocument/2006/relationships/hyperlink" Target="https://drive.google.com/file/d/1-RbujWHgExfURPLIHH6MeBMGyt-g6BW7/view?usp=sharing" TargetMode="External"/><Relationship Id="rId5" Type="http://schemas.openxmlformats.org/officeDocument/2006/relationships/hyperlink" Target="https://docs.google.com/spreadsheets/d/1ijqJ3ftXhQmSNP4Q_uh1A0RDGkB4ky3Bt2Kqnu_UD1E/edit?usp=sharing" TargetMode="External"/><Relationship Id="rId90" Type="http://schemas.openxmlformats.org/officeDocument/2006/relationships/hyperlink" Target="https://docs.google.com/spreadsheets/d/1kgI3nyTy70oxKAK9l_1o5JMigCk6N7MmHWC_8iP7xPE/edit" TargetMode="External"/><Relationship Id="rId95" Type="http://schemas.openxmlformats.org/officeDocument/2006/relationships/hyperlink" Target="https://docs.google.com/document/d/1M3yyvMwI98lhFs1A1cPEWvT9-Zm_CZZ7Oyimp_rlQSs/edit" TargetMode="External"/><Relationship Id="rId22" Type="http://schemas.openxmlformats.org/officeDocument/2006/relationships/hyperlink" Target="https://docs.google.com/document/d/1bFGgKAVe7huoYK3YJ9WcJSp2M-HvU50apvmwylm1zhw/edit?usp=sharing" TargetMode="External"/><Relationship Id="rId27" Type="http://schemas.openxmlformats.org/officeDocument/2006/relationships/hyperlink" Target="https://docs.google.com/spreadsheets/d/1gqP6PptIFvW4yC6GG0-mPmmqeXaOovPPu8nNiuS9N_Y/edit?usp=sharing" TargetMode="External"/><Relationship Id="rId43" Type="http://schemas.openxmlformats.org/officeDocument/2006/relationships/hyperlink" Target="https://drive.google.com/file/d/1iLjsmDqiWXjwu4bG_pCMIHAZtHo_VwJD/view?usp=sharing" TargetMode="External"/><Relationship Id="rId48" Type="http://schemas.openxmlformats.org/officeDocument/2006/relationships/hyperlink" Target="https://docs.google.com/spreadsheets/d/10Mi-2dAUrvuGPf_XdxkXdYRA7DfYz35p7_jdosRvsm0/edit?usp=sharing" TargetMode="External"/><Relationship Id="rId64" Type="http://schemas.openxmlformats.org/officeDocument/2006/relationships/hyperlink" Target="https://drive.google.com/file/d/10oU9lEGj_vZEiaSlDBAoR-OGA6J54z_g/view?usp=sharing" TargetMode="External"/><Relationship Id="rId69" Type="http://schemas.openxmlformats.org/officeDocument/2006/relationships/hyperlink" Target="https://docs.google.com/spreadsheets/d/1DwgykeqlkCa6JHrUl1iDnEZccMBW5ScM-ABWhb_d8Ew/edit?usp=sharing" TargetMode="External"/><Relationship Id="rId80" Type="http://schemas.openxmlformats.org/officeDocument/2006/relationships/hyperlink" Target="https://docs.google.com/document/d/1QIBIMHc0_thucTyQOp8AXmCDjbOvwukp/edit?usp=sharing&amp;ouid=101523672450776755127&amp;rtpof=true&amp;sd=true" TargetMode="External"/><Relationship Id="rId85" Type="http://schemas.openxmlformats.org/officeDocument/2006/relationships/hyperlink" Target="https://docs.google.com/spreadsheets/d/1FMFSMvAlM4CqUO9S_huv0q9C1IM1tZAl/edit?usp=sharing&amp;ouid=110306721958136206341&amp;rtpof=true&amp;sd=true" TargetMode="External"/><Relationship Id="rId12" Type="http://schemas.openxmlformats.org/officeDocument/2006/relationships/hyperlink" Target="https://docs.google.com/document/d/1gNqQARajWrI6iE4F2rfiX31bkubclDDE/edit" TargetMode="External"/><Relationship Id="rId17" Type="http://schemas.openxmlformats.org/officeDocument/2006/relationships/hyperlink" Target="https://drive.google.com/file/d/1pGbcPJr03yrwgKv3uT88POULNN09hATk/view?usp=sharing" TargetMode="External"/><Relationship Id="rId33" Type="http://schemas.openxmlformats.org/officeDocument/2006/relationships/hyperlink" Target="https://docs.google.com/spreadsheets/d/1uvadGo5IE4_A7rAajjnvmLPoSzYJLN-43ysq7G8EMdI/edit?usp=sharing" TargetMode="External"/><Relationship Id="rId38" Type="http://schemas.openxmlformats.org/officeDocument/2006/relationships/hyperlink" Target="https://drive.google.com/drive/folders/1sMN0Ak6iZBJxU2Kyz0xUTGdXq-XTBdZf?usp=sharing" TargetMode="External"/><Relationship Id="rId59" Type="http://schemas.openxmlformats.org/officeDocument/2006/relationships/hyperlink" Target="https://drive.google.com/file/d/1K4vb2z8Fjy7Es-d35O8lrw1zGdfGlZs9/view?usp=sharing" TargetMode="External"/><Relationship Id="rId103" Type="http://schemas.openxmlformats.org/officeDocument/2006/relationships/vmlDrawing" Target="../drawings/vmlDrawing1.vml"/><Relationship Id="rId20" Type="http://schemas.openxmlformats.org/officeDocument/2006/relationships/hyperlink" Target="https://drive.google.com/file/d/14noRFwDF9iiyZtIQGWrycgskyKBN4-B2/view?usp=sharing" TargetMode="External"/><Relationship Id="rId41" Type="http://schemas.openxmlformats.org/officeDocument/2006/relationships/hyperlink" Target="https://drive.google.com/drive/u/0/my-drive" TargetMode="External"/><Relationship Id="rId54" Type="http://schemas.openxmlformats.org/officeDocument/2006/relationships/hyperlink" Target="https://drive.google.com/file/d/1KYUJt7CUvPhdZN2j275KAwkBbd41Dcmd/view?usp=sharing" TargetMode="External"/><Relationship Id="rId62" Type="http://schemas.openxmlformats.org/officeDocument/2006/relationships/hyperlink" Target="https://docs.google.com/spreadsheets/d/1xD421J20gZyNw8RNrZDIZoo4xDDYe2H0v8zrmlzki5w/edit?usp=sharing" TargetMode="External"/><Relationship Id="rId70" Type="http://schemas.openxmlformats.org/officeDocument/2006/relationships/hyperlink" Target="https://docs.google.com/document/d/1aXHMGDVOIsSIuRdvvobt8kGVH8GnbRQyt5Bu33rMb1Q/edit?usp=sharing" TargetMode="External"/><Relationship Id="rId75" Type="http://schemas.openxmlformats.org/officeDocument/2006/relationships/hyperlink" Target="https://docs.google.com/spreadsheets/d/1ThwAv1YaO3PDNARaugFPTZ_UYEH0wLpsGFzrrqb-We0/edit?usp=sharing" TargetMode="External"/><Relationship Id="rId83" Type="http://schemas.openxmlformats.org/officeDocument/2006/relationships/hyperlink" Target="https://docs.google.com/spreadsheets/d/16XCrJJ_PaZEuJWulGT9MXMOqyMEXV7Az6BZKT967wck/edit?usp=sharing" TargetMode="External"/><Relationship Id="rId88" Type="http://schemas.openxmlformats.org/officeDocument/2006/relationships/hyperlink" Target="https://docs.google.com/document/d/1PfXZ6L_TuJZp0zCzuBxwgQwvxJvS7LHVU58jjZ_EyPA/edit" TargetMode="External"/><Relationship Id="rId91" Type="http://schemas.openxmlformats.org/officeDocument/2006/relationships/hyperlink" Target="https://docs.google.com/document/d/1LBgRw1TvlCBA9ur87MJjo3G1ERoJ3Q7HIy0F6HFhVuc/edit" TargetMode="External"/><Relationship Id="rId96" Type="http://schemas.openxmlformats.org/officeDocument/2006/relationships/hyperlink" Target="https://docs.google.com/spreadsheets/d/10sNL4P1IGggjiYLFI80UtwHP5PPDoYCywJOBU9ok66E/edit?usp=sharing" TargetMode="External"/><Relationship Id="rId1" Type="http://schemas.openxmlformats.org/officeDocument/2006/relationships/pivotTable" Target="../pivotTables/pivotTable1.xml"/><Relationship Id="rId6" Type="http://schemas.openxmlformats.org/officeDocument/2006/relationships/hyperlink" Target="https://docs.google.com/document/d/1xXYguOl8lysfWz1VWNu1tc9STk_yYf6EZaK6OUMxXPI/edit" TargetMode="External"/><Relationship Id="rId15" Type="http://schemas.openxmlformats.org/officeDocument/2006/relationships/hyperlink" Target="https://drive.google.com/file/d/1dzYMh58I7t5GlgC79sW53_wPUIWM6ql0/view?usp=sharing" TargetMode="External"/><Relationship Id="rId23" Type="http://schemas.openxmlformats.org/officeDocument/2006/relationships/hyperlink" Target="https://docs.google.com/spreadsheets/d/1wV0T7ztwUuqVMba4vfOTdxuBDn1iFYRP8OD2zKa4Np8/edit?usp=sharing" TargetMode="External"/><Relationship Id="rId28" Type="http://schemas.openxmlformats.org/officeDocument/2006/relationships/hyperlink" Target="https://drive.google.com/file/d/10wXX1c4x2Ii5WELlF72kpdljwXcjCfET/view?usp=sharing" TargetMode="External"/><Relationship Id="rId36" Type="http://schemas.openxmlformats.org/officeDocument/2006/relationships/hyperlink" Target="https://drive.google.com/file/d/1rnwxlQL8Lxh_aKk8SC7SQ_WIcAvAa5sy/view?usp=sharing" TargetMode="External"/><Relationship Id="rId49" Type="http://schemas.openxmlformats.org/officeDocument/2006/relationships/hyperlink" Target="https://docs.google.com/document/d/1zS5ZVVVcoMQjtVPYm_Getvh0t5eXrAOXqrnJPyLh-u4/edit?usp=sharing" TargetMode="External"/><Relationship Id="rId57" Type="http://schemas.openxmlformats.org/officeDocument/2006/relationships/hyperlink" Target="https://drive.google.com/file/d/1bPqSR8cxQzwh3XnePtcC5CNASdyFwmNF/view?usp=sharing" TargetMode="External"/><Relationship Id="rId10" Type="http://schemas.openxmlformats.org/officeDocument/2006/relationships/hyperlink" Target="https://docs.google.com/document/d/1xDG7vaAK6P7sJuerwipFto2o_PYvV-WD/edit?usp=sharing&amp;ouid=101078185672813336682&amp;rtpof=true&amp;sd=true" TargetMode="External"/><Relationship Id="rId31" Type="http://schemas.openxmlformats.org/officeDocument/2006/relationships/hyperlink" Target="https://docs.google.com/spreadsheets/d/19O6zAa3k6cPUDxDi2_rIUqXKZv4AdQ9Y2sG2MKU3RCg/edit?usp=sharing" TargetMode="External"/><Relationship Id="rId44" Type="http://schemas.openxmlformats.org/officeDocument/2006/relationships/hyperlink" Target="https://drive.google.com/file/d/1U5cX-Ja6D3pQ_qaOCQq2oXUpqGg6p1uZ/view?usp=sharing" TargetMode="External"/><Relationship Id="rId52" Type="http://schemas.openxmlformats.org/officeDocument/2006/relationships/hyperlink" Target="https://drive.google.com/file/d/1og8uFOmGNG3LNTRhWeOYogCUPvS2efLl/view?usp=sharing" TargetMode="External"/><Relationship Id="rId60" Type="http://schemas.openxmlformats.org/officeDocument/2006/relationships/hyperlink" Target="https://docs.google.com/document/d/1a4GsayLLPRS-uFafuP4Z23k2cfzJDT95XfoZN3f-iZU/edit?usp=sharing" TargetMode="External"/><Relationship Id="rId65" Type="http://schemas.openxmlformats.org/officeDocument/2006/relationships/hyperlink" Target="https://docs.google.com/spreadsheets/d/18DKFy52j7ySX8dYYPHlTSFFVEDGntm9t/edit?usp=drive_link&amp;ouid=107505088657043855546&amp;rtpof=true&amp;sd=true" TargetMode="External"/><Relationship Id="rId73" Type="http://schemas.openxmlformats.org/officeDocument/2006/relationships/hyperlink" Target="https://docs.google.com/spreadsheets/d/1smNA3VXmcSBwj_xt6RY1oUHQRqT3L6FSU3exAwqqVXw/edit?usp=sharing" TargetMode="External"/><Relationship Id="rId78" Type="http://schemas.openxmlformats.org/officeDocument/2006/relationships/hyperlink" Target="https://drive.google.com/file/d/1OeD2S3qewbc1gxsK3OFAw8S_VKo-NNok/view?usp=drive_link" TargetMode="External"/><Relationship Id="rId81" Type="http://schemas.openxmlformats.org/officeDocument/2006/relationships/hyperlink" Target="https://disk.yandex.ru/i/cOsKX0GuFa135A" TargetMode="External"/><Relationship Id="rId86" Type="http://schemas.openxmlformats.org/officeDocument/2006/relationships/hyperlink" Target="https://docs.google.com/document/d/1jcJa-F6lMc0-kmUzahZSyGR2NJQwyWA5/edit?usp=sharing&amp;ouid=110306721958136206341&amp;rtpof=true&amp;sd=true" TargetMode="External"/><Relationship Id="rId94" Type="http://schemas.openxmlformats.org/officeDocument/2006/relationships/hyperlink" Target="https://docs.google.com/spreadsheets/d/1RsgLEIe09JOAwzcHa4fILTM8orhotOlOsEem8h55zEc/edit?usp=sharing" TargetMode="External"/><Relationship Id="rId99" Type="http://schemas.openxmlformats.org/officeDocument/2006/relationships/hyperlink" Target="https://docs.google.com/document/d/1ppw-KrsFTmdh4SJp8Oh-cLqnmpkzLCfQl8V5v_Iw4ns/edit" TargetMode="External"/><Relationship Id="rId101" Type="http://schemas.openxmlformats.org/officeDocument/2006/relationships/hyperlink" Target="https://docs.google.com/spreadsheets/d/1LY-wLzoF0i9Y2Bns1TC0dzfowQ0LkBcQV6XhRS2ZT8c/edit?usp=sharing" TargetMode="External"/><Relationship Id="rId4" Type="http://schemas.openxmlformats.org/officeDocument/2006/relationships/hyperlink" Target="https://docs.google.com/document/d/1J-5B6RCzw6n2VEWWlqFhm0R0O2EQqzPtEBt4ogGxXG4/edit?usp=sharing" TargetMode="External"/><Relationship Id="rId9" Type="http://schemas.openxmlformats.org/officeDocument/2006/relationships/hyperlink" Target="https://docs.google.com/spreadsheets/d/1tkfi-eqh3V1dYEPvbxeCzSLioNPqUX1bjyGGNMY8RnU/edit?usp=sharing" TargetMode="External"/><Relationship Id="rId13" Type="http://schemas.openxmlformats.org/officeDocument/2006/relationships/hyperlink" Target="https://docs.google.com/document/d/1Pc1AVLnUx-kqh7-o6pKU5Wm5xK_9JYwN8uKSr6crtw8/edit" TargetMode="External"/><Relationship Id="rId18" Type="http://schemas.openxmlformats.org/officeDocument/2006/relationships/hyperlink" Target="https://drive.google.com/file/d/1WY8l_faAT5IAIwTObMkYK2nAE0JnbWZD/view?usp=sharing" TargetMode="External"/><Relationship Id="rId39" Type="http://schemas.openxmlformats.org/officeDocument/2006/relationships/hyperlink" Target="https://drive.google.com/drive/folders/1sMN0Ak6iZBJxU2Kyz0xUTGdXq-XTBdZf?usp=sharing" TargetMode="External"/><Relationship Id="rId34" Type="http://schemas.openxmlformats.org/officeDocument/2006/relationships/hyperlink" Target="https://drive.google.com/file/d/1Da1lL7nKDovp063Of4yw6udHJmgYBF_8/view?usp=sharing" TargetMode="External"/><Relationship Id="rId50" Type="http://schemas.openxmlformats.org/officeDocument/2006/relationships/hyperlink" Target="https://docs.google.com/spreadsheets/d/1_ax5KaAIM24DpzIlZaT7Sm37oHier-erxJqfFeafuU4/edit?usp=sharing" TargetMode="External"/><Relationship Id="rId55" Type="http://schemas.openxmlformats.org/officeDocument/2006/relationships/hyperlink" Target="https://docs.google.com/document/d/1ZFpX30r8ZQsnxzv_1rpfHbwAjscrQNWUtZrPMPHkfkw/edit?usp=sharing" TargetMode="External"/><Relationship Id="rId76" Type="http://schemas.openxmlformats.org/officeDocument/2006/relationships/hyperlink" Target="https://docs.google.com/document/d/13TOot3klj3dQ5VFcnEcRRxFwAm-cAVuT2-mcj0b2834/edit?usp=sharing" TargetMode="External"/><Relationship Id="rId97" Type="http://schemas.openxmlformats.org/officeDocument/2006/relationships/hyperlink" Target="https://docs.google.com/document/d/1AN68sO_yp0aTopWIF5nwKAxumpOf-d2bQaowa9r2BTA/edit?usp=sharing" TargetMode="External"/><Relationship Id="rId104" Type="http://schemas.openxmlformats.org/officeDocument/2006/relationships/table" Target="../tables/table1.xml"/><Relationship Id="rId7" Type="http://schemas.openxmlformats.org/officeDocument/2006/relationships/hyperlink" Target="https://docs.google.com/spreadsheets/d/1TCic9Nr9-DAF6mvzO-aC7Co0I9o1mqYPyfKf3LYeNO0/edit" TargetMode="External"/><Relationship Id="rId71" Type="http://schemas.openxmlformats.org/officeDocument/2006/relationships/hyperlink" Target="https://drive.google.com/file/d/1t_wUpD9x4B7pYKeYJP8wzcsL6Mu2Xs5O/view?usp=sharing" TargetMode="External"/><Relationship Id="rId92" Type="http://schemas.openxmlformats.org/officeDocument/2006/relationships/hyperlink" Target="https://docs.google.com/spreadsheets/d/1FHaXiDtp3OT1C3WsKGn1L41JDVseuJVs9MkFO_klkR8/edit" TargetMode="External"/><Relationship Id="rId2" Type="http://schemas.openxmlformats.org/officeDocument/2006/relationships/pivotTable" Target="../pivotTables/pivotTable2.xml"/><Relationship Id="rId29" Type="http://schemas.openxmlformats.org/officeDocument/2006/relationships/hyperlink" Target="https://drive.google.com/drive/folders/1kz5CZJxoYIu0RG4_56zU3_8GFyfK5_WD?usp=sharing" TargetMode="External"/><Relationship Id="rId24" Type="http://schemas.openxmlformats.org/officeDocument/2006/relationships/hyperlink" Target="https://docs.google.com/document/d/1hV1waLu-WoAFvri1EqMyF83Vz0PFnq7V1ahO91Ntxzw/edit?usp=sharing" TargetMode="External"/><Relationship Id="rId40" Type="http://schemas.openxmlformats.org/officeDocument/2006/relationships/hyperlink" Target="https://docs.google.com/spreadsheets/d/1HgJBZVjRR0V2VtO2RzsJuk4XgrgCMDws_IEH5uoCs4M/edit?usp=sharing" TargetMode="External"/><Relationship Id="rId45" Type="http://schemas.openxmlformats.org/officeDocument/2006/relationships/hyperlink" Target="https://drive.google.com/file/d/1dN3pX2sKyl49BVriLhAQDZIrQ5ieVW8c/view?usp=sharing" TargetMode="External"/><Relationship Id="rId66" Type="http://schemas.openxmlformats.org/officeDocument/2006/relationships/hyperlink" Target="https://drive.google.com/file/d/1H8uI4yf-O_7ikAJ6lUZOC-V8VNC5zzLr/view?usp=drive_link" TargetMode="External"/><Relationship Id="rId87" Type="http://schemas.openxmlformats.org/officeDocument/2006/relationships/hyperlink" Target="https://docs.google.com/spreadsheets/d/1OZNXPj_hMmFWVZGYqORsHwJNOgfmeZPO/edit" TargetMode="External"/><Relationship Id="rId61" Type="http://schemas.openxmlformats.org/officeDocument/2006/relationships/hyperlink" Target="https://docs.google.com/document/d/1IcIpm7HjGnaCP4f3aE91YzMfCj4QAdggPezPSUHwxi0/edit?usp=sharing" TargetMode="External"/><Relationship Id="rId82" Type="http://schemas.openxmlformats.org/officeDocument/2006/relationships/hyperlink" Target="https://disk.yandex.ru/i/0tbOCQjYQSiolQ" TargetMode="External"/><Relationship Id="rId19" Type="http://schemas.openxmlformats.org/officeDocument/2006/relationships/hyperlink" Target="https://drive.google.com/file/d/1OpCENCBXSPDvPphA7J4d-NSn73wX8bBs/view?usp=sharing" TargetMode="External"/><Relationship Id="rId14" Type="http://schemas.openxmlformats.org/officeDocument/2006/relationships/hyperlink" Target="https://drive.google.com/file/d/18duhmqdbfJffVbO8h1cMIutNokIlWyWl/view?usp=sharing" TargetMode="External"/><Relationship Id="rId30" Type="http://schemas.openxmlformats.org/officeDocument/2006/relationships/hyperlink" Target="https://drive.google.com/drive/folders/1kz5CZJxoYIu0RG4_56zU3_8GFyfK5_WD?usp=sharing" TargetMode="External"/><Relationship Id="rId35" Type="http://schemas.openxmlformats.org/officeDocument/2006/relationships/hyperlink" Target="https://drive.google.com/file/d/1zqMo7KxWaGJ2JApSM4AGDLEzq63KJsli/view?usp=sharing" TargetMode="External"/><Relationship Id="rId56" Type="http://schemas.openxmlformats.org/officeDocument/2006/relationships/hyperlink" Target="https://docs.google.com/spreadsheets/d/1p9S4cHU2W4RcRsu4MA1tgcKZo-nVVxy51iEW_WeZJkA/edit?usp=sharing" TargetMode="External"/><Relationship Id="rId77" Type="http://schemas.openxmlformats.org/officeDocument/2006/relationships/hyperlink" Target="https://docs.google.com/document/d/1RuC5974DoF7BoZz2GKC7uQ-rcMnWxJ7jBqeC4otYA98/edit?usp=sharing" TargetMode="External"/><Relationship Id="rId100" Type="http://schemas.openxmlformats.org/officeDocument/2006/relationships/hyperlink" Target="https://disk.yandex.ru/i/UIGl8QSNkH37-Q" TargetMode="External"/><Relationship Id="rId105" Type="http://schemas.openxmlformats.org/officeDocument/2006/relationships/comments" Target="../comments1.xml"/><Relationship Id="rId8" Type="http://schemas.openxmlformats.org/officeDocument/2006/relationships/hyperlink" Target="https://docs.google.com/document/d/1oHS8CcEY78bf90G94rL4rdqV1eUHRlZkwM3ZxfHbZ0o/edit" TargetMode="External"/><Relationship Id="rId51" Type="http://schemas.openxmlformats.org/officeDocument/2006/relationships/hyperlink" Target="https://drive.google.com/file/d/1u36TgR2QDv7b_0jPC8jrcVM2MPYAEF86/view?usp=sharing" TargetMode="External"/><Relationship Id="rId72" Type="http://schemas.openxmlformats.org/officeDocument/2006/relationships/hyperlink" Target="https://drive.google.com/file/d/1MYauLy29rzyFaE_TZzUPNiGcXqqTXyPG/view?usp=sharing" TargetMode="External"/><Relationship Id="rId93" Type="http://schemas.openxmlformats.org/officeDocument/2006/relationships/hyperlink" Target="https://docs.google.com/document/d/1XCz1PIpkLIj7XEFbr70iozgfPJlknRvtsz3k3pSmBEs/edit" TargetMode="External"/><Relationship Id="rId98" Type="http://schemas.openxmlformats.org/officeDocument/2006/relationships/hyperlink" Target="https://docs.google.com/spreadsheets/d/1Q4neMbuEeSJuKmhfKPq51sCiI2co8cKIorRR1NiWqE0/edit?usp=sharing" TargetMode="External"/><Relationship Id="rId3" Type="http://schemas.openxmlformats.org/officeDocument/2006/relationships/hyperlink" Target="https://docs.google.com/spreadsheets/d/1Kbi_5AJovVAQce78ohU3IZWKJuV5cK39kUTFgsCcJ-o/edit?usp=sharing" TargetMode="External"/><Relationship Id="rId25" Type="http://schemas.openxmlformats.org/officeDocument/2006/relationships/hyperlink" Target="https://docs.google.com/spreadsheets/d/1m7DreHl2kDW3wXBvvKTG1LK4316qupiNCFBPv2-FzmI/edit?usp=sharing" TargetMode="External"/><Relationship Id="rId46" Type="http://schemas.openxmlformats.org/officeDocument/2006/relationships/hyperlink" Target="https://docs.google.com/spreadsheets/d/1LaqIMX-vQOe0gKmq-UISsXWw3eWrq1Z_5DWIDcr_PKg/edit?usp=sharing" TargetMode="External"/><Relationship Id="rId67" Type="http://schemas.openxmlformats.org/officeDocument/2006/relationships/hyperlink" Target="https://docs.google.com/spreadsheets/d/1QPKn9OPTnaQLdAxjYXc8jgUwZB79e5csWeKef8NWPHw/edit?usp=sharing"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beaten-acc.sg/" TargetMode="External"/><Relationship Id="rId13" Type="http://schemas.openxmlformats.org/officeDocument/2006/relationships/hyperlink" Target="http://n-acc.sg/" TargetMode="External"/><Relationship Id="rId3" Type="http://schemas.openxmlformats.org/officeDocument/2006/relationships/hyperlink" Target="http://n-dat.sg/" TargetMode="External"/><Relationship Id="rId7" Type="http://schemas.openxmlformats.org/officeDocument/2006/relationships/hyperlink" Target="http://v-imper.sg/" TargetMode="External"/><Relationship Id="rId12" Type="http://schemas.openxmlformats.org/officeDocument/2006/relationships/hyperlink" Target="http://two-nom.pl/" TargetMode="External"/><Relationship Id="rId17" Type="http://schemas.openxmlformats.org/officeDocument/2006/relationships/comments" Target="../comments2.xml"/><Relationship Id="rId2" Type="http://schemas.openxmlformats.org/officeDocument/2006/relationships/hyperlink" Target="http://n-dat.sg/" TargetMode="External"/><Relationship Id="rId16" Type="http://schemas.openxmlformats.org/officeDocument/2006/relationships/vmlDrawing" Target="../drawings/vmlDrawing2.vml"/><Relationship Id="rId1" Type="http://schemas.openxmlformats.org/officeDocument/2006/relationships/hyperlink" Target="http://n-gen.pl/" TargetMode="External"/><Relationship Id="rId6" Type="http://schemas.openxmlformats.org/officeDocument/2006/relationships/hyperlink" Target="http://cook-2.sg/" TargetMode="External"/><Relationship Id="rId11" Type="http://schemas.openxmlformats.org/officeDocument/2006/relationships/hyperlink" Target="http://np-nom.pl/" TargetMode="External"/><Relationship Id="rId5" Type="http://schemas.openxmlformats.org/officeDocument/2006/relationships/hyperlink" Target="http://prondem-gen.sg/" TargetMode="External"/><Relationship Id="rId15" Type="http://schemas.openxmlformats.org/officeDocument/2006/relationships/printerSettings" Target="../printerSettings/printerSettings1.bin"/><Relationship Id="rId10" Type="http://schemas.openxmlformats.org/officeDocument/2006/relationships/hyperlink" Target="http://court-nom.sg/" TargetMode="External"/><Relationship Id="rId4" Type="http://schemas.openxmlformats.org/officeDocument/2006/relationships/hyperlink" Target="http://adresse-dat.sg/" TargetMode="External"/><Relationship Id="rId9" Type="http://schemas.openxmlformats.org/officeDocument/2006/relationships/hyperlink" Target="http://noun-nom.sg/" TargetMode="External"/><Relationship Id="rId14" Type="http://schemas.openxmlformats.org/officeDocument/2006/relationships/hyperlink" Target="http://noun-part.sg/"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fragrantica.ru/perfume/Avon/Today-Tomorrow-Always-Diamond-8739.html" TargetMode="External"/><Relationship Id="rId3" Type="http://schemas.openxmlformats.org/officeDocument/2006/relationships/hyperlink" Target="http://www.mybodyflex.ru/forum/33-174-1" TargetMode="External"/><Relationship Id="rId7" Type="http://schemas.openxmlformats.org/officeDocument/2006/relationships/hyperlink" Target="https://evartist.narod.ru/text/90.htm" TargetMode="External"/><Relationship Id="rId12" Type="http://schemas.openxmlformats.org/officeDocument/2006/relationships/comments" Target="../comments3.xml"/><Relationship Id="rId2" Type="http://schemas.openxmlformats.org/officeDocument/2006/relationships/hyperlink" Target="http://www.mybodyflex.ru/forum/33-174-1" TargetMode="External"/><Relationship Id="rId1" Type="http://schemas.openxmlformats.org/officeDocument/2006/relationships/hyperlink" Target="https://forum.vgd.ru/6171/133734/" TargetMode="External"/><Relationship Id="rId6" Type="http://schemas.openxmlformats.org/officeDocument/2006/relationships/hyperlink" Target="https://evartist.narod.ru/text/90.htm" TargetMode="External"/><Relationship Id="rId11" Type="http://schemas.openxmlformats.org/officeDocument/2006/relationships/vmlDrawing" Target="../drawings/vmlDrawing3.vml"/><Relationship Id="rId5" Type="http://schemas.openxmlformats.org/officeDocument/2006/relationships/hyperlink" Target="https://www.iphones.ru/iNotes/67926" TargetMode="External"/><Relationship Id="rId10" Type="http://schemas.openxmlformats.org/officeDocument/2006/relationships/printerSettings" Target="../printerSettings/printerSettings2.bin"/><Relationship Id="rId4" Type="http://schemas.openxmlformats.org/officeDocument/2006/relationships/hyperlink" Target="https://www.fragrantica.ru/perfume/Avon/Today-Tomorrow-Always-Diamond-8739.html" TargetMode="External"/><Relationship Id="rId9" Type="http://schemas.openxmlformats.org/officeDocument/2006/relationships/hyperlink" Target="https://www.fragrantica.ru/perfume/Avon/Today-Tomorrow-Always-Diamond-8739.html" TargetMode="Externa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S953"/>
  <sheetViews>
    <sheetView workbookViewId="0">
      <pane ySplit="1" topLeftCell="A2" activePane="bottomLeft" state="frozen"/>
      <selection pane="bottomLeft" activeCell="F14" sqref="F14"/>
    </sheetView>
  </sheetViews>
  <sheetFormatPr defaultColWidth="12.7109375" defaultRowHeight="15.95" customHeight="1"/>
  <cols>
    <col min="1" max="1" width="16.140625" customWidth="1"/>
    <col min="2" max="2" width="24" customWidth="1"/>
    <col min="3" max="3" width="15.42578125" customWidth="1"/>
    <col min="4" max="4" width="18.42578125" customWidth="1"/>
    <col min="5" max="5" width="12.42578125" customWidth="1"/>
    <col min="6" max="6" width="9.28515625" customWidth="1"/>
    <col min="7" max="7" width="16" customWidth="1"/>
    <col min="8" max="8" width="26.7109375" customWidth="1"/>
    <col min="9" max="9" width="14.85546875" customWidth="1"/>
  </cols>
  <sheetData>
    <row r="1" spans="1:19" ht="12.75">
      <c r="A1" s="1" t="s">
        <v>0</v>
      </c>
      <c r="B1" s="2" t="s">
        <v>1</v>
      </c>
      <c r="C1" s="3" t="s">
        <v>2</v>
      </c>
      <c r="D1" s="4" t="s">
        <v>3</v>
      </c>
      <c r="E1" s="4" t="s">
        <v>4</v>
      </c>
      <c r="F1" s="5" t="s">
        <v>5</v>
      </c>
      <c r="G1" s="6"/>
      <c r="H1" s="7"/>
      <c r="I1" s="7"/>
      <c r="J1" s="8"/>
      <c r="K1" s="8"/>
      <c r="L1" s="8"/>
      <c r="M1" s="8"/>
      <c r="N1" s="8"/>
      <c r="O1" s="8"/>
      <c r="P1" s="8"/>
      <c r="Q1" s="8"/>
      <c r="R1" s="8"/>
      <c r="S1" s="8"/>
    </row>
    <row r="2" spans="1:19" ht="15.95" customHeight="1">
      <c r="A2" s="198">
        <v>1</v>
      </c>
      <c r="B2" s="32" t="s">
        <v>44</v>
      </c>
      <c r="C2" s="33">
        <v>151</v>
      </c>
      <c r="D2" s="34"/>
      <c r="E2" s="34"/>
      <c r="F2" s="13" t="s">
        <v>21</v>
      </c>
      <c r="H2" s="248" t="s">
        <v>5</v>
      </c>
      <c r="I2" s="249" t="s">
        <v>12</v>
      </c>
    </row>
    <row r="3" spans="1:19" ht="15.95" customHeight="1">
      <c r="A3" s="9">
        <v>8</v>
      </c>
      <c r="B3" s="10" t="s">
        <v>345</v>
      </c>
      <c r="C3" s="11">
        <v>201</v>
      </c>
      <c r="D3" s="246"/>
      <c r="E3" s="246"/>
      <c r="F3" s="15" t="s">
        <v>21</v>
      </c>
      <c r="H3" s="250" t="s">
        <v>7</v>
      </c>
      <c r="I3" s="251">
        <v>8</v>
      </c>
      <c r="J3" s="16"/>
      <c r="K3" s="16"/>
      <c r="L3" s="16"/>
      <c r="M3" s="16"/>
      <c r="N3" s="16"/>
      <c r="O3" s="16"/>
      <c r="P3" s="16"/>
      <c r="Q3" s="16"/>
      <c r="R3" s="16"/>
      <c r="S3" s="16"/>
    </row>
    <row r="4" spans="1:19" ht="15.95" customHeight="1">
      <c r="A4" s="198">
        <v>10</v>
      </c>
      <c r="B4" s="19" t="s">
        <v>346</v>
      </c>
      <c r="C4" s="11">
        <v>201</v>
      </c>
      <c r="D4" s="30" t="s">
        <v>347</v>
      </c>
      <c r="E4" s="30" t="s">
        <v>348</v>
      </c>
      <c r="F4" s="13" t="s">
        <v>21</v>
      </c>
      <c r="H4" s="252" t="s">
        <v>21</v>
      </c>
      <c r="I4" s="253">
        <v>122</v>
      </c>
      <c r="J4" s="16"/>
      <c r="K4" s="16"/>
      <c r="L4" s="16"/>
      <c r="M4" s="16"/>
      <c r="N4" s="16"/>
      <c r="O4" s="16"/>
    </row>
    <row r="5" spans="1:19" ht="15.95" customHeight="1">
      <c r="A5" s="9">
        <v>12</v>
      </c>
      <c r="B5" s="19" t="s">
        <v>349</v>
      </c>
      <c r="C5" s="11">
        <v>201</v>
      </c>
      <c r="D5" s="246"/>
      <c r="E5" s="246"/>
      <c r="F5" s="15" t="s">
        <v>21</v>
      </c>
      <c r="H5" s="252" t="s">
        <v>4244</v>
      </c>
      <c r="I5" s="253"/>
      <c r="J5" s="16"/>
      <c r="K5" s="16"/>
      <c r="L5" s="16"/>
      <c r="M5" s="16"/>
      <c r="N5" s="16"/>
      <c r="O5" s="16"/>
    </row>
    <row r="6" spans="1:19" ht="15.95" customHeight="1">
      <c r="A6" s="182">
        <v>16</v>
      </c>
      <c r="B6" s="10" t="s">
        <v>351</v>
      </c>
      <c r="C6" s="11">
        <v>201</v>
      </c>
      <c r="D6" s="25"/>
      <c r="E6" s="25"/>
      <c r="F6" s="15" t="s">
        <v>21</v>
      </c>
      <c r="H6" s="254" t="s">
        <v>4245</v>
      </c>
      <c r="I6" s="255">
        <v>130</v>
      </c>
    </row>
    <row r="7" spans="1:19" ht="15.95" customHeight="1">
      <c r="A7" s="182">
        <v>17</v>
      </c>
      <c r="B7" s="144" t="s">
        <v>352</v>
      </c>
      <c r="C7" s="182">
        <v>201</v>
      </c>
      <c r="D7" s="246"/>
      <c r="E7" s="246"/>
      <c r="F7" s="15" t="s">
        <v>21</v>
      </c>
    </row>
    <row r="8" spans="1:19" ht="15.95" customHeight="1">
      <c r="A8" s="182">
        <v>20</v>
      </c>
      <c r="B8" s="10" t="s">
        <v>353</v>
      </c>
      <c r="C8" s="11">
        <v>201</v>
      </c>
      <c r="D8" s="25"/>
      <c r="E8" s="25"/>
      <c r="F8" s="15" t="s">
        <v>21</v>
      </c>
    </row>
    <row r="9" spans="1:19" ht="15.95" customHeight="1">
      <c r="A9" s="182">
        <v>21</v>
      </c>
      <c r="B9" s="10" t="s">
        <v>354</v>
      </c>
      <c r="C9" s="11">
        <v>201</v>
      </c>
      <c r="D9" s="246"/>
      <c r="E9" s="246"/>
      <c r="F9" s="13" t="s">
        <v>21</v>
      </c>
      <c r="H9" s="248" t="s">
        <v>5</v>
      </c>
      <c r="I9" s="249" t="s">
        <v>12</v>
      </c>
    </row>
    <row r="10" spans="1:19" ht="15.95" customHeight="1">
      <c r="A10" s="182">
        <v>22</v>
      </c>
      <c r="B10" s="10" t="s">
        <v>355</v>
      </c>
      <c r="C10" s="11">
        <v>201</v>
      </c>
      <c r="D10" s="246"/>
      <c r="E10" s="246"/>
      <c r="F10" s="15" t="s">
        <v>21</v>
      </c>
      <c r="H10" s="250" t="s">
        <v>7</v>
      </c>
      <c r="I10" s="251">
        <v>8</v>
      </c>
    </row>
    <row r="11" spans="1:19" ht="15.95" customHeight="1">
      <c r="A11" s="182">
        <v>23</v>
      </c>
      <c r="B11" s="10" t="s">
        <v>356</v>
      </c>
      <c r="C11" s="11">
        <v>201</v>
      </c>
      <c r="D11" s="246"/>
      <c r="E11" s="246"/>
      <c r="F11" s="13" t="s">
        <v>21</v>
      </c>
      <c r="H11" s="252" t="s">
        <v>21</v>
      </c>
      <c r="I11" s="253">
        <v>122</v>
      </c>
    </row>
    <row r="12" spans="1:19" ht="15.95" customHeight="1">
      <c r="A12" s="23">
        <v>24</v>
      </c>
      <c r="B12" s="120" t="s">
        <v>357</v>
      </c>
      <c r="C12" s="198">
        <v>221</v>
      </c>
      <c r="D12" s="37" t="s">
        <v>358</v>
      </c>
      <c r="E12" s="246"/>
      <c r="F12" s="13" t="s">
        <v>21</v>
      </c>
      <c r="H12" s="252" t="s">
        <v>4244</v>
      </c>
      <c r="I12" s="253"/>
    </row>
    <row r="13" spans="1:19" ht="15.95" customHeight="1">
      <c r="A13" s="23">
        <v>25</v>
      </c>
      <c r="B13" s="120" t="s">
        <v>359</v>
      </c>
      <c r="C13" s="11">
        <v>201</v>
      </c>
      <c r="D13" s="246"/>
      <c r="E13" s="246"/>
      <c r="F13" s="13" t="s">
        <v>21</v>
      </c>
      <c r="H13" s="254" t="s">
        <v>4245</v>
      </c>
      <c r="I13" s="255">
        <v>130</v>
      </c>
    </row>
    <row r="14" spans="1:19" ht="15.95" customHeight="1">
      <c r="A14" s="182">
        <v>26</v>
      </c>
      <c r="B14" s="10" t="s">
        <v>229</v>
      </c>
      <c r="C14" s="11">
        <v>212</v>
      </c>
      <c r="D14" s="16"/>
      <c r="E14" s="16"/>
      <c r="F14" s="13" t="s">
        <v>21</v>
      </c>
    </row>
    <row r="15" spans="1:19" ht="15.95" customHeight="1">
      <c r="A15" s="23">
        <v>27</v>
      </c>
      <c r="B15" s="120" t="s">
        <v>373</v>
      </c>
      <c r="C15" s="198">
        <v>212</v>
      </c>
      <c r="D15" s="246"/>
      <c r="E15" s="246"/>
      <c r="F15" s="13" t="s">
        <v>21</v>
      </c>
    </row>
    <row r="16" spans="1:19" ht="15.95" customHeight="1">
      <c r="A16" s="198">
        <v>261</v>
      </c>
      <c r="B16" s="120" t="s">
        <v>386</v>
      </c>
      <c r="C16" s="198"/>
      <c r="D16" s="25"/>
      <c r="E16" s="25"/>
      <c r="F16" s="13" t="s">
        <v>21</v>
      </c>
    </row>
    <row r="17" spans="1:19" ht="12.75">
      <c r="A17" s="11" t="s">
        <v>112</v>
      </c>
      <c r="B17" s="144" t="s">
        <v>113</v>
      </c>
      <c r="C17" s="11" t="s">
        <v>114</v>
      </c>
      <c r="D17" s="16" t="s">
        <v>115</v>
      </c>
      <c r="E17" s="191" t="s">
        <v>115</v>
      </c>
      <c r="F17" s="201" t="s">
        <v>21</v>
      </c>
      <c r="G17" s="16"/>
      <c r="H17" s="16"/>
      <c r="I17" s="16"/>
      <c r="J17" s="16"/>
      <c r="K17" s="16"/>
      <c r="L17" s="16"/>
      <c r="M17" s="16"/>
      <c r="N17" s="16"/>
      <c r="O17" s="16"/>
      <c r="P17" s="16"/>
      <c r="Q17" s="16"/>
    </row>
    <row r="18" spans="1:19" ht="12.75">
      <c r="A18" s="31" t="s">
        <v>232</v>
      </c>
      <c r="B18" s="120" t="s">
        <v>233</v>
      </c>
      <c r="C18" s="198">
        <v>221</v>
      </c>
      <c r="D18" s="246"/>
      <c r="E18" s="246"/>
      <c r="F18" s="35" t="s">
        <v>21</v>
      </c>
    </row>
    <row r="19" spans="1:19" ht="12.75">
      <c r="A19" s="23" t="s">
        <v>250</v>
      </c>
      <c r="B19" s="22" t="s">
        <v>251</v>
      </c>
      <c r="C19" s="23">
        <v>222</v>
      </c>
      <c r="D19" s="25"/>
      <c r="E19" s="25"/>
      <c r="F19" s="13" t="s">
        <v>21</v>
      </c>
      <c r="G19" s="6"/>
      <c r="H19" s="36"/>
      <c r="I19" s="36"/>
      <c r="J19" s="36"/>
      <c r="K19" s="36"/>
      <c r="L19" s="36"/>
      <c r="M19" s="36"/>
      <c r="N19" s="36"/>
      <c r="O19" s="36"/>
      <c r="P19" s="36"/>
      <c r="Q19" s="36"/>
      <c r="R19" s="36"/>
      <c r="S19" s="36"/>
    </row>
    <row r="20" spans="1:19" ht="12.75">
      <c r="A20" s="182" t="s">
        <v>252</v>
      </c>
      <c r="B20" s="144" t="s">
        <v>253</v>
      </c>
      <c r="C20" s="182">
        <v>223</v>
      </c>
      <c r="D20" s="20" t="s">
        <v>254</v>
      </c>
      <c r="E20" s="20" t="s">
        <v>255</v>
      </c>
      <c r="F20" s="13" t="s">
        <v>21</v>
      </c>
    </row>
    <row r="21" spans="1:19" ht="12.75">
      <c r="A21" s="182" t="s">
        <v>105</v>
      </c>
      <c r="B21" s="144" t="s">
        <v>106</v>
      </c>
      <c r="C21" s="182">
        <v>202</v>
      </c>
      <c r="D21" s="20" t="s">
        <v>107</v>
      </c>
      <c r="E21" s="191"/>
      <c r="F21" s="13" t="s">
        <v>21</v>
      </c>
    </row>
    <row r="22" spans="1:19" ht="13.15" customHeight="1">
      <c r="A22" s="182" t="s">
        <v>70</v>
      </c>
      <c r="B22" s="144" t="s">
        <v>71</v>
      </c>
      <c r="C22" s="182">
        <v>203</v>
      </c>
      <c r="D22" s="191"/>
      <c r="E22" s="20" t="s">
        <v>9</v>
      </c>
      <c r="F22" s="13" t="s">
        <v>21</v>
      </c>
    </row>
    <row r="23" spans="1:19" ht="12.75">
      <c r="A23" s="198" t="s">
        <v>206</v>
      </c>
      <c r="B23" s="10" t="s">
        <v>207</v>
      </c>
      <c r="C23" s="11">
        <v>212</v>
      </c>
      <c r="D23" s="246"/>
      <c r="E23" s="246"/>
      <c r="F23" s="13" t="s">
        <v>21</v>
      </c>
    </row>
    <row r="24" spans="1:19" ht="12.75">
      <c r="A24" s="198" t="s">
        <v>272</v>
      </c>
      <c r="B24" s="10" t="s">
        <v>273</v>
      </c>
      <c r="C24" s="11">
        <v>221</v>
      </c>
      <c r="D24" s="20" t="s">
        <v>274</v>
      </c>
      <c r="E24" s="20" t="s">
        <v>275</v>
      </c>
      <c r="F24" s="13" t="s">
        <v>21</v>
      </c>
      <c r="G24" s="16"/>
      <c r="H24" s="16"/>
      <c r="I24" s="16"/>
      <c r="J24" s="16"/>
      <c r="K24" s="16"/>
      <c r="L24" s="16"/>
      <c r="M24" s="16"/>
      <c r="N24" s="16"/>
      <c r="O24" s="16"/>
      <c r="P24" s="16"/>
      <c r="Q24" s="16"/>
      <c r="R24" s="16"/>
      <c r="S24" s="16"/>
    </row>
    <row r="25" spans="1:19" ht="12.75">
      <c r="A25" s="198" t="s">
        <v>312</v>
      </c>
      <c r="B25" s="19" t="s">
        <v>313</v>
      </c>
      <c r="C25" s="11">
        <v>222</v>
      </c>
      <c r="D25" s="20" t="s">
        <v>314</v>
      </c>
      <c r="E25" s="12"/>
      <c r="F25" s="13" t="s">
        <v>21</v>
      </c>
      <c r="G25" s="16"/>
      <c r="H25" s="16"/>
      <c r="I25" s="16"/>
      <c r="J25" s="16"/>
      <c r="K25" s="16"/>
      <c r="L25" s="16"/>
      <c r="M25" s="16"/>
      <c r="N25" s="16"/>
      <c r="O25" s="16"/>
      <c r="P25" s="16"/>
      <c r="Q25" s="16"/>
      <c r="R25" s="16"/>
      <c r="S25" s="16"/>
    </row>
    <row r="26" spans="1:19" ht="12.75">
      <c r="A26" s="198" t="s">
        <v>325</v>
      </c>
      <c r="B26" s="10" t="s">
        <v>326</v>
      </c>
      <c r="C26" s="11">
        <v>223</v>
      </c>
      <c r="D26" s="20" t="s">
        <v>327</v>
      </c>
      <c r="E26" s="20" t="s">
        <v>328</v>
      </c>
      <c r="F26" s="15" t="s">
        <v>21</v>
      </c>
      <c r="G26" s="16"/>
      <c r="H26" s="16"/>
      <c r="I26" s="16"/>
      <c r="J26" s="16"/>
      <c r="K26" s="16"/>
      <c r="L26" s="16"/>
      <c r="M26" s="16"/>
      <c r="N26" s="16"/>
      <c r="O26" s="16"/>
      <c r="P26" s="16"/>
      <c r="Q26" s="16"/>
      <c r="R26" s="16"/>
      <c r="S26" s="16"/>
    </row>
    <row r="27" spans="1:19" ht="12.75">
      <c r="A27" s="9" t="s">
        <v>108</v>
      </c>
      <c r="B27" s="10" t="s">
        <v>109</v>
      </c>
      <c r="C27" s="11">
        <v>202</v>
      </c>
      <c r="D27" s="20" t="s">
        <v>110</v>
      </c>
      <c r="E27" s="20" t="s">
        <v>111</v>
      </c>
      <c r="F27" s="15" t="s">
        <v>21</v>
      </c>
      <c r="G27" s="16"/>
      <c r="H27" s="16"/>
      <c r="I27" s="16"/>
      <c r="J27" s="16"/>
      <c r="K27" s="16"/>
      <c r="L27" s="16"/>
      <c r="M27" s="16"/>
      <c r="N27" s="16"/>
      <c r="O27" s="16"/>
      <c r="P27" s="16"/>
      <c r="Q27" s="16"/>
      <c r="R27" s="16"/>
      <c r="S27" s="16"/>
    </row>
    <row r="28" spans="1:19" ht="12.75">
      <c r="A28" s="9" t="s">
        <v>72</v>
      </c>
      <c r="B28" s="10" t="s">
        <v>73</v>
      </c>
      <c r="C28" s="11">
        <v>203</v>
      </c>
      <c r="D28" s="12"/>
      <c r="E28" s="20" t="s">
        <v>9</v>
      </c>
      <c r="F28" s="13" t="s">
        <v>21</v>
      </c>
      <c r="G28" s="16"/>
      <c r="H28" s="16"/>
      <c r="I28" s="16"/>
      <c r="J28" s="16"/>
      <c r="K28" s="16"/>
      <c r="L28" s="16"/>
      <c r="M28" s="16"/>
      <c r="N28" s="16"/>
      <c r="O28" s="16"/>
      <c r="P28" s="16"/>
      <c r="Q28" s="16"/>
      <c r="R28" s="16"/>
      <c r="S28" s="16"/>
    </row>
    <row r="29" spans="1:19" ht="12.75">
      <c r="A29" s="198" t="s">
        <v>208</v>
      </c>
      <c r="B29" s="10" t="s">
        <v>209</v>
      </c>
      <c r="C29" s="11">
        <v>212</v>
      </c>
      <c r="D29" s="246"/>
      <c r="E29" s="246"/>
      <c r="F29" s="13" t="s">
        <v>21</v>
      </c>
      <c r="G29" s="16"/>
      <c r="H29" s="16"/>
      <c r="I29" s="16"/>
      <c r="J29" s="16"/>
      <c r="K29" s="16"/>
      <c r="L29" s="16"/>
      <c r="M29" s="16"/>
      <c r="N29" s="16"/>
      <c r="O29" s="16"/>
      <c r="P29" s="16"/>
      <c r="Q29" s="16"/>
      <c r="R29" s="16"/>
      <c r="S29" s="16"/>
    </row>
    <row r="30" spans="1:19" ht="12.75">
      <c r="A30" s="198" t="s">
        <v>321</v>
      </c>
      <c r="B30" s="19" t="s">
        <v>322</v>
      </c>
      <c r="C30" s="11">
        <v>222</v>
      </c>
      <c r="D30" s="246"/>
      <c r="E30" s="246"/>
      <c r="F30" s="13" t="s">
        <v>21</v>
      </c>
      <c r="G30" s="16"/>
      <c r="H30" s="16"/>
      <c r="I30" s="16"/>
      <c r="J30" s="16"/>
      <c r="K30" s="16"/>
      <c r="L30" s="16"/>
      <c r="M30" s="16"/>
      <c r="N30" s="16"/>
      <c r="O30" s="16"/>
      <c r="P30" s="16"/>
      <c r="Q30" s="16"/>
      <c r="R30" s="16"/>
      <c r="S30" s="16"/>
    </row>
    <row r="31" spans="1:19" ht="12.75">
      <c r="A31" s="198" t="s">
        <v>329</v>
      </c>
      <c r="B31" s="42" t="s">
        <v>330</v>
      </c>
      <c r="C31" s="11">
        <v>223</v>
      </c>
      <c r="D31" s="246"/>
      <c r="E31" s="246"/>
      <c r="F31" s="13" t="s">
        <v>21</v>
      </c>
      <c r="G31" s="16"/>
      <c r="H31" s="16"/>
      <c r="I31" s="16"/>
      <c r="J31" s="16"/>
      <c r="K31" s="16"/>
      <c r="L31" s="16"/>
      <c r="M31" s="16"/>
      <c r="N31" s="16"/>
      <c r="O31" s="16"/>
      <c r="P31" s="16"/>
      <c r="Q31" s="16"/>
      <c r="R31" s="16"/>
      <c r="S31" s="16"/>
    </row>
    <row r="32" spans="1:19" ht="12.75">
      <c r="A32" s="9" t="s">
        <v>116</v>
      </c>
      <c r="B32" s="10" t="s">
        <v>117</v>
      </c>
      <c r="C32" s="11">
        <v>202</v>
      </c>
      <c r="D32" s="191"/>
      <c r="E32" s="191"/>
      <c r="F32" s="13" t="s">
        <v>21</v>
      </c>
      <c r="G32" s="16"/>
      <c r="H32" s="16"/>
      <c r="I32" s="16"/>
      <c r="J32" s="16"/>
      <c r="K32" s="16"/>
      <c r="L32" s="16"/>
      <c r="M32" s="16"/>
      <c r="N32" s="16"/>
      <c r="O32" s="16"/>
      <c r="P32" s="16"/>
      <c r="Q32" s="16"/>
      <c r="R32" s="16"/>
      <c r="S32" s="16"/>
    </row>
    <row r="33" spans="1:19" ht="12.75">
      <c r="A33" s="9" t="s">
        <v>230</v>
      </c>
      <c r="B33" s="10" t="s">
        <v>231</v>
      </c>
      <c r="C33" s="11">
        <v>204</v>
      </c>
      <c r="D33" s="191"/>
      <c r="E33" s="191"/>
      <c r="F33" s="15" t="s">
        <v>21</v>
      </c>
      <c r="G33" s="16"/>
      <c r="H33" s="16"/>
      <c r="I33" s="16"/>
      <c r="J33" s="16"/>
      <c r="K33" s="16"/>
      <c r="L33" s="16"/>
      <c r="M33" s="16"/>
      <c r="N33" s="16"/>
      <c r="O33" s="16"/>
      <c r="P33" s="16"/>
      <c r="Q33" s="16"/>
      <c r="R33" s="16"/>
      <c r="S33" s="16"/>
    </row>
    <row r="34" spans="1:19" ht="13.15" customHeight="1">
      <c r="A34" s="198" t="s">
        <v>39</v>
      </c>
      <c r="B34" s="10" t="s">
        <v>40</v>
      </c>
      <c r="C34" s="11">
        <v>221</v>
      </c>
      <c r="D34" s="20" t="s">
        <v>41</v>
      </c>
      <c r="E34" s="20" t="s">
        <v>42</v>
      </c>
      <c r="F34" s="13" t="s">
        <v>7</v>
      </c>
      <c r="G34" s="16"/>
      <c r="H34" s="16"/>
      <c r="I34" s="16"/>
      <c r="J34" s="16"/>
      <c r="K34" s="16"/>
      <c r="L34" s="16"/>
      <c r="M34" s="16"/>
      <c r="N34" s="16"/>
      <c r="O34" s="16"/>
      <c r="P34" s="16"/>
      <c r="Q34" s="16"/>
      <c r="R34" s="16"/>
      <c r="S34" s="16"/>
    </row>
    <row r="35" spans="1:19" ht="12.75">
      <c r="A35" s="198" t="s">
        <v>335</v>
      </c>
      <c r="B35" s="19" t="s">
        <v>336</v>
      </c>
      <c r="C35" s="11">
        <v>222</v>
      </c>
      <c r="D35" s="246"/>
      <c r="E35" s="246"/>
      <c r="F35" s="13" t="s">
        <v>21</v>
      </c>
      <c r="G35" s="16"/>
      <c r="H35" s="16"/>
      <c r="I35" s="16"/>
      <c r="J35" s="16"/>
      <c r="K35" s="16"/>
      <c r="L35" s="16"/>
      <c r="M35" s="16"/>
      <c r="N35" s="16"/>
      <c r="O35" s="16"/>
      <c r="P35" s="16"/>
      <c r="Q35" s="16"/>
      <c r="R35" s="16"/>
      <c r="S35" s="16"/>
    </row>
    <row r="36" spans="1:19" ht="12.75">
      <c r="A36" s="9" t="s">
        <v>118</v>
      </c>
      <c r="B36" s="10" t="s">
        <v>119</v>
      </c>
      <c r="C36" s="11">
        <v>202</v>
      </c>
      <c r="D36" s="191"/>
      <c r="E36" s="191"/>
      <c r="F36" s="13" t="s">
        <v>21</v>
      </c>
      <c r="G36" s="16"/>
      <c r="H36" s="16"/>
      <c r="I36" s="16"/>
      <c r="J36" s="16"/>
      <c r="K36" s="16"/>
      <c r="L36" s="16"/>
      <c r="M36" s="16"/>
      <c r="N36" s="16"/>
      <c r="O36" s="16"/>
      <c r="P36" s="16"/>
      <c r="Q36" s="16"/>
      <c r="R36" s="16"/>
      <c r="S36" s="16"/>
    </row>
    <row r="37" spans="1:19" ht="12.75">
      <c r="A37" s="198" t="s">
        <v>189</v>
      </c>
      <c r="B37" s="39" t="s">
        <v>190</v>
      </c>
      <c r="C37" s="198">
        <v>212</v>
      </c>
      <c r="D37" s="246"/>
      <c r="E37" s="246"/>
      <c r="F37" s="13" t="s">
        <v>21</v>
      </c>
      <c r="G37" s="16"/>
      <c r="H37" s="16"/>
      <c r="I37" s="16"/>
      <c r="J37" s="16"/>
      <c r="K37" s="16"/>
      <c r="L37" s="16"/>
      <c r="M37" s="16"/>
      <c r="N37" s="16"/>
      <c r="O37" s="16"/>
      <c r="P37" s="16"/>
      <c r="Q37" s="16"/>
      <c r="R37" s="16"/>
      <c r="S37" s="16"/>
    </row>
    <row r="38" spans="1:19" ht="12.6" customHeight="1">
      <c r="A38" s="198" t="s">
        <v>296</v>
      </c>
      <c r="B38" s="10" t="s">
        <v>297</v>
      </c>
      <c r="C38" s="11">
        <v>221</v>
      </c>
      <c r="D38" s="246"/>
      <c r="E38" s="246"/>
      <c r="F38" s="13" t="s">
        <v>21</v>
      </c>
      <c r="G38" s="16"/>
      <c r="H38" s="16"/>
      <c r="I38" s="16"/>
      <c r="J38" s="16"/>
      <c r="K38" s="16"/>
      <c r="L38" s="16"/>
      <c r="M38" s="16"/>
      <c r="N38" s="16"/>
      <c r="O38" s="16"/>
      <c r="P38" s="16"/>
      <c r="Q38" s="16"/>
      <c r="R38" s="16"/>
      <c r="S38" s="16"/>
    </row>
    <row r="39" spans="1:19" ht="12.75">
      <c r="A39" s="198" t="s">
        <v>337</v>
      </c>
      <c r="B39" s="10" t="s">
        <v>338</v>
      </c>
      <c r="C39" s="11">
        <v>222</v>
      </c>
      <c r="D39" s="20" t="s">
        <v>339</v>
      </c>
      <c r="E39" s="20" t="s">
        <v>340</v>
      </c>
      <c r="F39" s="13" t="s">
        <v>21</v>
      </c>
      <c r="G39" s="16"/>
      <c r="H39" s="16"/>
      <c r="I39" s="16"/>
      <c r="J39" s="16"/>
      <c r="K39" s="16"/>
      <c r="L39" s="16"/>
      <c r="M39" s="16"/>
      <c r="N39" s="16"/>
      <c r="O39" s="16"/>
      <c r="P39" s="16"/>
      <c r="Q39" s="16"/>
      <c r="R39" s="16"/>
      <c r="S39" s="16"/>
    </row>
    <row r="40" spans="1:19" ht="12.75">
      <c r="A40" s="9" t="s">
        <v>120</v>
      </c>
      <c r="B40" s="10" t="s">
        <v>121</v>
      </c>
      <c r="C40" s="11">
        <v>202</v>
      </c>
      <c r="D40" s="12"/>
      <c r="E40" s="12"/>
      <c r="F40" s="13" t="s">
        <v>21</v>
      </c>
      <c r="G40" s="16"/>
      <c r="H40" s="16"/>
      <c r="I40" s="16"/>
      <c r="J40" s="16"/>
      <c r="K40" s="16"/>
      <c r="L40" s="16"/>
      <c r="M40" s="16"/>
      <c r="N40" s="16"/>
      <c r="O40" s="16"/>
    </row>
    <row r="41" spans="1:19" ht="12.75">
      <c r="A41" s="198" t="s">
        <v>298</v>
      </c>
      <c r="B41" s="10" t="s">
        <v>299</v>
      </c>
      <c r="C41" s="11">
        <v>221</v>
      </c>
      <c r="D41" s="191"/>
      <c r="E41" s="191"/>
      <c r="F41" s="13" t="s">
        <v>21</v>
      </c>
      <c r="G41" s="16"/>
      <c r="H41" s="16"/>
      <c r="I41" s="16"/>
      <c r="J41" s="16"/>
      <c r="K41" s="16"/>
      <c r="L41" s="16"/>
      <c r="M41" s="16"/>
      <c r="N41" s="16"/>
      <c r="O41" s="16"/>
    </row>
    <row r="42" spans="1:19" ht="12.75">
      <c r="A42" s="198" t="s">
        <v>341</v>
      </c>
      <c r="B42" s="10" t="s">
        <v>342</v>
      </c>
      <c r="C42" s="11">
        <v>223</v>
      </c>
      <c r="D42" s="30" t="s">
        <v>343</v>
      </c>
      <c r="E42" s="20" t="s">
        <v>344</v>
      </c>
      <c r="F42" s="13" t="s">
        <v>21</v>
      </c>
      <c r="G42" s="16"/>
      <c r="H42" s="16"/>
      <c r="I42" s="16"/>
      <c r="J42" s="16"/>
      <c r="K42" s="16"/>
      <c r="L42" s="16"/>
      <c r="M42" s="16"/>
      <c r="N42" s="16"/>
      <c r="O42" s="16"/>
    </row>
    <row r="43" spans="1:19" ht="12.75">
      <c r="A43" s="9" t="s">
        <v>122</v>
      </c>
      <c r="B43" s="10" t="s">
        <v>123</v>
      </c>
      <c r="C43" s="11">
        <v>202</v>
      </c>
      <c r="D43" s="20" t="s">
        <v>124</v>
      </c>
      <c r="E43" s="20" t="s">
        <v>125</v>
      </c>
      <c r="F43" s="13" t="s">
        <v>21</v>
      </c>
      <c r="G43" s="16"/>
      <c r="H43" s="16"/>
      <c r="I43" s="16"/>
      <c r="J43" s="16"/>
      <c r="K43" s="16"/>
      <c r="L43" s="16"/>
      <c r="M43" s="16"/>
      <c r="N43" s="16"/>
      <c r="O43" s="16"/>
    </row>
    <row r="44" spans="1:19" ht="12.75">
      <c r="A44" s="9" t="s">
        <v>82</v>
      </c>
      <c r="B44" s="10" t="s">
        <v>83</v>
      </c>
      <c r="C44" s="11">
        <v>203</v>
      </c>
      <c r="D44" s="43" t="s">
        <v>84</v>
      </c>
      <c r="E44" s="43" t="s">
        <v>85</v>
      </c>
      <c r="F44" s="13" t="s">
        <v>21</v>
      </c>
      <c r="G44" s="16"/>
      <c r="H44" s="16"/>
      <c r="I44" s="16"/>
      <c r="J44" s="16"/>
      <c r="K44" s="16"/>
      <c r="L44" s="16"/>
      <c r="M44" s="16"/>
      <c r="N44" s="16"/>
      <c r="O44" s="16"/>
    </row>
    <row r="45" spans="1:19" ht="12.75">
      <c r="A45" s="198" t="s">
        <v>210</v>
      </c>
      <c r="B45" s="10" t="s">
        <v>211</v>
      </c>
      <c r="C45" s="11">
        <v>212</v>
      </c>
      <c r="D45" s="246"/>
      <c r="E45" s="246"/>
      <c r="F45" s="13" t="s">
        <v>21</v>
      </c>
      <c r="G45" s="16"/>
      <c r="H45" s="16"/>
      <c r="I45" s="16"/>
      <c r="J45" s="16"/>
      <c r="K45" s="16"/>
      <c r="L45" s="16"/>
      <c r="M45" s="16"/>
      <c r="N45" s="16"/>
      <c r="O45" s="16"/>
    </row>
    <row r="46" spans="1:19" ht="12.75">
      <c r="A46" s="23" t="s">
        <v>360</v>
      </c>
      <c r="B46" s="144" t="s">
        <v>361</v>
      </c>
      <c r="C46" s="182">
        <v>223</v>
      </c>
      <c r="D46" s="30" t="s">
        <v>362</v>
      </c>
      <c r="E46" s="30" t="s">
        <v>363</v>
      </c>
      <c r="F46" s="13" t="s">
        <v>21</v>
      </c>
      <c r="G46" s="16"/>
      <c r="H46" s="16"/>
      <c r="I46" s="16"/>
      <c r="J46" s="16"/>
      <c r="K46" s="16"/>
      <c r="L46" s="16"/>
      <c r="M46" s="16"/>
      <c r="N46" s="16"/>
      <c r="O46" s="16"/>
    </row>
    <row r="47" spans="1:19" ht="12.75">
      <c r="A47" s="9" t="s">
        <v>126</v>
      </c>
      <c r="B47" s="10" t="s">
        <v>127</v>
      </c>
      <c r="C47" s="11">
        <v>202</v>
      </c>
      <c r="D47" s="20" t="s">
        <v>128</v>
      </c>
      <c r="E47" s="20" t="s">
        <v>128</v>
      </c>
      <c r="F47" s="13" t="s">
        <v>21</v>
      </c>
    </row>
    <row r="48" spans="1:19" ht="12.75">
      <c r="A48" s="9" t="s">
        <v>90</v>
      </c>
      <c r="B48" s="10" t="s">
        <v>91</v>
      </c>
      <c r="C48" s="11">
        <v>203</v>
      </c>
      <c r="D48" s="44" t="s">
        <v>92</v>
      </c>
      <c r="E48" s="43" t="s">
        <v>93</v>
      </c>
      <c r="F48" s="13" t="s">
        <v>21</v>
      </c>
      <c r="G48" s="16"/>
      <c r="H48" s="16"/>
      <c r="I48" s="16"/>
      <c r="J48" s="16"/>
      <c r="K48" s="16"/>
      <c r="L48" s="16"/>
      <c r="M48" s="16"/>
      <c r="N48" s="16"/>
      <c r="O48" s="16"/>
    </row>
    <row r="49" spans="1:15" ht="12.6" customHeight="1">
      <c r="A49" s="198" t="s">
        <v>212</v>
      </c>
      <c r="B49" s="10" t="s">
        <v>213</v>
      </c>
      <c r="C49" s="11">
        <v>212</v>
      </c>
      <c r="D49" s="246"/>
      <c r="E49" s="246"/>
      <c r="F49" s="13" t="s">
        <v>21</v>
      </c>
      <c r="G49" s="16"/>
      <c r="H49" s="16"/>
      <c r="I49" s="16"/>
      <c r="J49" s="16"/>
      <c r="K49" s="16"/>
      <c r="L49" s="16"/>
      <c r="M49" s="16"/>
      <c r="N49" s="16"/>
      <c r="O49" s="16"/>
    </row>
    <row r="50" spans="1:15" ht="12.75">
      <c r="A50" s="198" t="s">
        <v>301</v>
      </c>
      <c r="B50" s="10" t="s">
        <v>302</v>
      </c>
      <c r="C50" s="11">
        <v>221</v>
      </c>
      <c r="D50" s="20" t="s">
        <v>303</v>
      </c>
      <c r="E50" s="20" t="s">
        <v>304</v>
      </c>
      <c r="F50" s="13" t="s">
        <v>21</v>
      </c>
      <c r="G50" s="16"/>
      <c r="H50" s="16"/>
      <c r="I50" s="16"/>
      <c r="J50" s="16"/>
      <c r="K50" s="16"/>
      <c r="L50" s="16"/>
      <c r="M50" s="16"/>
      <c r="N50" s="16"/>
      <c r="O50" s="16"/>
    </row>
    <row r="51" spans="1:15" ht="12.75">
      <c r="A51" s="9" t="s">
        <v>129</v>
      </c>
      <c r="B51" s="19" t="s">
        <v>130</v>
      </c>
      <c r="C51" s="11">
        <v>202</v>
      </c>
      <c r="D51" s="20" t="s">
        <v>131</v>
      </c>
      <c r="E51" s="20" t="s">
        <v>132</v>
      </c>
      <c r="F51" s="13" t="s">
        <v>21</v>
      </c>
      <c r="G51" s="16"/>
      <c r="H51" s="16"/>
      <c r="I51" s="16"/>
      <c r="J51" s="16"/>
      <c r="K51" s="16"/>
      <c r="L51" s="16"/>
      <c r="M51" s="16"/>
      <c r="N51" s="16"/>
      <c r="O51" s="16"/>
    </row>
    <row r="52" spans="1:15" ht="12.75">
      <c r="A52" s="17" t="s">
        <v>10</v>
      </c>
      <c r="B52" s="10" t="s">
        <v>11</v>
      </c>
      <c r="C52" s="11">
        <v>203</v>
      </c>
      <c r="D52" s="12"/>
      <c r="E52" s="12"/>
      <c r="F52" s="13" t="s">
        <v>7</v>
      </c>
      <c r="G52" s="16"/>
      <c r="H52" s="16"/>
      <c r="I52" s="16"/>
      <c r="J52" s="16"/>
      <c r="K52" s="16"/>
      <c r="L52" s="16"/>
      <c r="M52" s="16"/>
      <c r="N52" s="16"/>
      <c r="O52" s="16"/>
    </row>
    <row r="53" spans="1:15" ht="12.75">
      <c r="A53" s="182" t="s">
        <v>194</v>
      </c>
      <c r="B53" s="120" t="s">
        <v>195</v>
      </c>
      <c r="C53" s="23">
        <v>212</v>
      </c>
      <c r="D53" s="246"/>
      <c r="E53" s="25"/>
      <c r="F53" s="13" t="s">
        <v>21</v>
      </c>
    </row>
    <row r="54" spans="1:15" ht="13.15" customHeight="1">
      <c r="A54" s="182" t="s">
        <v>196</v>
      </c>
      <c r="B54" s="144" t="s">
        <v>197</v>
      </c>
      <c r="C54" s="23">
        <v>212</v>
      </c>
      <c r="D54" s="246"/>
      <c r="E54" s="246"/>
      <c r="F54" s="13" t="s">
        <v>21</v>
      </c>
    </row>
    <row r="55" spans="1:15" ht="12.75">
      <c r="A55" s="182" t="s">
        <v>133</v>
      </c>
      <c r="B55" s="144" t="s">
        <v>134</v>
      </c>
      <c r="C55" s="182">
        <v>202</v>
      </c>
      <c r="D55" s="191"/>
      <c r="E55" s="191"/>
      <c r="F55" s="13" t="s">
        <v>21</v>
      </c>
    </row>
    <row r="56" spans="1:15" ht="12.75">
      <c r="A56" s="23" t="s">
        <v>214</v>
      </c>
      <c r="B56" s="144" t="s">
        <v>215</v>
      </c>
      <c r="C56" s="182">
        <v>212</v>
      </c>
      <c r="D56" s="246"/>
      <c r="E56" s="246"/>
      <c r="F56" s="13" t="s">
        <v>21</v>
      </c>
    </row>
    <row r="57" spans="1:15" ht="12.75">
      <c r="A57" s="23" t="s">
        <v>315</v>
      </c>
      <c r="B57" s="144" t="s">
        <v>316</v>
      </c>
      <c r="C57" s="182">
        <v>221</v>
      </c>
      <c r="D57" s="246"/>
      <c r="E57" s="246"/>
      <c r="F57" s="13" t="s">
        <v>21</v>
      </c>
    </row>
    <row r="58" spans="1:15" ht="12.75">
      <c r="A58" s="23" t="s">
        <v>45</v>
      </c>
      <c r="B58" s="22" t="s">
        <v>46</v>
      </c>
      <c r="C58" s="23">
        <v>211</v>
      </c>
      <c r="D58" s="246"/>
      <c r="E58" s="246"/>
      <c r="F58" s="13" t="s">
        <v>21</v>
      </c>
    </row>
    <row r="59" spans="1:15" ht="12.75">
      <c r="A59" s="182" t="s">
        <v>135</v>
      </c>
      <c r="B59" s="144" t="s">
        <v>136</v>
      </c>
      <c r="C59" s="182">
        <v>202</v>
      </c>
      <c r="D59" s="20" t="s">
        <v>137</v>
      </c>
      <c r="E59" s="20" t="s">
        <v>138</v>
      </c>
      <c r="F59" s="13" t="s">
        <v>21</v>
      </c>
    </row>
    <row r="60" spans="1:15" ht="13.15" customHeight="1">
      <c r="A60" s="182" t="s">
        <v>157</v>
      </c>
      <c r="B60" s="144" t="s">
        <v>158</v>
      </c>
      <c r="C60" s="182">
        <v>203</v>
      </c>
      <c r="D60" s="191"/>
      <c r="E60" s="43" t="s">
        <v>159</v>
      </c>
      <c r="F60" s="13" t="s">
        <v>21</v>
      </c>
    </row>
    <row r="61" spans="1:15" ht="12.75">
      <c r="A61" s="198" t="s">
        <v>323</v>
      </c>
      <c r="B61" s="10" t="s">
        <v>324</v>
      </c>
      <c r="C61" s="182">
        <v>221</v>
      </c>
      <c r="D61" s="191"/>
      <c r="E61" s="191"/>
      <c r="F61" s="13" t="s">
        <v>21</v>
      </c>
    </row>
    <row r="62" spans="1:15" ht="12.75">
      <c r="A62" s="23" t="s">
        <v>143</v>
      </c>
      <c r="B62" s="22" t="s">
        <v>144</v>
      </c>
      <c r="C62" s="23" t="s">
        <v>114</v>
      </c>
      <c r="D62" s="25" t="s">
        <v>115</v>
      </c>
      <c r="E62" s="25" t="s">
        <v>115</v>
      </c>
      <c r="F62" s="13" t="s">
        <v>21</v>
      </c>
    </row>
    <row r="63" spans="1:15" ht="12.75">
      <c r="A63" s="23" t="s">
        <v>167</v>
      </c>
      <c r="B63" s="120" t="s">
        <v>168</v>
      </c>
      <c r="C63" s="198">
        <v>201</v>
      </c>
      <c r="D63" s="26" t="s">
        <v>169</v>
      </c>
      <c r="E63" s="26" t="s">
        <v>170</v>
      </c>
      <c r="F63" s="13" t="s">
        <v>21</v>
      </c>
    </row>
    <row r="64" spans="1:15" ht="13.15" customHeight="1">
      <c r="A64" s="182" t="s">
        <v>59</v>
      </c>
      <c r="B64" s="10" t="s">
        <v>60</v>
      </c>
      <c r="C64" s="11">
        <v>203</v>
      </c>
      <c r="D64" s="191"/>
      <c r="E64" s="191"/>
      <c r="F64" s="13" t="s">
        <v>21</v>
      </c>
    </row>
    <row r="65" spans="1:15" ht="12.75">
      <c r="A65" s="23" t="s">
        <v>171</v>
      </c>
      <c r="B65" s="120" t="s">
        <v>172</v>
      </c>
      <c r="C65" s="23">
        <v>212</v>
      </c>
      <c r="D65" s="43" t="s">
        <v>173</v>
      </c>
      <c r="E65" s="43" t="s">
        <v>174</v>
      </c>
      <c r="F65" s="13" t="s">
        <v>21</v>
      </c>
    </row>
    <row r="66" spans="1:15" ht="12.75">
      <c r="A66" s="182" t="s">
        <v>262</v>
      </c>
      <c r="B66" s="10" t="s">
        <v>263</v>
      </c>
      <c r="C66" s="11">
        <v>222</v>
      </c>
      <c r="D66" s="25"/>
      <c r="E66" s="25"/>
      <c r="F66" s="13" t="s">
        <v>21</v>
      </c>
    </row>
    <row r="67" spans="1:15" ht="12.75">
      <c r="A67" s="182" t="s">
        <v>264</v>
      </c>
      <c r="B67" s="10" t="s">
        <v>265</v>
      </c>
      <c r="C67" s="11">
        <v>223</v>
      </c>
      <c r="D67" s="20" t="s">
        <v>266</v>
      </c>
      <c r="E67" s="20" t="s">
        <v>267</v>
      </c>
      <c r="F67" s="13" t="s">
        <v>21</v>
      </c>
    </row>
    <row r="68" spans="1:15" ht="12.75">
      <c r="A68" s="23" t="s">
        <v>366</v>
      </c>
      <c r="B68" s="120" t="s">
        <v>367</v>
      </c>
      <c r="C68" s="198">
        <v>232</v>
      </c>
      <c r="D68" s="25"/>
      <c r="E68" s="25"/>
      <c r="F68" s="13" t="s">
        <v>21</v>
      </c>
    </row>
    <row r="69" spans="1:15" ht="12.75">
      <c r="A69" s="182" t="s">
        <v>139</v>
      </c>
      <c r="B69" s="10" t="s">
        <v>140</v>
      </c>
      <c r="C69" s="11">
        <v>202</v>
      </c>
      <c r="D69" s="20" t="s">
        <v>141</v>
      </c>
      <c r="E69" s="20" t="s">
        <v>142</v>
      </c>
      <c r="F69" s="13" t="s">
        <v>21</v>
      </c>
    </row>
    <row r="70" spans="1:15" ht="12.75">
      <c r="A70" s="182" t="s">
        <v>19</v>
      </c>
      <c r="B70" s="144" t="s">
        <v>20</v>
      </c>
      <c r="C70" s="11">
        <v>203</v>
      </c>
      <c r="D70" s="191"/>
      <c r="E70" s="191"/>
      <c r="F70" s="13" t="s">
        <v>7</v>
      </c>
    </row>
    <row r="71" spans="1:15" ht="12.75">
      <c r="A71" s="23" t="s">
        <v>47</v>
      </c>
      <c r="B71" s="120" t="s">
        <v>48</v>
      </c>
      <c r="C71" s="23">
        <v>211</v>
      </c>
      <c r="D71" s="37" t="s">
        <v>49</v>
      </c>
      <c r="E71" s="38" t="s">
        <v>50</v>
      </c>
      <c r="F71" s="13" t="s">
        <v>21</v>
      </c>
    </row>
    <row r="72" spans="1:15" ht="12.75">
      <c r="A72" s="23" t="s">
        <v>217</v>
      </c>
      <c r="B72" s="10" t="s">
        <v>218</v>
      </c>
      <c r="C72" s="11">
        <v>212</v>
      </c>
      <c r="D72" s="25"/>
      <c r="E72" s="25"/>
      <c r="F72" s="13" t="s">
        <v>21</v>
      </c>
    </row>
    <row r="73" spans="1:15" ht="12.75">
      <c r="A73" s="23" t="s">
        <v>331</v>
      </c>
      <c r="B73" s="19" t="s">
        <v>332</v>
      </c>
      <c r="C73" s="11">
        <v>221</v>
      </c>
      <c r="D73" s="25"/>
      <c r="E73" s="25"/>
      <c r="F73" s="13" t="s">
        <v>21</v>
      </c>
    </row>
    <row r="74" spans="1:15" ht="12.75">
      <c r="A74" s="23" t="s">
        <v>51</v>
      </c>
      <c r="B74" s="120" t="s">
        <v>52</v>
      </c>
      <c r="C74" s="198">
        <v>211</v>
      </c>
      <c r="D74" s="24"/>
      <c r="E74" s="246"/>
      <c r="F74" s="13" t="s">
        <v>21</v>
      </c>
    </row>
    <row r="75" spans="1:15" ht="12.75">
      <c r="A75" s="11" t="s">
        <v>145</v>
      </c>
      <c r="B75" s="10" t="s">
        <v>146</v>
      </c>
      <c r="C75" s="11">
        <v>202</v>
      </c>
      <c r="D75" s="20" t="s">
        <v>147</v>
      </c>
      <c r="E75" s="20" t="s">
        <v>148</v>
      </c>
      <c r="F75" s="13" t="s">
        <v>21</v>
      </c>
    </row>
    <row r="76" spans="1:15" ht="12.75">
      <c r="A76" s="9" t="s">
        <v>160</v>
      </c>
      <c r="B76" s="10" t="s">
        <v>161</v>
      </c>
      <c r="C76" s="11">
        <v>203</v>
      </c>
      <c r="D76" s="12"/>
      <c r="E76" s="12"/>
      <c r="F76" s="13" t="s">
        <v>21</v>
      </c>
    </row>
    <row r="77" spans="1:15" ht="12.75">
      <c r="A77" s="198" t="s">
        <v>333</v>
      </c>
      <c r="B77" s="10" t="s">
        <v>334</v>
      </c>
      <c r="C77" s="11">
        <v>221</v>
      </c>
      <c r="D77" s="246"/>
      <c r="E77" s="246"/>
      <c r="F77" s="13" t="s">
        <v>21</v>
      </c>
    </row>
    <row r="78" spans="1:15" ht="12.75">
      <c r="A78" s="23" t="s">
        <v>53</v>
      </c>
      <c r="B78" s="22" t="s">
        <v>54</v>
      </c>
      <c r="C78" s="23">
        <v>191</v>
      </c>
      <c r="D78" s="37" t="s">
        <v>9</v>
      </c>
      <c r="E78" s="25"/>
      <c r="F78" s="13" t="s">
        <v>21</v>
      </c>
      <c r="G78" s="16"/>
      <c r="H78" s="16"/>
      <c r="I78" s="16"/>
      <c r="J78" s="16"/>
      <c r="K78" s="16"/>
      <c r="L78" s="16"/>
      <c r="M78" s="16"/>
      <c r="N78" s="16"/>
      <c r="O78" s="16"/>
    </row>
    <row r="79" spans="1:15" ht="12.75">
      <c r="A79" s="51" t="s">
        <v>13</v>
      </c>
      <c r="B79" s="19" t="s">
        <v>14</v>
      </c>
      <c r="C79" s="11">
        <v>202</v>
      </c>
      <c r="D79" s="20" t="s">
        <v>15</v>
      </c>
      <c r="E79" s="20" t="s">
        <v>16</v>
      </c>
      <c r="F79" s="13" t="s">
        <v>7</v>
      </c>
      <c r="G79" s="16"/>
      <c r="H79" s="16"/>
      <c r="I79" s="16"/>
      <c r="J79" s="16"/>
      <c r="K79" s="16"/>
      <c r="L79" s="16"/>
      <c r="M79" s="16"/>
      <c r="N79" s="16"/>
      <c r="O79" s="16"/>
    </row>
    <row r="80" spans="1:15" ht="12.75">
      <c r="A80" s="198" t="s">
        <v>219</v>
      </c>
      <c r="B80" s="46" t="s">
        <v>220</v>
      </c>
      <c r="C80" s="11">
        <v>212</v>
      </c>
      <c r="D80" s="246"/>
      <c r="E80" s="246"/>
      <c r="F80" s="13" t="s">
        <v>21</v>
      </c>
    </row>
    <row r="81" spans="1:6" ht="12.75">
      <c r="A81" s="182" t="s">
        <v>149</v>
      </c>
      <c r="B81" s="10" t="s">
        <v>150</v>
      </c>
      <c r="C81" s="11">
        <v>202</v>
      </c>
      <c r="D81" s="20" t="s">
        <v>151</v>
      </c>
      <c r="E81" s="20" t="s">
        <v>152</v>
      </c>
      <c r="F81" s="13" t="s">
        <v>21</v>
      </c>
    </row>
    <row r="82" spans="1:6" ht="12.75">
      <c r="A82" s="23" t="s">
        <v>55</v>
      </c>
      <c r="B82" s="120" t="s">
        <v>56</v>
      </c>
      <c r="C82" s="198">
        <v>212</v>
      </c>
      <c r="D82" s="25"/>
      <c r="E82" s="37" t="s">
        <v>9</v>
      </c>
      <c r="F82" s="13" t="s">
        <v>21</v>
      </c>
    </row>
    <row r="83" spans="1:6" ht="12.6" customHeight="1">
      <c r="A83" s="182" t="s">
        <v>153</v>
      </c>
      <c r="B83" s="19" t="s">
        <v>154</v>
      </c>
      <c r="C83" s="11">
        <v>202</v>
      </c>
      <c r="D83" s="20" t="s">
        <v>155</v>
      </c>
      <c r="E83" s="20" t="s">
        <v>156</v>
      </c>
      <c r="F83" s="13" t="s">
        <v>21</v>
      </c>
    </row>
    <row r="84" spans="1:6" ht="12.75">
      <c r="A84" s="23" t="s">
        <v>25</v>
      </c>
      <c r="B84" s="10" t="s">
        <v>26</v>
      </c>
      <c r="C84" s="11">
        <v>212</v>
      </c>
      <c r="D84" s="246"/>
      <c r="E84" s="246"/>
      <c r="F84" s="13" t="s">
        <v>7</v>
      </c>
    </row>
    <row r="85" spans="1:6" ht="12.75">
      <c r="A85" s="23" t="s">
        <v>57</v>
      </c>
      <c r="B85" s="22" t="s">
        <v>58</v>
      </c>
      <c r="C85" s="23">
        <v>212</v>
      </c>
      <c r="D85" s="25"/>
      <c r="E85" s="37" t="s">
        <v>9</v>
      </c>
      <c r="F85" s="13" t="s">
        <v>21</v>
      </c>
    </row>
    <row r="86" spans="1:6" ht="12.75">
      <c r="A86" s="198" t="s">
        <v>221</v>
      </c>
      <c r="B86" s="19" t="s">
        <v>222</v>
      </c>
      <c r="C86" s="198">
        <v>212</v>
      </c>
      <c r="D86" s="246"/>
      <c r="E86" s="246"/>
      <c r="F86" s="13" t="s">
        <v>21</v>
      </c>
    </row>
    <row r="87" spans="1:6" ht="12.75">
      <c r="A87" s="23" t="s">
        <v>223</v>
      </c>
      <c r="B87" s="10" t="s">
        <v>224</v>
      </c>
      <c r="C87" s="11">
        <v>212</v>
      </c>
      <c r="D87" s="246"/>
      <c r="E87" s="246"/>
      <c r="F87" s="13" t="s">
        <v>21</v>
      </c>
    </row>
    <row r="88" spans="1:6" ht="12.75">
      <c r="A88" s="23" t="s">
        <v>227</v>
      </c>
      <c r="B88" s="19" t="s">
        <v>228</v>
      </c>
      <c r="C88" s="11">
        <v>212</v>
      </c>
      <c r="D88" s="246"/>
      <c r="E88" s="191"/>
      <c r="F88" s="13" t="s">
        <v>21</v>
      </c>
    </row>
    <row r="89" spans="1:6" ht="12.75">
      <c r="A89" s="198" t="s">
        <v>27</v>
      </c>
      <c r="B89" s="120" t="s">
        <v>28</v>
      </c>
      <c r="C89" s="198">
        <v>201</v>
      </c>
      <c r="D89" s="26" t="s">
        <v>29</v>
      </c>
      <c r="E89" s="27" t="s">
        <v>30</v>
      </c>
      <c r="F89" s="13" t="s">
        <v>7</v>
      </c>
    </row>
    <row r="90" spans="1:6" ht="12.75">
      <c r="A90" s="23" t="s">
        <v>162</v>
      </c>
      <c r="B90" s="144" t="s">
        <v>163</v>
      </c>
      <c r="C90" s="182" t="s">
        <v>114</v>
      </c>
      <c r="D90" s="191" t="s">
        <v>115</v>
      </c>
      <c r="E90" s="191" t="s">
        <v>115</v>
      </c>
      <c r="F90" s="13" t="s">
        <v>21</v>
      </c>
    </row>
    <row r="91" spans="1:6" ht="13.15" customHeight="1">
      <c r="A91" s="23" t="s">
        <v>177</v>
      </c>
      <c r="B91" s="120" t="s">
        <v>178</v>
      </c>
      <c r="C91" s="198">
        <v>201</v>
      </c>
      <c r="D91" s="26" t="s">
        <v>179</v>
      </c>
      <c r="E91" s="26" t="s">
        <v>180</v>
      </c>
      <c r="F91" s="13" t="s">
        <v>21</v>
      </c>
    </row>
    <row r="92" spans="1:6" ht="12.75">
      <c r="A92" s="182" t="s">
        <v>74</v>
      </c>
      <c r="B92" s="10" t="s">
        <v>75</v>
      </c>
      <c r="C92" s="11">
        <v>202</v>
      </c>
      <c r="D92" s="20" t="s">
        <v>76</v>
      </c>
      <c r="E92" s="20" t="s">
        <v>77</v>
      </c>
      <c r="F92" s="13" t="s">
        <v>21</v>
      </c>
    </row>
    <row r="93" spans="1:6" ht="12.75">
      <c r="A93" s="182" t="s">
        <v>61</v>
      </c>
      <c r="B93" s="10" t="s">
        <v>62</v>
      </c>
      <c r="C93" s="11">
        <v>203</v>
      </c>
      <c r="D93" s="12"/>
      <c r="E93" s="191"/>
      <c r="F93" s="13" t="s">
        <v>21</v>
      </c>
    </row>
    <row r="94" spans="1:6" ht="12.75">
      <c r="A94" s="23" t="s">
        <v>175</v>
      </c>
      <c r="B94" s="10" t="s">
        <v>176</v>
      </c>
      <c r="C94" s="198">
        <v>212</v>
      </c>
      <c r="D94" s="246"/>
      <c r="E94" s="246"/>
      <c r="F94" s="13" t="s">
        <v>21</v>
      </c>
    </row>
    <row r="95" spans="1:6" ht="12.75">
      <c r="A95" s="23" t="s">
        <v>270</v>
      </c>
      <c r="B95" s="10" t="s">
        <v>271</v>
      </c>
      <c r="C95" s="11">
        <v>222</v>
      </c>
      <c r="D95" s="191"/>
      <c r="E95" s="191"/>
      <c r="F95" s="13" t="s">
        <v>21</v>
      </c>
    </row>
    <row r="96" spans="1:6" ht="12.75">
      <c r="A96" s="182" t="s">
        <v>235</v>
      </c>
      <c r="B96" s="10" t="s">
        <v>236</v>
      </c>
      <c r="C96" s="11">
        <v>223</v>
      </c>
      <c r="D96" s="20" t="s">
        <v>237</v>
      </c>
      <c r="E96" s="20" t="s">
        <v>238</v>
      </c>
      <c r="F96" s="13" t="s">
        <v>21</v>
      </c>
    </row>
    <row r="97" spans="1:6" ht="12.75">
      <c r="A97" s="23" t="s">
        <v>368</v>
      </c>
      <c r="B97" s="120" t="s">
        <v>369</v>
      </c>
      <c r="C97" s="198">
        <v>232</v>
      </c>
      <c r="D97" s="246"/>
      <c r="E97" s="246"/>
      <c r="F97" s="13" t="s">
        <v>21</v>
      </c>
    </row>
    <row r="98" spans="1:6" ht="12.75">
      <c r="A98" s="23" t="s">
        <v>242</v>
      </c>
      <c r="B98" s="10" t="s">
        <v>243</v>
      </c>
      <c r="C98" s="11">
        <v>223</v>
      </c>
      <c r="D98" s="246"/>
      <c r="E98" s="246"/>
      <c r="F98" s="13" t="s">
        <v>21</v>
      </c>
    </row>
    <row r="99" spans="1:6" ht="12.75">
      <c r="A99" s="23" t="s">
        <v>279</v>
      </c>
      <c r="B99" s="10" t="s">
        <v>280</v>
      </c>
      <c r="C99" s="11">
        <v>222</v>
      </c>
      <c r="D99" s="191"/>
      <c r="E99" s="43" t="s">
        <v>281</v>
      </c>
      <c r="F99" s="13" t="s">
        <v>21</v>
      </c>
    </row>
    <row r="100" spans="1:6" ht="12.75">
      <c r="A100" s="23" t="s">
        <v>268</v>
      </c>
      <c r="B100" s="188" t="s">
        <v>269</v>
      </c>
      <c r="C100" s="47">
        <v>223</v>
      </c>
      <c r="D100" s="228"/>
      <c r="E100" s="228"/>
      <c r="F100" s="13" t="s">
        <v>21</v>
      </c>
    </row>
    <row r="101" spans="1:6" ht="12.75">
      <c r="A101" s="23" t="s">
        <v>191</v>
      </c>
      <c r="B101" s="120" t="s">
        <v>192</v>
      </c>
      <c r="C101" s="198">
        <v>201</v>
      </c>
      <c r="D101" s="246" t="s">
        <v>22</v>
      </c>
      <c r="E101" s="26" t="s">
        <v>193</v>
      </c>
      <c r="F101" s="13" t="s">
        <v>21</v>
      </c>
    </row>
    <row r="102" spans="1:6" ht="12.75">
      <c r="A102" s="182" t="s">
        <v>78</v>
      </c>
      <c r="B102" s="10" t="s">
        <v>79</v>
      </c>
      <c r="C102" s="11">
        <v>202</v>
      </c>
      <c r="D102" s="20" t="s">
        <v>80</v>
      </c>
      <c r="E102" s="20" t="s">
        <v>81</v>
      </c>
      <c r="F102" s="13" t="s">
        <v>21</v>
      </c>
    </row>
    <row r="103" spans="1:6" ht="12.75">
      <c r="A103" s="182" t="s">
        <v>63</v>
      </c>
      <c r="B103" s="10" t="s">
        <v>64</v>
      </c>
      <c r="C103" s="11">
        <v>203</v>
      </c>
      <c r="D103" s="191"/>
      <c r="E103" s="191"/>
      <c r="F103" s="13" t="s">
        <v>21</v>
      </c>
    </row>
    <row r="104" spans="1:6" ht="12.75">
      <c r="A104" s="23" t="s">
        <v>181</v>
      </c>
      <c r="B104" s="120" t="s">
        <v>182</v>
      </c>
      <c r="C104" s="198">
        <v>204</v>
      </c>
      <c r="D104" s="26" t="s">
        <v>183</v>
      </c>
      <c r="E104" s="26" t="s">
        <v>184</v>
      </c>
      <c r="F104" s="13" t="s">
        <v>21</v>
      </c>
    </row>
    <row r="105" spans="1:6" ht="12.75">
      <c r="A105" s="23" t="s">
        <v>198</v>
      </c>
      <c r="B105" s="120" t="s">
        <v>199</v>
      </c>
      <c r="C105" s="198">
        <v>212</v>
      </c>
      <c r="D105" s="246"/>
      <c r="E105" s="246"/>
      <c r="F105" s="13" t="s">
        <v>21</v>
      </c>
    </row>
    <row r="106" spans="1:6" ht="12.75">
      <c r="A106" s="23" t="s">
        <v>244</v>
      </c>
      <c r="B106" s="10" t="s">
        <v>245</v>
      </c>
      <c r="C106" s="11">
        <v>222</v>
      </c>
      <c r="D106" s="191"/>
      <c r="E106" s="246"/>
      <c r="F106" s="13" t="s">
        <v>21</v>
      </c>
    </row>
    <row r="107" spans="1:6" ht="12.75">
      <c r="A107" s="23" t="s">
        <v>282</v>
      </c>
      <c r="B107" s="10" t="s">
        <v>283</v>
      </c>
      <c r="C107" s="11">
        <v>222</v>
      </c>
      <c r="D107" s="20" t="s">
        <v>284</v>
      </c>
      <c r="E107" s="20" t="s">
        <v>285</v>
      </c>
      <c r="F107" s="13" t="s">
        <v>21</v>
      </c>
    </row>
    <row r="108" spans="1:6" ht="12.75">
      <c r="A108" s="23" t="s">
        <v>276</v>
      </c>
      <c r="B108" s="10" t="s">
        <v>277</v>
      </c>
      <c r="C108" s="11">
        <v>223</v>
      </c>
      <c r="D108" s="191"/>
      <c r="E108" s="20" t="s">
        <v>278</v>
      </c>
      <c r="F108" s="13" t="s">
        <v>21</v>
      </c>
    </row>
    <row r="109" spans="1:6" ht="12.75">
      <c r="A109" s="23" t="s">
        <v>371</v>
      </c>
      <c r="B109" s="120" t="s">
        <v>372</v>
      </c>
      <c r="C109" s="198">
        <v>232</v>
      </c>
      <c r="D109" s="25"/>
      <c r="E109" s="25"/>
      <c r="F109" s="13" t="s">
        <v>21</v>
      </c>
    </row>
    <row r="110" spans="1:6" ht="12.75">
      <c r="A110" s="23" t="s">
        <v>34</v>
      </c>
      <c r="B110" s="10" t="s">
        <v>35</v>
      </c>
      <c r="C110" s="11">
        <v>221</v>
      </c>
      <c r="D110" s="246"/>
      <c r="E110" s="246"/>
      <c r="F110" s="13" t="s">
        <v>7</v>
      </c>
    </row>
    <row r="111" spans="1:6" ht="12.75">
      <c r="A111" s="23" t="s">
        <v>36</v>
      </c>
      <c r="B111" s="10" t="s">
        <v>37</v>
      </c>
      <c r="C111" s="11">
        <v>221</v>
      </c>
      <c r="D111" s="191"/>
      <c r="E111" s="191"/>
      <c r="F111" s="13" t="s">
        <v>7</v>
      </c>
    </row>
    <row r="112" spans="1:6" ht="12.75">
      <c r="A112" s="198" t="s">
        <v>240</v>
      </c>
      <c r="B112" s="10" t="s">
        <v>241</v>
      </c>
      <c r="C112" s="11">
        <v>221</v>
      </c>
      <c r="D112" s="191"/>
      <c r="E112" s="191"/>
      <c r="F112" s="13" t="s">
        <v>21</v>
      </c>
    </row>
    <row r="113" spans="1:6" ht="12.75">
      <c r="A113" s="11" t="s">
        <v>86</v>
      </c>
      <c r="B113" s="10" t="s">
        <v>87</v>
      </c>
      <c r="C113" s="11">
        <v>202</v>
      </c>
      <c r="D113" s="14" t="s">
        <v>88</v>
      </c>
      <c r="E113" s="14" t="s">
        <v>89</v>
      </c>
      <c r="F113" s="13" t="s">
        <v>21</v>
      </c>
    </row>
    <row r="114" spans="1:6" ht="12.75">
      <c r="A114" s="11" t="s">
        <v>65</v>
      </c>
      <c r="B114" s="10" t="s">
        <v>66</v>
      </c>
      <c r="C114" s="11">
        <v>203</v>
      </c>
      <c r="D114" s="191"/>
      <c r="E114" s="191"/>
      <c r="F114" s="13" t="s">
        <v>21</v>
      </c>
    </row>
    <row r="115" spans="1:6" ht="12.75">
      <c r="A115" s="198" t="s">
        <v>185</v>
      </c>
      <c r="B115" s="120" t="s">
        <v>186</v>
      </c>
      <c r="C115" s="198">
        <v>204</v>
      </c>
      <c r="D115" s="26" t="s">
        <v>187</v>
      </c>
      <c r="E115" s="26" t="s">
        <v>188</v>
      </c>
      <c r="F115" s="13" t="s">
        <v>21</v>
      </c>
    </row>
    <row r="116" spans="1:6" ht="12.75">
      <c r="A116" s="198" t="s">
        <v>246</v>
      </c>
      <c r="B116" s="10" t="s">
        <v>247</v>
      </c>
      <c r="C116" s="11">
        <v>221</v>
      </c>
      <c r="D116" s="20" t="s">
        <v>248</v>
      </c>
      <c r="E116" s="20" t="s">
        <v>249</v>
      </c>
      <c r="F116" s="13" t="s">
        <v>21</v>
      </c>
    </row>
    <row r="117" spans="1:6" ht="12.75">
      <c r="A117" s="198" t="s">
        <v>286</v>
      </c>
      <c r="B117" s="10" t="s">
        <v>287</v>
      </c>
      <c r="C117" s="11">
        <v>223</v>
      </c>
      <c r="D117" s="20" t="s">
        <v>288</v>
      </c>
      <c r="E117" s="20" t="s">
        <v>289</v>
      </c>
      <c r="F117" s="13" t="s">
        <v>21</v>
      </c>
    </row>
    <row r="118" spans="1:6" ht="12.75">
      <c r="A118" s="198" t="s">
        <v>379</v>
      </c>
      <c r="B118" s="191" t="s">
        <v>380</v>
      </c>
      <c r="C118" s="11">
        <v>232</v>
      </c>
      <c r="D118" s="25"/>
      <c r="E118" s="25"/>
      <c r="F118" s="13" t="s">
        <v>21</v>
      </c>
    </row>
    <row r="119" spans="1:6" ht="12.75">
      <c r="A119" s="198" t="s">
        <v>164</v>
      </c>
      <c r="B119" s="10" t="s">
        <v>165</v>
      </c>
      <c r="C119" s="198">
        <v>201</v>
      </c>
      <c r="D119" s="26" t="s">
        <v>166</v>
      </c>
      <c r="E119" s="25"/>
      <c r="F119" s="13" t="s">
        <v>21</v>
      </c>
    </row>
    <row r="120" spans="1:6" ht="12.6" customHeight="1">
      <c r="A120" s="11" t="s">
        <v>94</v>
      </c>
      <c r="B120" s="10" t="s">
        <v>95</v>
      </c>
      <c r="C120" s="11">
        <v>202</v>
      </c>
      <c r="D120" s="20" t="s">
        <v>96</v>
      </c>
      <c r="E120" s="20" t="s">
        <v>97</v>
      </c>
      <c r="F120" s="13" t="s">
        <v>21</v>
      </c>
    </row>
    <row r="121" spans="1:6" ht="12.6" customHeight="1">
      <c r="A121" s="23" t="s">
        <v>256</v>
      </c>
      <c r="B121" s="144" t="s">
        <v>257</v>
      </c>
      <c r="C121" s="182">
        <v>221</v>
      </c>
      <c r="D121" s="20" t="s">
        <v>258</v>
      </c>
      <c r="E121" s="20" t="s">
        <v>259</v>
      </c>
      <c r="F121" s="13" t="s">
        <v>21</v>
      </c>
    </row>
    <row r="122" spans="1:6" ht="12.75">
      <c r="A122" s="23" t="s">
        <v>306</v>
      </c>
      <c r="B122" s="144" t="s">
        <v>307</v>
      </c>
      <c r="C122" s="11">
        <v>222</v>
      </c>
      <c r="D122" s="191"/>
      <c r="E122" s="191"/>
      <c r="F122" s="13" t="s">
        <v>21</v>
      </c>
    </row>
    <row r="123" spans="1:6" ht="12.75">
      <c r="A123" s="23" t="s">
        <v>290</v>
      </c>
      <c r="B123" s="10" t="s">
        <v>291</v>
      </c>
      <c r="C123" s="11">
        <v>223</v>
      </c>
      <c r="D123" s="20" t="s">
        <v>292</v>
      </c>
      <c r="E123" s="20" t="s">
        <v>293</v>
      </c>
      <c r="F123" s="13" t="s">
        <v>21</v>
      </c>
    </row>
    <row r="124" spans="1:6" ht="12.75">
      <c r="A124" s="182" t="s">
        <v>98</v>
      </c>
      <c r="B124" s="144" t="s">
        <v>99</v>
      </c>
      <c r="C124" s="182">
        <v>202</v>
      </c>
      <c r="D124" s="20" t="s">
        <v>100</v>
      </c>
      <c r="E124" s="20" t="s">
        <v>100</v>
      </c>
      <c r="F124" s="13" t="s">
        <v>21</v>
      </c>
    </row>
    <row r="125" spans="1:6" ht="12.75">
      <c r="A125" s="182" t="s">
        <v>68</v>
      </c>
      <c r="B125" s="144" t="s">
        <v>69</v>
      </c>
      <c r="C125" s="182">
        <v>203</v>
      </c>
      <c r="D125" s="191"/>
      <c r="E125" s="20" t="s">
        <v>9</v>
      </c>
      <c r="F125" s="13" t="s">
        <v>21</v>
      </c>
    </row>
    <row r="126" spans="1:6" ht="12.75">
      <c r="A126" s="23" t="s">
        <v>202</v>
      </c>
      <c r="B126" s="144" t="s">
        <v>203</v>
      </c>
      <c r="C126" s="182">
        <v>212</v>
      </c>
      <c r="D126" s="25"/>
      <c r="E126" s="25"/>
      <c r="F126" s="13" t="s">
        <v>21</v>
      </c>
    </row>
    <row r="127" spans="1:6" ht="12.75">
      <c r="A127" s="23" t="s">
        <v>294</v>
      </c>
      <c r="B127" s="50" t="s">
        <v>295</v>
      </c>
      <c r="C127" s="182">
        <v>223</v>
      </c>
      <c r="D127" s="191"/>
      <c r="E127" s="191"/>
      <c r="F127" s="13" t="s">
        <v>21</v>
      </c>
    </row>
    <row r="128" spans="1:6" ht="12.75">
      <c r="A128" s="182" t="s">
        <v>101</v>
      </c>
      <c r="B128" s="144" t="s">
        <v>102</v>
      </c>
      <c r="C128" s="182">
        <v>202</v>
      </c>
      <c r="D128" s="20" t="s">
        <v>103</v>
      </c>
      <c r="E128" s="20" t="s">
        <v>104</v>
      </c>
      <c r="F128" s="13" t="s">
        <v>21</v>
      </c>
    </row>
    <row r="129" spans="1:6" ht="12.75">
      <c r="A129" s="23" t="s">
        <v>204</v>
      </c>
      <c r="B129" s="144" t="s">
        <v>205</v>
      </c>
      <c r="C129" s="198">
        <v>212</v>
      </c>
      <c r="D129" s="25"/>
      <c r="E129" s="25"/>
      <c r="F129" s="13" t="s">
        <v>21</v>
      </c>
    </row>
    <row r="130" spans="1:6" ht="12.75">
      <c r="A130" s="23" t="s">
        <v>308</v>
      </c>
      <c r="B130" s="144" t="s">
        <v>309</v>
      </c>
      <c r="C130" s="182">
        <v>222</v>
      </c>
      <c r="D130" s="20" t="s">
        <v>310</v>
      </c>
      <c r="E130" s="20" t="s">
        <v>311</v>
      </c>
      <c r="F130" s="13" t="s">
        <v>21</v>
      </c>
    </row>
    <row r="131" spans="1:6" ht="12.75">
      <c r="A131" s="23" t="s">
        <v>317</v>
      </c>
      <c r="B131" s="144" t="s">
        <v>318</v>
      </c>
      <c r="C131" s="182">
        <v>223</v>
      </c>
      <c r="D131" s="20" t="s">
        <v>319</v>
      </c>
      <c r="E131" s="20" t="s">
        <v>320</v>
      </c>
      <c r="F131" s="13" t="s">
        <v>21</v>
      </c>
    </row>
    <row r="132" spans="1:6" ht="12.75">
      <c r="A132" s="49"/>
      <c r="B132" s="45"/>
      <c r="C132" s="49"/>
      <c r="D132" s="25"/>
      <c r="E132" s="25"/>
      <c r="F132" s="15"/>
    </row>
    <row r="133" spans="1:6" ht="12.75">
      <c r="A133" s="49"/>
      <c r="B133" s="45"/>
      <c r="C133" s="49"/>
      <c r="D133" s="25"/>
      <c r="E133" s="25"/>
      <c r="F133" s="15"/>
    </row>
    <row r="134" spans="1:6" ht="12.75">
      <c r="A134" s="49"/>
      <c r="B134" s="45"/>
      <c r="C134" s="49"/>
      <c r="D134" s="25"/>
      <c r="E134" s="25"/>
      <c r="F134" s="15"/>
    </row>
    <row r="135" spans="1:6" ht="12.75">
      <c r="A135" s="49"/>
      <c r="B135" s="45"/>
      <c r="C135" s="49"/>
      <c r="D135" s="25"/>
      <c r="E135" s="25"/>
      <c r="F135" s="15"/>
    </row>
    <row r="136" spans="1:6" ht="12.75">
      <c r="A136" s="49"/>
      <c r="B136" s="45"/>
      <c r="C136" s="49"/>
      <c r="D136" s="25"/>
      <c r="E136" s="25"/>
      <c r="F136" s="15"/>
    </row>
    <row r="137" spans="1:6" ht="12.75">
      <c r="A137" s="49"/>
      <c r="B137" s="45"/>
      <c r="C137" s="49"/>
      <c r="D137" s="25"/>
      <c r="E137" s="25"/>
      <c r="F137" s="15"/>
    </row>
    <row r="138" spans="1:6" ht="12.75">
      <c r="A138" s="49"/>
      <c r="B138" s="45"/>
      <c r="C138" s="49"/>
      <c r="D138" s="25"/>
      <c r="E138" s="25"/>
      <c r="F138" s="15"/>
    </row>
    <row r="139" spans="1:6" ht="12.75">
      <c r="A139" s="49"/>
      <c r="B139" s="45"/>
      <c r="C139" s="49"/>
      <c r="D139" s="25"/>
      <c r="E139" s="25"/>
      <c r="F139" s="15"/>
    </row>
    <row r="140" spans="1:6" ht="12.75">
      <c r="A140" s="49"/>
      <c r="B140" s="45"/>
      <c r="C140" s="49"/>
      <c r="D140" s="25"/>
      <c r="E140" s="25"/>
      <c r="F140" s="15"/>
    </row>
    <row r="141" spans="1:6" ht="12.75">
      <c r="A141" s="49"/>
      <c r="B141" s="45"/>
      <c r="C141" s="49"/>
      <c r="D141" s="25"/>
      <c r="E141" s="25"/>
      <c r="F141" s="15"/>
    </row>
    <row r="142" spans="1:6" ht="12.75">
      <c r="A142" s="49"/>
      <c r="B142" s="45"/>
      <c r="C142" s="49"/>
      <c r="D142" s="25"/>
      <c r="E142" s="25"/>
      <c r="F142" s="15"/>
    </row>
    <row r="143" spans="1:6" ht="12.75">
      <c r="A143" s="49"/>
      <c r="B143" s="45"/>
      <c r="C143" s="49"/>
      <c r="D143" s="25"/>
      <c r="E143" s="25"/>
      <c r="F143" s="15"/>
    </row>
    <row r="144" spans="1:6" ht="12.75">
      <c r="A144" s="49"/>
      <c r="B144" s="45"/>
      <c r="C144" s="49"/>
      <c r="D144" s="25"/>
      <c r="E144" s="25"/>
      <c r="F144" s="15"/>
    </row>
    <row r="145" spans="1:6" ht="12.75">
      <c r="A145" s="49"/>
      <c r="B145" s="45"/>
      <c r="C145" s="49"/>
      <c r="D145" s="25"/>
      <c r="E145" s="25"/>
      <c r="F145" s="15"/>
    </row>
    <row r="146" spans="1:6" ht="12.75">
      <c r="A146" s="49"/>
      <c r="B146" s="45"/>
      <c r="C146" s="49"/>
      <c r="D146" s="25"/>
      <c r="E146" s="25"/>
      <c r="F146" s="15"/>
    </row>
    <row r="147" spans="1:6" ht="12.75">
      <c r="A147" s="49"/>
      <c r="B147" s="45"/>
      <c r="C147" s="49"/>
      <c r="D147" s="25"/>
      <c r="E147" s="25"/>
      <c r="F147" s="15"/>
    </row>
    <row r="148" spans="1:6" ht="12.75">
      <c r="A148" s="49"/>
      <c r="B148" s="45"/>
      <c r="C148" s="49"/>
      <c r="D148" s="25"/>
      <c r="E148" s="25"/>
      <c r="F148" s="15"/>
    </row>
    <row r="149" spans="1:6" ht="12.75">
      <c r="A149" s="49"/>
      <c r="B149" s="45"/>
      <c r="C149" s="49"/>
      <c r="D149" s="25"/>
      <c r="E149" s="25"/>
      <c r="F149" s="15"/>
    </row>
    <row r="150" spans="1:6" ht="12.75">
      <c r="A150" s="49"/>
      <c r="B150" s="45"/>
      <c r="C150" s="49"/>
      <c r="D150" s="25"/>
      <c r="E150" s="25"/>
      <c r="F150" s="15"/>
    </row>
    <row r="151" spans="1:6" ht="12.75">
      <c r="A151" s="49"/>
      <c r="B151" s="45"/>
      <c r="C151" s="49"/>
      <c r="D151" s="25"/>
      <c r="E151" s="25"/>
      <c r="F151" s="15"/>
    </row>
    <row r="152" spans="1:6" ht="12.75">
      <c r="A152" s="49"/>
      <c r="B152" s="45"/>
      <c r="C152" s="49"/>
      <c r="D152" s="25"/>
      <c r="E152" s="25"/>
      <c r="F152" s="15"/>
    </row>
    <row r="153" spans="1:6" ht="12.75">
      <c r="A153" s="49"/>
      <c r="B153" s="45"/>
      <c r="C153" s="49"/>
      <c r="D153" s="25"/>
      <c r="E153" s="25"/>
      <c r="F153" s="15"/>
    </row>
    <row r="154" spans="1:6" ht="12.75">
      <c r="A154" s="49"/>
      <c r="B154" s="45"/>
      <c r="C154" s="49"/>
      <c r="D154" s="25"/>
      <c r="E154" s="25"/>
      <c r="F154" s="15"/>
    </row>
    <row r="155" spans="1:6" ht="12.75">
      <c r="A155" s="49"/>
      <c r="B155" s="45"/>
      <c r="C155" s="49"/>
      <c r="D155" s="25"/>
      <c r="E155" s="25"/>
      <c r="F155" s="15"/>
    </row>
    <row r="156" spans="1:6" ht="12.75">
      <c r="A156" s="49"/>
      <c r="B156" s="45"/>
      <c r="C156" s="49"/>
      <c r="D156" s="25"/>
      <c r="E156" s="25"/>
      <c r="F156" s="15"/>
    </row>
    <row r="157" spans="1:6" ht="12.75">
      <c r="A157" s="49"/>
      <c r="B157" s="45"/>
      <c r="C157" s="49"/>
      <c r="D157" s="25"/>
      <c r="E157" s="25"/>
      <c r="F157" s="15"/>
    </row>
    <row r="158" spans="1:6" ht="12.75">
      <c r="A158" s="49"/>
      <c r="B158" s="45"/>
      <c r="C158" s="49"/>
      <c r="D158" s="25"/>
      <c r="E158" s="25"/>
      <c r="F158" s="15"/>
    </row>
    <row r="159" spans="1:6" ht="12.75">
      <c r="A159" s="49"/>
      <c r="B159" s="45"/>
      <c r="C159" s="49"/>
      <c r="D159" s="25"/>
      <c r="E159" s="25"/>
      <c r="F159" s="15"/>
    </row>
    <row r="160" spans="1:6" ht="12.75">
      <c r="A160" s="49"/>
      <c r="B160" s="45"/>
      <c r="C160" s="49"/>
      <c r="D160" s="25"/>
      <c r="E160" s="25"/>
      <c r="F160" s="15"/>
    </row>
    <row r="161" spans="1:6" ht="12.75">
      <c r="A161" s="49"/>
      <c r="B161" s="45"/>
      <c r="C161" s="49"/>
      <c r="D161" s="25"/>
      <c r="E161" s="25"/>
      <c r="F161" s="15"/>
    </row>
    <row r="162" spans="1:6" ht="12.75">
      <c r="A162" s="49"/>
      <c r="B162" s="45"/>
      <c r="C162" s="49"/>
      <c r="D162" s="25"/>
      <c r="E162" s="25"/>
      <c r="F162" s="15"/>
    </row>
    <row r="163" spans="1:6" ht="12.75">
      <c r="A163" s="49"/>
      <c r="B163" s="45"/>
      <c r="C163" s="49"/>
      <c r="D163" s="25"/>
      <c r="E163" s="25"/>
      <c r="F163" s="15"/>
    </row>
    <row r="164" spans="1:6" ht="12.75">
      <c r="A164" s="49"/>
      <c r="B164" s="45"/>
      <c r="C164" s="49"/>
      <c r="D164" s="25"/>
      <c r="E164" s="25"/>
      <c r="F164" s="15"/>
    </row>
    <row r="165" spans="1:6" ht="12.75">
      <c r="A165" s="49"/>
      <c r="B165" s="45"/>
      <c r="C165" s="49"/>
      <c r="D165" s="25"/>
      <c r="E165" s="25"/>
      <c r="F165" s="15"/>
    </row>
    <row r="166" spans="1:6" ht="12.75">
      <c r="A166" s="49"/>
      <c r="B166" s="45"/>
      <c r="C166" s="49"/>
      <c r="D166" s="25"/>
      <c r="E166" s="25"/>
      <c r="F166" s="15"/>
    </row>
    <row r="167" spans="1:6" ht="12.75">
      <c r="A167" s="49"/>
      <c r="B167" s="45"/>
      <c r="C167" s="49"/>
      <c r="D167" s="25"/>
      <c r="E167" s="25"/>
      <c r="F167" s="15"/>
    </row>
    <row r="168" spans="1:6" ht="12.75">
      <c r="A168" s="49"/>
      <c r="B168" s="45"/>
      <c r="C168" s="49"/>
      <c r="D168" s="25"/>
      <c r="E168" s="25"/>
      <c r="F168" s="15"/>
    </row>
    <row r="169" spans="1:6" ht="12.75">
      <c r="A169" s="49"/>
      <c r="B169" s="45"/>
      <c r="C169" s="49"/>
      <c r="D169" s="25"/>
      <c r="E169" s="25"/>
      <c r="F169" s="15"/>
    </row>
    <row r="170" spans="1:6" ht="12.75">
      <c r="A170" s="49"/>
      <c r="B170" s="45"/>
      <c r="C170" s="49"/>
      <c r="D170" s="25"/>
      <c r="E170" s="25"/>
      <c r="F170" s="15"/>
    </row>
    <row r="171" spans="1:6" ht="12.75">
      <c r="A171" s="49"/>
      <c r="B171" s="45"/>
      <c r="C171" s="49"/>
      <c r="D171" s="25"/>
      <c r="E171" s="25"/>
      <c r="F171" s="15"/>
    </row>
    <row r="172" spans="1:6" ht="12.75">
      <c r="A172" s="49"/>
      <c r="B172" s="45"/>
      <c r="C172" s="49"/>
      <c r="D172" s="25"/>
      <c r="E172" s="25"/>
      <c r="F172" s="15"/>
    </row>
    <row r="173" spans="1:6" ht="12.75">
      <c r="A173" s="49"/>
      <c r="B173" s="45"/>
      <c r="C173" s="49"/>
      <c r="D173" s="25"/>
      <c r="E173" s="25"/>
      <c r="F173" s="15"/>
    </row>
    <row r="174" spans="1:6" ht="12.75">
      <c r="A174" s="49"/>
      <c r="B174" s="45"/>
      <c r="C174" s="49"/>
      <c r="D174" s="25"/>
      <c r="E174" s="25"/>
      <c r="F174" s="15"/>
    </row>
    <row r="175" spans="1:6" ht="12.75">
      <c r="A175" s="49"/>
      <c r="B175" s="45"/>
      <c r="C175" s="49"/>
      <c r="D175" s="25"/>
      <c r="E175" s="25"/>
      <c r="F175" s="15"/>
    </row>
    <row r="176" spans="1:6" ht="12.75">
      <c r="A176" s="49"/>
      <c r="B176" s="45"/>
      <c r="C176" s="49"/>
      <c r="D176" s="25"/>
      <c r="E176" s="25"/>
      <c r="F176" s="15"/>
    </row>
    <row r="177" spans="1:6" ht="12.75">
      <c r="A177" s="49"/>
      <c r="B177" s="45"/>
      <c r="C177" s="49"/>
      <c r="D177" s="25"/>
      <c r="E177" s="25"/>
      <c r="F177" s="15"/>
    </row>
    <row r="178" spans="1:6" ht="12.75">
      <c r="A178" s="49"/>
      <c r="B178" s="45"/>
      <c r="C178" s="49"/>
      <c r="D178" s="25"/>
      <c r="E178" s="25"/>
      <c r="F178" s="15"/>
    </row>
    <row r="179" spans="1:6" ht="12.75">
      <c r="A179" s="49"/>
      <c r="B179" s="45"/>
      <c r="C179" s="49"/>
      <c r="D179" s="25"/>
      <c r="E179" s="25"/>
      <c r="F179" s="15"/>
    </row>
    <row r="180" spans="1:6" ht="12.75">
      <c r="A180" s="49"/>
      <c r="B180" s="45"/>
      <c r="C180" s="49"/>
      <c r="D180" s="25"/>
      <c r="E180" s="25"/>
      <c r="F180" s="15"/>
    </row>
    <row r="181" spans="1:6" ht="12.75">
      <c r="A181" s="49"/>
      <c r="B181" s="45"/>
      <c r="C181" s="49"/>
      <c r="D181" s="25"/>
      <c r="E181" s="25"/>
      <c r="F181" s="15"/>
    </row>
    <row r="182" spans="1:6" ht="12.75">
      <c r="A182" s="49"/>
      <c r="B182" s="45"/>
      <c r="C182" s="49"/>
      <c r="D182" s="25"/>
      <c r="E182" s="25"/>
      <c r="F182" s="15"/>
    </row>
    <row r="183" spans="1:6" ht="12.75">
      <c r="A183" s="49"/>
      <c r="B183" s="45"/>
      <c r="C183" s="49"/>
      <c r="D183" s="25"/>
      <c r="E183" s="25"/>
      <c r="F183" s="15"/>
    </row>
    <row r="184" spans="1:6" ht="12.75">
      <c r="A184" s="49"/>
      <c r="B184" s="45"/>
      <c r="C184" s="49"/>
      <c r="D184" s="25"/>
      <c r="E184" s="25"/>
      <c r="F184" s="15"/>
    </row>
    <row r="185" spans="1:6" ht="12.75">
      <c r="A185" s="49"/>
      <c r="B185" s="45"/>
      <c r="C185" s="49"/>
      <c r="D185" s="25"/>
      <c r="E185" s="25"/>
      <c r="F185" s="15"/>
    </row>
    <row r="186" spans="1:6" ht="12.75">
      <c r="A186" s="49"/>
      <c r="B186" s="45"/>
      <c r="C186" s="49"/>
      <c r="D186" s="25"/>
      <c r="E186" s="25"/>
      <c r="F186" s="15"/>
    </row>
    <row r="187" spans="1:6" ht="12.75">
      <c r="A187" s="49"/>
      <c r="B187" s="45"/>
      <c r="C187" s="49"/>
      <c r="D187" s="25"/>
      <c r="E187" s="25"/>
      <c r="F187" s="15"/>
    </row>
    <row r="188" spans="1:6" ht="12.75">
      <c r="A188" s="49"/>
      <c r="B188" s="45"/>
      <c r="C188" s="49"/>
      <c r="D188" s="25"/>
      <c r="E188" s="25"/>
      <c r="F188" s="15"/>
    </row>
    <row r="189" spans="1:6" ht="12.75">
      <c r="A189" s="49"/>
      <c r="B189" s="45"/>
      <c r="C189" s="49"/>
      <c r="D189" s="25"/>
      <c r="E189" s="25"/>
      <c r="F189" s="15"/>
    </row>
    <row r="190" spans="1:6" ht="12.75">
      <c r="A190" s="49"/>
      <c r="B190" s="45"/>
      <c r="C190" s="49"/>
      <c r="D190" s="25"/>
      <c r="E190" s="25"/>
      <c r="F190" s="15"/>
    </row>
    <row r="191" spans="1:6" ht="12.75">
      <c r="A191" s="49"/>
      <c r="B191" s="45"/>
      <c r="C191" s="49"/>
      <c r="D191" s="25"/>
      <c r="E191" s="25"/>
      <c r="F191" s="15"/>
    </row>
    <row r="192" spans="1:6" ht="12.75">
      <c r="A192" s="49"/>
      <c r="B192" s="45"/>
      <c r="C192" s="49"/>
      <c r="D192" s="25"/>
      <c r="E192" s="25"/>
      <c r="F192" s="15"/>
    </row>
    <row r="193" spans="1:6" ht="12.75">
      <c r="A193" s="49"/>
      <c r="B193" s="45"/>
      <c r="C193" s="49"/>
      <c r="D193" s="25"/>
      <c r="E193" s="25"/>
      <c r="F193" s="15"/>
    </row>
    <row r="194" spans="1:6" ht="12.75">
      <c r="A194" s="49"/>
      <c r="B194" s="45"/>
      <c r="C194" s="49"/>
      <c r="D194" s="25"/>
      <c r="E194" s="25"/>
      <c r="F194" s="15"/>
    </row>
    <row r="195" spans="1:6" ht="12.75">
      <c r="A195" s="49"/>
      <c r="B195" s="45"/>
      <c r="C195" s="49"/>
      <c r="D195" s="25"/>
      <c r="E195" s="25"/>
      <c r="F195" s="15"/>
    </row>
    <row r="196" spans="1:6" ht="12.75">
      <c r="A196" s="49"/>
      <c r="B196" s="45"/>
      <c r="C196" s="49"/>
      <c r="D196" s="25"/>
      <c r="E196" s="25"/>
      <c r="F196" s="15"/>
    </row>
    <row r="197" spans="1:6" ht="12.75">
      <c r="A197" s="49"/>
      <c r="B197" s="45"/>
      <c r="C197" s="49"/>
      <c r="D197" s="25"/>
      <c r="E197" s="25"/>
      <c r="F197" s="15"/>
    </row>
    <row r="198" spans="1:6" ht="12.75">
      <c r="A198" s="49"/>
      <c r="B198" s="45"/>
      <c r="C198" s="49"/>
      <c r="D198" s="25"/>
      <c r="E198" s="25"/>
      <c r="F198" s="15"/>
    </row>
    <row r="199" spans="1:6" ht="12.75">
      <c r="A199" s="49"/>
      <c r="B199" s="45"/>
      <c r="C199" s="49"/>
      <c r="D199" s="25"/>
      <c r="E199" s="25"/>
      <c r="F199" s="15"/>
    </row>
    <row r="200" spans="1:6" ht="12.75">
      <c r="A200" s="49"/>
      <c r="B200" s="45"/>
      <c r="C200" s="49"/>
      <c r="D200" s="25"/>
      <c r="E200" s="25"/>
      <c r="F200" s="15"/>
    </row>
    <row r="201" spans="1:6" ht="12.75">
      <c r="A201" s="49"/>
      <c r="B201" s="45"/>
      <c r="C201" s="49"/>
      <c r="D201" s="25"/>
      <c r="E201" s="25"/>
      <c r="F201" s="15"/>
    </row>
    <row r="202" spans="1:6" ht="12.75">
      <c r="A202" s="49"/>
      <c r="B202" s="45"/>
      <c r="C202" s="49"/>
      <c r="D202" s="25"/>
      <c r="E202" s="25"/>
      <c r="F202" s="15"/>
    </row>
    <row r="203" spans="1:6" ht="12.75">
      <c r="A203" s="49"/>
      <c r="B203" s="45"/>
      <c r="C203" s="49"/>
      <c r="D203" s="25"/>
      <c r="E203" s="25"/>
      <c r="F203" s="15"/>
    </row>
    <row r="204" spans="1:6" ht="12.75">
      <c r="A204" s="49"/>
      <c r="B204" s="45"/>
      <c r="C204" s="49"/>
      <c r="D204" s="25"/>
      <c r="E204" s="25"/>
      <c r="F204" s="15"/>
    </row>
    <row r="205" spans="1:6" ht="12.75">
      <c r="A205" s="49"/>
      <c r="B205" s="45"/>
      <c r="C205" s="49"/>
      <c r="D205" s="25"/>
      <c r="E205" s="25"/>
      <c r="F205" s="15"/>
    </row>
    <row r="206" spans="1:6" ht="12.75">
      <c r="A206" s="49"/>
      <c r="B206" s="45"/>
      <c r="C206" s="49"/>
      <c r="D206" s="25"/>
      <c r="E206" s="25"/>
      <c r="F206" s="15"/>
    </row>
    <row r="207" spans="1:6" ht="12.75">
      <c r="A207" s="49"/>
      <c r="B207" s="45"/>
      <c r="C207" s="49"/>
      <c r="D207" s="25"/>
      <c r="E207" s="25"/>
      <c r="F207" s="15"/>
    </row>
    <row r="208" spans="1:6" ht="12.75">
      <c r="A208" s="49"/>
      <c r="B208" s="45"/>
      <c r="C208" s="49"/>
      <c r="D208" s="25"/>
      <c r="E208" s="25"/>
      <c r="F208" s="15"/>
    </row>
    <row r="209" spans="1:6" ht="12.75">
      <c r="A209" s="49"/>
      <c r="B209" s="45"/>
      <c r="C209" s="49"/>
      <c r="D209" s="25"/>
      <c r="E209" s="25"/>
      <c r="F209" s="15"/>
    </row>
    <row r="210" spans="1:6" ht="12.75">
      <c r="A210" s="49"/>
      <c r="B210" s="45"/>
      <c r="C210" s="49"/>
      <c r="D210" s="25"/>
      <c r="E210" s="25"/>
      <c r="F210" s="15"/>
    </row>
    <row r="211" spans="1:6" ht="12.75">
      <c r="A211" s="49"/>
      <c r="B211" s="45"/>
      <c r="C211" s="49"/>
      <c r="D211" s="25"/>
      <c r="E211" s="25"/>
      <c r="F211" s="15"/>
    </row>
    <row r="212" spans="1:6" ht="12.75">
      <c r="A212" s="49"/>
      <c r="B212" s="45"/>
      <c r="C212" s="49"/>
      <c r="D212" s="25"/>
      <c r="E212" s="25"/>
      <c r="F212" s="15"/>
    </row>
    <row r="213" spans="1:6" ht="12.75">
      <c r="A213" s="49"/>
      <c r="B213" s="45"/>
      <c r="C213" s="49"/>
      <c r="D213" s="25"/>
      <c r="E213" s="25"/>
      <c r="F213" s="15"/>
    </row>
    <row r="214" spans="1:6" ht="12.75">
      <c r="A214" s="49"/>
      <c r="B214" s="45"/>
      <c r="C214" s="49"/>
      <c r="D214" s="25"/>
      <c r="E214" s="25"/>
      <c r="F214" s="15"/>
    </row>
    <row r="215" spans="1:6" ht="12.75">
      <c r="A215" s="49"/>
      <c r="B215" s="45"/>
      <c r="C215" s="49"/>
      <c r="D215" s="25"/>
      <c r="E215" s="25"/>
      <c r="F215" s="15"/>
    </row>
    <row r="216" spans="1:6" ht="12.75">
      <c r="A216" s="49"/>
      <c r="B216" s="45"/>
      <c r="C216" s="49"/>
      <c r="D216" s="25"/>
      <c r="E216" s="25"/>
      <c r="F216" s="15"/>
    </row>
    <row r="217" spans="1:6" ht="12.75">
      <c r="A217" s="49"/>
      <c r="B217" s="45"/>
      <c r="C217" s="49"/>
      <c r="D217" s="25"/>
      <c r="E217" s="25"/>
      <c r="F217" s="15"/>
    </row>
    <row r="218" spans="1:6" ht="12.75">
      <c r="A218" s="49"/>
      <c r="B218" s="45"/>
      <c r="C218" s="49"/>
      <c r="D218" s="25"/>
      <c r="E218" s="25"/>
      <c r="F218" s="15"/>
    </row>
    <row r="219" spans="1:6" ht="12.75">
      <c r="A219" s="49"/>
      <c r="B219" s="45"/>
      <c r="C219" s="49"/>
      <c r="D219" s="25"/>
      <c r="E219" s="25"/>
      <c r="F219" s="15"/>
    </row>
    <row r="220" spans="1:6" ht="12.75">
      <c r="A220" s="49"/>
      <c r="B220" s="45"/>
      <c r="C220" s="49"/>
      <c r="D220" s="25"/>
      <c r="E220" s="25"/>
      <c r="F220" s="15"/>
    </row>
    <row r="221" spans="1:6" ht="12.75">
      <c r="A221" s="49"/>
      <c r="B221" s="45"/>
      <c r="C221" s="49"/>
      <c r="D221" s="25"/>
      <c r="E221" s="25"/>
      <c r="F221" s="15"/>
    </row>
    <row r="222" spans="1:6" ht="12.75">
      <c r="A222" s="49"/>
      <c r="B222" s="45"/>
      <c r="C222" s="49"/>
      <c r="D222" s="25"/>
      <c r="E222" s="25"/>
      <c r="F222" s="15"/>
    </row>
    <row r="223" spans="1:6" ht="12.75">
      <c r="A223" s="49"/>
      <c r="B223" s="45"/>
      <c r="C223" s="49"/>
      <c r="D223" s="25"/>
      <c r="E223" s="25"/>
      <c r="F223" s="15"/>
    </row>
    <row r="224" spans="1:6" ht="12.75">
      <c r="A224" s="49"/>
      <c r="B224" s="45"/>
      <c r="C224" s="49"/>
      <c r="D224" s="25"/>
      <c r="E224" s="25"/>
      <c r="F224" s="15"/>
    </row>
    <row r="225" spans="1:6" ht="12.75">
      <c r="A225" s="49"/>
      <c r="B225" s="45"/>
      <c r="C225" s="49"/>
      <c r="D225" s="25"/>
      <c r="E225" s="25"/>
      <c r="F225" s="15"/>
    </row>
    <row r="226" spans="1:6" ht="12.75">
      <c r="A226" s="49"/>
      <c r="B226" s="45"/>
      <c r="C226" s="49"/>
      <c r="D226" s="25"/>
      <c r="E226" s="25"/>
      <c r="F226" s="15"/>
    </row>
    <row r="227" spans="1:6" ht="12.75">
      <c r="A227" s="49"/>
      <c r="B227" s="45"/>
      <c r="C227" s="49"/>
      <c r="D227" s="25"/>
      <c r="E227" s="25"/>
      <c r="F227" s="15"/>
    </row>
    <row r="228" spans="1:6" ht="12.75">
      <c r="A228" s="49"/>
      <c r="B228" s="45"/>
      <c r="C228" s="49"/>
      <c r="D228" s="25"/>
      <c r="E228" s="25"/>
      <c r="F228" s="15"/>
    </row>
    <row r="229" spans="1:6" ht="12.75">
      <c r="A229" s="49"/>
      <c r="B229" s="45"/>
      <c r="C229" s="49"/>
      <c r="D229" s="25"/>
      <c r="E229" s="25"/>
      <c r="F229" s="15"/>
    </row>
    <row r="230" spans="1:6" ht="12.75">
      <c r="A230" s="49"/>
      <c r="B230" s="45"/>
      <c r="C230" s="49"/>
      <c r="D230" s="25"/>
      <c r="E230" s="25"/>
      <c r="F230" s="15"/>
    </row>
    <row r="231" spans="1:6" ht="12.75">
      <c r="A231" s="49"/>
      <c r="B231" s="45"/>
      <c r="C231" s="49"/>
      <c r="D231" s="25"/>
      <c r="E231" s="25"/>
      <c r="F231" s="15"/>
    </row>
    <row r="232" spans="1:6" ht="12.75">
      <c r="A232" s="49"/>
      <c r="B232" s="45"/>
      <c r="C232" s="49"/>
      <c r="D232" s="25"/>
      <c r="E232" s="25"/>
      <c r="F232" s="15"/>
    </row>
    <row r="233" spans="1:6" ht="12.75">
      <c r="A233" s="49"/>
      <c r="B233" s="45"/>
      <c r="C233" s="49"/>
      <c r="D233" s="25"/>
      <c r="E233" s="25"/>
      <c r="F233" s="15"/>
    </row>
    <row r="234" spans="1:6" ht="12.75">
      <c r="A234" s="49"/>
      <c r="B234" s="45"/>
      <c r="C234" s="49"/>
      <c r="D234" s="25"/>
      <c r="E234" s="25"/>
      <c r="F234" s="15"/>
    </row>
    <row r="235" spans="1:6" ht="12.75">
      <c r="A235" s="49"/>
      <c r="B235" s="45"/>
      <c r="C235" s="49"/>
      <c r="D235" s="25"/>
      <c r="E235" s="25"/>
      <c r="F235" s="15"/>
    </row>
    <row r="236" spans="1:6" ht="12.75">
      <c r="A236" s="49"/>
      <c r="B236" s="45"/>
      <c r="C236" s="49"/>
      <c r="D236" s="25"/>
      <c r="E236" s="25"/>
      <c r="F236" s="15"/>
    </row>
    <row r="237" spans="1:6" ht="12.75">
      <c r="A237" s="49"/>
      <c r="B237" s="45"/>
      <c r="C237" s="49"/>
      <c r="D237" s="25"/>
      <c r="E237" s="25"/>
      <c r="F237" s="15"/>
    </row>
    <row r="238" spans="1:6" ht="12.75">
      <c r="A238" s="49"/>
      <c r="B238" s="45"/>
      <c r="C238" s="49"/>
      <c r="D238" s="25"/>
      <c r="E238" s="25"/>
      <c r="F238" s="15"/>
    </row>
    <row r="239" spans="1:6" ht="12.75">
      <c r="A239" s="49"/>
      <c r="B239" s="45"/>
      <c r="C239" s="49"/>
      <c r="D239" s="25"/>
      <c r="E239" s="25"/>
      <c r="F239" s="15"/>
    </row>
    <row r="240" spans="1:6" ht="12.75">
      <c r="A240" s="49"/>
      <c r="B240" s="45"/>
      <c r="C240" s="49"/>
      <c r="D240" s="25"/>
      <c r="E240" s="25"/>
      <c r="F240" s="15"/>
    </row>
    <row r="241" spans="1:6" ht="12.75">
      <c r="A241" s="49"/>
      <c r="B241" s="45"/>
      <c r="C241" s="49"/>
      <c r="D241" s="25"/>
      <c r="E241" s="25"/>
      <c r="F241" s="15"/>
    </row>
    <row r="242" spans="1:6" ht="12.75">
      <c r="A242" s="49"/>
      <c r="B242" s="45"/>
      <c r="C242" s="49"/>
      <c r="D242" s="25"/>
      <c r="E242" s="25"/>
      <c r="F242" s="15"/>
    </row>
    <row r="243" spans="1:6" ht="12.75">
      <c r="A243" s="49"/>
      <c r="B243" s="45"/>
      <c r="C243" s="49"/>
      <c r="D243" s="25"/>
      <c r="E243" s="25"/>
      <c r="F243" s="15"/>
    </row>
    <row r="244" spans="1:6" ht="12.75">
      <c r="A244" s="49"/>
      <c r="B244" s="45"/>
      <c r="C244" s="49"/>
      <c r="D244" s="25"/>
      <c r="E244" s="25"/>
      <c r="F244" s="15"/>
    </row>
    <row r="245" spans="1:6" ht="12.75">
      <c r="A245" s="49"/>
      <c r="B245" s="45"/>
      <c r="C245" s="49"/>
      <c r="D245" s="25"/>
      <c r="E245" s="25"/>
      <c r="F245" s="15"/>
    </row>
    <row r="246" spans="1:6" ht="12.75">
      <c r="A246" s="49"/>
      <c r="B246" s="45"/>
      <c r="C246" s="49"/>
      <c r="D246" s="25"/>
      <c r="E246" s="25"/>
      <c r="F246" s="15"/>
    </row>
    <row r="247" spans="1:6" ht="12.75">
      <c r="A247" s="49"/>
      <c r="B247" s="45"/>
      <c r="C247" s="49"/>
      <c r="D247" s="25"/>
      <c r="E247" s="25"/>
      <c r="F247" s="15"/>
    </row>
    <row r="248" spans="1:6" ht="12.75">
      <c r="A248" s="49"/>
      <c r="B248" s="45"/>
      <c r="C248" s="49"/>
      <c r="D248" s="25"/>
      <c r="E248" s="25"/>
      <c r="F248" s="15"/>
    </row>
    <row r="249" spans="1:6" ht="12.75">
      <c r="A249" s="49"/>
      <c r="B249" s="45"/>
      <c r="C249" s="49"/>
      <c r="D249" s="25"/>
      <c r="E249" s="25"/>
      <c r="F249" s="15"/>
    </row>
    <row r="250" spans="1:6" ht="12.75">
      <c r="A250" s="49"/>
      <c r="B250" s="45"/>
      <c r="C250" s="49"/>
      <c r="D250" s="25"/>
      <c r="E250" s="25"/>
      <c r="F250" s="15"/>
    </row>
    <row r="251" spans="1:6" ht="12.75">
      <c r="A251" s="49"/>
      <c r="B251" s="45"/>
      <c r="C251" s="49"/>
      <c r="D251" s="25"/>
      <c r="E251" s="25"/>
      <c r="F251" s="15"/>
    </row>
    <row r="252" spans="1:6" ht="12.75">
      <c r="A252" s="49"/>
      <c r="B252" s="45"/>
      <c r="C252" s="49"/>
      <c r="D252" s="25"/>
      <c r="E252" s="25"/>
      <c r="F252" s="15"/>
    </row>
    <row r="253" spans="1:6" ht="12.75">
      <c r="A253" s="49"/>
      <c r="B253" s="45"/>
      <c r="C253" s="49"/>
      <c r="D253" s="25"/>
      <c r="E253" s="25"/>
      <c r="F253" s="15"/>
    </row>
    <row r="254" spans="1:6" ht="12.75">
      <c r="A254" s="49"/>
      <c r="B254" s="45"/>
      <c r="C254" s="49"/>
      <c r="D254" s="25"/>
      <c r="E254" s="25"/>
      <c r="F254" s="15"/>
    </row>
    <row r="255" spans="1:6" ht="12.75">
      <c r="A255" s="49"/>
      <c r="B255" s="45"/>
      <c r="C255" s="49"/>
      <c r="D255" s="25"/>
      <c r="E255" s="25"/>
      <c r="F255" s="15"/>
    </row>
    <row r="256" spans="1:6" ht="12.75">
      <c r="A256" s="49"/>
      <c r="B256" s="45"/>
      <c r="C256" s="49"/>
      <c r="D256" s="25"/>
      <c r="E256" s="25"/>
      <c r="F256" s="15"/>
    </row>
    <row r="257" spans="1:6" ht="12.75">
      <c r="A257" s="49"/>
      <c r="B257" s="45"/>
      <c r="C257" s="49"/>
      <c r="D257" s="25"/>
      <c r="E257" s="25"/>
      <c r="F257" s="15"/>
    </row>
    <row r="258" spans="1:6" ht="12.75">
      <c r="A258" s="49"/>
      <c r="B258" s="45"/>
      <c r="C258" s="49"/>
      <c r="D258" s="25"/>
      <c r="E258" s="25"/>
      <c r="F258" s="15"/>
    </row>
    <row r="259" spans="1:6" ht="12.75">
      <c r="A259" s="49"/>
      <c r="B259" s="45"/>
      <c r="C259" s="49"/>
      <c r="D259" s="25"/>
      <c r="E259" s="25"/>
      <c r="F259" s="15"/>
    </row>
    <row r="260" spans="1:6" ht="12.75">
      <c r="A260" s="49"/>
      <c r="B260" s="45"/>
      <c r="C260" s="49"/>
      <c r="D260" s="25"/>
      <c r="E260" s="25"/>
      <c r="F260" s="15"/>
    </row>
    <row r="261" spans="1:6" ht="12.75">
      <c r="A261" s="49"/>
      <c r="B261" s="45"/>
      <c r="C261" s="49"/>
      <c r="D261" s="25"/>
      <c r="E261" s="25"/>
      <c r="F261" s="15"/>
    </row>
    <row r="262" spans="1:6" ht="12.75">
      <c r="A262" s="49"/>
      <c r="B262" s="45"/>
      <c r="C262" s="49"/>
      <c r="D262" s="25"/>
      <c r="E262" s="25"/>
      <c r="F262" s="15"/>
    </row>
    <row r="263" spans="1:6" ht="12.75">
      <c r="A263" s="49"/>
      <c r="B263" s="45"/>
      <c r="C263" s="49"/>
      <c r="D263" s="25"/>
      <c r="E263" s="25"/>
      <c r="F263" s="15"/>
    </row>
    <row r="264" spans="1:6" ht="12.75">
      <c r="A264" s="49"/>
      <c r="B264" s="45"/>
      <c r="C264" s="49"/>
      <c r="D264" s="25"/>
      <c r="E264" s="25"/>
      <c r="F264" s="15"/>
    </row>
    <row r="265" spans="1:6" ht="12.75">
      <c r="A265" s="49"/>
      <c r="B265" s="45"/>
      <c r="C265" s="49"/>
      <c r="D265" s="25"/>
      <c r="E265" s="25"/>
      <c r="F265" s="15"/>
    </row>
    <row r="266" spans="1:6" ht="12.75">
      <c r="A266" s="49"/>
      <c r="B266" s="45"/>
      <c r="C266" s="49"/>
      <c r="D266" s="25"/>
      <c r="E266" s="25"/>
      <c r="F266" s="15"/>
    </row>
    <row r="267" spans="1:6" ht="12.75">
      <c r="A267" s="49"/>
      <c r="B267" s="45"/>
      <c r="C267" s="49"/>
      <c r="D267" s="25"/>
      <c r="E267" s="25"/>
      <c r="F267" s="15"/>
    </row>
    <row r="268" spans="1:6" ht="12.75">
      <c r="A268" s="49"/>
      <c r="B268" s="45"/>
      <c r="C268" s="49"/>
      <c r="D268" s="25"/>
      <c r="E268" s="25"/>
      <c r="F268" s="15"/>
    </row>
    <row r="269" spans="1:6" ht="12.75">
      <c r="A269" s="49"/>
      <c r="B269" s="45"/>
      <c r="C269" s="49"/>
      <c r="D269" s="25"/>
      <c r="E269" s="25"/>
      <c r="F269" s="15"/>
    </row>
    <row r="270" spans="1:6" ht="12.75">
      <c r="A270" s="49"/>
      <c r="B270" s="45"/>
      <c r="C270" s="49"/>
      <c r="D270" s="25"/>
      <c r="E270" s="25"/>
      <c r="F270" s="15"/>
    </row>
    <row r="271" spans="1:6" ht="12.75">
      <c r="A271" s="49"/>
      <c r="B271" s="45"/>
      <c r="C271" s="49"/>
      <c r="D271" s="25"/>
      <c r="E271" s="25"/>
      <c r="F271" s="15"/>
    </row>
    <row r="272" spans="1:6" ht="12.75">
      <c r="A272" s="49"/>
      <c r="B272" s="45"/>
      <c r="C272" s="49"/>
      <c r="D272" s="25"/>
      <c r="E272" s="25"/>
      <c r="F272" s="15"/>
    </row>
    <row r="273" spans="1:6" ht="12.75">
      <c r="A273" s="49"/>
      <c r="B273" s="45"/>
      <c r="C273" s="49"/>
      <c r="D273" s="25"/>
      <c r="E273" s="25"/>
      <c r="F273" s="15"/>
    </row>
    <row r="274" spans="1:6" ht="12.75">
      <c r="A274" s="49"/>
      <c r="B274" s="45"/>
      <c r="C274" s="49"/>
      <c r="D274" s="25"/>
      <c r="E274" s="25"/>
      <c r="F274" s="15"/>
    </row>
    <row r="275" spans="1:6" ht="12.75">
      <c r="A275" s="49"/>
      <c r="B275" s="45"/>
      <c r="C275" s="49"/>
      <c r="D275" s="25"/>
      <c r="E275" s="25"/>
      <c r="F275" s="15"/>
    </row>
    <row r="276" spans="1:6" ht="12.75">
      <c r="A276" s="49"/>
      <c r="B276" s="45"/>
      <c r="C276" s="49"/>
      <c r="D276" s="25"/>
      <c r="E276" s="25"/>
      <c r="F276" s="15"/>
    </row>
    <row r="277" spans="1:6" ht="12.75">
      <c r="A277" s="49"/>
      <c r="B277" s="45"/>
      <c r="C277" s="49"/>
      <c r="D277" s="25"/>
      <c r="E277" s="25"/>
      <c r="F277" s="15"/>
    </row>
    <row r="278" spans="1:6" ht="12.75">
      <c r="A278" s="49"/>
      <c r="B278" s="45"/>
      <c r="C278" s="49"/>
      <c r="D278" s="25"/>
      <c r="E278" s="25"/>
      <c r="F278" s="15"/>
    </row>
    <row r="279" spans="1:6" ht="12.75">
      <c r="A279" s="49"/>
      <c r="B279" s="45"/>
      <c r="C279" s="49"/>
      <c r="D279" s="25"/>
      <c r="E279" s="25"/>
      <c r="F279" s="15"/>
    </row>
    <row r="280" spans="1:6" ht="12.75">
      <c r="A280" s="49"/>
      <c r="B280" s="45"/>
      <c r="C280" s="49"/>
      <c r="D280" s="25"/>
      <c r="E280" s="25"/>
      <c r="F280" s="15"/>
    </row>
    <row r="281" spans="1:6" ht="12.75">
      <c r="A281" s="49"/>
      <c r="B281" s="45"/>
      <c r="C281" s="49"/>
      <c r="D281" s="25"/>
      <c r="E281" s="25"/>
      <c r="F281" s="15"/>
    </row>
    <row r="282" spans="1:6" ht="12.75">
      <c r="A282" s="49"/>
      <c r="B282" s="45"/>
      <c r="C282" s="49"/>
      <c r="D282" s="25"/>
      <c r="E282" s="25"/>
      <c r="F282" s="15"/>
    </row>
    <row r="283" spans="1:6" ht="12.75">
      <c r="A283" s="49"/>
      <c r="B283" s="45"/>
      <c r="C283" s="49"/>
      <c r="D283" s="25"/>
      <c r="E283" s="25"/>
      <c r="F283" s="15"/>
    </row>
    <row r="284" spans="1:6" ht="12.75">
      <c r="A284" s="49"/>
      <c r="B284" s="45"/>
      <c r="C284" s="49"/>
      <c r="D284" s="25"/>
      <c r="E284" s="25"/>
      <c r="F284" s="15"/>
    </row>
    <row r="285" spans="1:6" ht="12.75">
      <c r="A285" s="49"/>
      <c r="B285" s="45"/>
      <c r="C285" s="49"/>
      <c r="D285" s="25"/>
      <c r="E285" s="25"/>
      <c r="F285" s="15"/>
    </row>
    <row r="286" spans="1:6" ht="12.75">
      <c r="A286" s="49"/>
      <c r="B286" s="45"/>
      <c r="C286" s="49"/>
      <c r="D286" s="25"/>
      <c r="E286" s="25"/>
      <c r="F286" s="15"/>
    </row>
    <row r="287" spans="1:6" ht="12.75">
      <c r="A287" s="49"/>
      <c r="B287" s="45"/>
      <c r="C287" s="49"/>
      <c r="D287" s="25"/>
      <c r="E287" s="25"/>
      <c r="F287" s="15"/>
    </row>
    <row r="288" spans="1:6" ht="12.75">
      <c r="A288" s="49"/>
      <c r="B288" s="45"/>
      <c r="C288" s="49"/>
      <c r="D288" s="25"/>
      <c r="E288" s="25"/>
      <c r="F288" s="15"/>
    </row>
    <row r="289" spans="1:6" ht="12.75">
      <c r="A289" s="49"/>
      <c r="B289" s="45"/>
      <c r="C289" s="49"/>
      <c r="D289" s="25"/>
      <c r="E289" s="25"/>
      <c r="F289" s="15"/>
    </row>
    <row r="290" spans="1:6" ht="12.75">
      <c r="A290" s="49"/>
      <c r="B290" s="45"/>
      <c r="C290" s="49"/>
      <c r="D290" s="25"/>
      <c r="E290" s="25"/>
      <c r="F290" s="15"/>
    </row>
    <row r="291" spans="1:6" ht="12.75">
      <c r="A291" s="49"/>
      <c r="B291" s="45"/>
      <c r="C291" s="49"/>
      <c r="D291" s="25"/>
      <c r="E291" s="25"/>
      <c r="F291" s="15"/>
    </row>
    <row r="292" spans="1:6" ht="12.75">
      <c r="A292" s="49"/>
      <c r="B292" s="45"/>
      <c r="C292" s="49"/>
      <c r="D292" s="25"/>
      <c r="E292" s="25"/>
      <c r="F292" s="15"/>
    </row>
    <row r="293" spans="1:6" ht="12.75">
      <c r="A293" s="49"/>
      <c r="B293" s="45"/>
      <c r="C293" s="49"/>
      <c r="D293" s="25"/>
      <c r="E293" s="25"/>
      <c r="F293" s="15"/>
    </row>
    <row r="294" spans="1:6" ht="12.75">
      <c r="A294" s="49"/>
      <c r="B294" s="45"/>
      <c r="C294" s="49"/>
      <c r="D294" s="25"/>
      <c r="E294" s="25"/>
      <c r="F294" s="15"/>
    </row>
    <row r="295" spans="1:6" ht="12.75">
      <c r="A295" s="49"/>
      <c r="B295" s="45"/>
      <c r="C295" s="49"/>
      <c r="D295" s="25"/>
      <c r="E295" s="25"/>
      <c r="F295" s="15"/>
    </row>
    <row r="296" spans="1:6" ht="12.75">
      <c r="A296" s="49"/>
      <c r="B296" s="45"/>
      <c r="C296" s="49"/>
      <c r="D296" s="25"/>
      <c r="E296" s="25"/>
      <c r="F296" s="15"/>
    </row>
    <row r="297" spans="1:6" ht="12.75">
      <c r="A297" s="49"/>
      <c r="B297" s="45"/>
      <c r="C297" s="49"/>
      <c r="D297" s="25"/>
      <c r="E297" s="25"/>
      <c r="F297" s="15"/>
    </row>
    <row r="298" spans="1:6" ht="12.75">
      <c r="A298" s="49"/>
      <c r="B298" s="45"/>
      <c r="C298" s="49"/>
      <c r="D298" s="25"/>
      <c r="E298" s="25"/>
      <c r="F298" s="15"/>
    </row>
    <row r="299" spans="1:6" ht="12.75">
      <c r="A299" s="49"/>
      <c r="B299" s="45"/>
      <c r="C299" s="49"/>
      <c r="D299" s="25"/>
      <c r="E299" s="25"/>
      <c r="F299" s="15"/>
    </row>
    <row r="300" spans="1:6" ht="12.75">
      <c r="A300" s="49"/>
      <c r="B300" s="45"/>
      <c r="C300" s="49"/>
      <c r="D300" s="25"/>
      <c r="E300" s="25"/>
      <c r="F300" s="15"/>
    </row>
    <row r="301" spans="1:6" ht="12.75">
      <c r="A301" s="49"/>
      <c r="B301" s="45"/>
      <c r="C301" s="49"/>
      <c r="D301" s="25"/>
      <c r="E301" s="25"/>
      <c r="F301" s="15"/>
    </row>
    <row r="302" spans="1:6" ht="12.75">
      <c r="A302" s="49"/>
      <c r="B302" s="45"/>
      <c r="C302" s="49"/>
      <c r="D302" s="25"/>
      <c r="E302" s="25"/>
      <c r="F302" s="15"/>
    </row>
    <row r="303" spans="1:6" ht="12.75">
      <c r="A303" s="49"/>
      <c r="B303" s="45"/>
      <c r="C303" s="49"/>
      <c r="D303" s="25"/>
      <c r="E303" s="25"/>
      <c r="F303" s="15"/>
    </row>
    <row r="304" spans="1:6" ht="12.75">
      <c r="A304" s="49"/>
      <c r="B304" s="45"/>
      <c r="C304" s="49"/>
      <c r="D304" s="25"/>
      <c r="E304" s="25"/>
      <c r="F304" s="15"/>
    </row>
    <row r="305" spans="1:6" ht="12.75">
      <c r="A305" s="49"/>
      <c r="B305" s="45"/>
      <c r="C305" s="49"/>
      <c r="D305" s="25"/>
      <c r="E305" s="25"/>
      <c r="F305" s="15"/>
    </row>
    <row r="306" spans="1:6" ht="12.75">
      <c r="A306" s="49"/>
      <c r="B306" s="45"/>
      <c r="C306" s="49"/>
      <c r="D306" s="25"/>
      <c r="E306" s="25"/>
      <c r="F306" s="15"/>
    </row>
    <row r="307" spans="1:6" ht="12.75">
      <c r="A307" s="49"/>
      <c r="B307" s="45"/>
      <c r="C307" s="49"/>
      <c r="D307" s="25"/>
      <c r="E307" s="25"/>
      <c r="F307" s="15"/>
    </row>
    <row r="308" spans="1:6" ht="12.75">
      <c r="A308" s="49"/>
      <c r="B308" s="45"/>
      <c r="C308" s="49"/>
      <c r="D308" s="25"/>
      <c r="E308" s="25"/>
      <c r="F308" s="15"/>
    </row>
    <row r="309" spans="1:6" ht="12.75">
      <c r="A309" s="49"/>
      <c r="B309" s="45"/>
      <c r="C309" s="49"/>
      <c r="D309" s="25"/>
      <c r="E309" s="25"/>
      <c r="F309" s="15"/>
    </row>
    <row r="310" spans="1:6" ht="12.75">
      <c r="A310" s="49"/>
      <c r="B310" s="45"/>
      <c r="C310" s="49"/>
      <c r="D310" s="25"/>
      <c r="E310" s="25"/>
      <c r="F310" s="15"/>
    </row>
    <row r="311" spans="1:6" ht="12.75">
      <c r="A311" s="49"/>
      <c r="B311" s="45"/>
      <c r="C311" s="49"/>
      <c r="D311" s="25"/>
      <c r="E311" s="25"/>
      <c r="F311" s="15"/>
    </row>
    <row r="312" spans="1:6" ht="12.75">
      <c r="A312" s="49"/>
      <c r="B312" s="45"/>
      <c r="C312" s="49"/>
      <c r="D312" s="25"/>
      <c r="E312" s="25"/>
      <c r="F312" s="15"/>
    </row>
    <row r="313" spans="1:6" ht="12.75">
      <c r="A313" s="49"/>
      <c r="B313" s="45"/>
      <c r="C313" s="49"/>
      <c r="D313" s="25"/>
      <c r="E313" s="25"/>
      <c r="F313" s="15"/>
    </row>
    <row r="314" spans="1:6" ht="12.75">
      <c r="A314" s="49"/>
      <c r="B314" s="45"/>
      <c r="C314" s="49"/>
      <c r="D314" s="25"/>
      <c r="E314" s="25"/>
      <c r="F314" s="15"/>
    </row>
    <row r="315" spans="1:6" ht="12.75">
      <c r="A315" s="49"/>
      <c r="B315" s="45"/>
      <c r="C315" s="49"/>
      <c r="D315" s="25"/>
      <c r="E315" s="25"/>
      <c r="F315" s="15"/>
    </row>
    <row r="316" spans="1:6" ht="12.75">
      <c r="A316" s="49"/>
      <c r="B316" s="45"/>
      <c r="C316" s="49"/>
      <c r="D316" s="25"/>
      <c r="E316" s="25"/>
      <c r="F316" s="15"/>
    </row>
    <row r="317" spans="1:6" ht="12.75">
      <c r="A317" s="49"/>
      <c r="B317" s="45"/>
      <c r="C317" s="49"/>
      <c r="D317" s="25"/>
      <c r="E317" s="25"/>
      <c r="F317" s="15"/>
    </row>
    <row r="318" spans="1:6" ht="12.75">
      <c r="A318" s="49"/>
      <c r="B318" s="45"/>
      <c r="C318" s="49"/>
      <c r="D318" s="25"/>
      <c r="E318" s="25"/>
      <c r="F318" s="15"/>
    </row>
    <row r="319" spans="1:6" ht="12.75">
      <c r="A319" s="49"/>
      <c r="B319" s="45"/>
      <c r="C319" s="49"/>
      <c r="D319" s="25"/>
      <c r="E319" s="25"/>
      <c r="F319" s="15"/>
    </row>
    <row r="320" spans="1:6" ht="12.75">
      <c r="A320" s="49"/>
      <c r="B320" s="45"/>
      <c r="C320" s="49"/>
      <c r="D320" s="25"/>
      <c r="E320" s="25"/>
      <c r="F320" s="15"/>
    </row>
    <row r="321" spans="1:6" ht="12.75">
      <c r="A321" s="49"/>
      <c r="B321" s="45"/>
      <c r="C321" s="49"/>
      <c r="D321" s="25"/>
      <c r="E321" s="25"/>
      <c r="F321" s="15"/>
    </row>
    <row r="322" spans="1:6" ht="12.75">
      <c r="A322" s="49"/>
      <c r="B322" s="45"/>
      <c r="C322" s="49"/>
      <c r="D322" s="25"/>
      <c r="E322" s="25"/>
      <c r="F322" s="15"/>
    </row>
    <row r="323" spans="1:6" ht="12.75">
      <c r="A323" s="49"/>
      <c r="B323" s="45"/>
      <c r="C323" s="49"/>
      <c r="D323" s="25"/>
      <c r="E323" s="25"/>
      <c r="F323" s="15"/>
    </row>
    <row r="324" spans="1:6" ht="12.75">
      <c r="A324" s="49"/>
      <c r="B324" s="45"/>
      <c r="C324" s="49"/>
      <c r="D324" s="25"/>
      <c r="E324" s="25"/>
      <c r="F324" s="15"/>
    </row>
    <row r="325" spans="1:6" ht="12.75">
      <c r="A325" s="49"/>
      <c r="B325" s="45"/>
      <c r="C325" s="49"/>
      <c r="D325" s="25"/>
      <c r="E325" s="25"/>
      <c r="F325" s="15"/>
    </row>
    <row r="326" spans="1:6" ht="12.75">
      <c r="A326" s="49"/>
      <c r="B326" s="45"/>
      <c r="C326" s="49"/>
      <c r="D326" s="25"/>
      <c r="E326" s="25"/>
      <c r="F326" s="15"/>
    </row>
    <row r="327" spans="1:6" ht="12.75">
      <c r="A327" s="49"/>
      <c r="B327" s="45"/>
      <c r="C327" s="49"/>
      <c r="D327" s="25"/>
      <c r="E327" s="25"/>
      <c r="F327" s="15"/>
    </row>
    <row r="328" spans="1:6" ht="12.75">
      <c r="A328" s="49"/>
      <c r="B328" s="45"/>
      <c r="C328" s="49"/>
      <c r="D328" s="25"/>
      <c r="E328" s="25"/>
      <c r="F328" s="15"/>
    </row>
    <row r="329" spans="1:6" ht="12.75">
      <c r="A329" s="49"/>
      <c r="B329" s="45"/>
      <c r="C329" s="49"/>
      <c r="D329" s="25"/>
      <c r="E329" s="25"/>
      <c r="F329" s="15"/>
    </row>
    <row r="330" spans="1:6" ht="12.75">
      <c r="A330" s="49"/>
      <c r="B330" s="45"/>
      <c r="C330" s="49"/>
      <c r="D330" s="25"/>
      <c r="E330" s="25"/>
      <c r="F330" s="15"/>
    </row>
    <row r="331" spans="1:6" ht="12.75">
      <c r="A331" s="49"/>
      <c r="B331" s="45"/>
      <c r="C331" s="49"/>
      <c r="D331" s="25"/>
      <c r="E331" s="25"/>
      <c r="F331" s="15"/>
    </row>
    <row r="332" spans="1:6" ht="12.75">
      <c r="A332" s="49"/>
      <c r="B332" s="45"/>
      <c r="C332" s="49"/>
      <c r="D332" s="25"/>
      <c r="E332" s="25"/>
      <c r="F332" s="15"/>
    </row>
    <row r="333" spans="1:6" ht="12.75">
      <c r="A333" s="49"/>
      <c r="B333" s="45"/>
      <c r="C333" s="49"/>
      <c r="D333" s="25"/>
      <c r="E333" s="25"/>
      <c r="F333" s="15"/>
    </row>
    <row r="334" spans="1:6" ht="12.75">
      <c r="A334" s="49"/>
      <c r="B334" s="45"/>
      <c r="C334" s="49"/>
      <c r="D334" s="25"/>
      <c r="E334" s="25"/>
      <c r="F334" s="15"/>
    </row>
    <row r="335" spans="1:6" ht="12.75">
      <c r="A335" s="49"/>
      <c r="B335" s="45"/>
      <c r="C335" s="49"/>
      <c r="D335" s="25"/>
      <c r="E335" s="25"/>
      <c r="F335" s="15"/>
    </row>
    <row r="336" spans="1:6" ht="12.75">
      <c r="A336" s="49"/>
      <c r="B336" s="45"/>
      <c r="C336" s="49"/>
      <c r="D336" s="25"/>
      <c r="E336" s="25"/>
      <c r="F336" s="15"/>
    </row>
    <row r="337" spans="1:6" ht="12.75">
      <c r="A337" s="49"/>
      <c r="B337" s="45"/>
      <c r="C337" s="49"/>
      <c r="D337" s="25"/>
      <c r="E337" s="25"/>
      <c r="F337" s="15"/>
    </row>
    <row r="338" spans="1:6" ht="12.75">
      <c r="A338" s="49"/>
      <c r="B338" s="45"/>
      <c r="C338" s="49"/>
      <c r="D338" s="25"/>
      <c r="E338" s="25"/>
      <c r="F338" s="15"/>
    </row>
    <row r="339" spans="1:6" ht="12.75">
      <c r="A339" s="49"/>
      <c r="B339" s="45"/>
      <c r="C339" s="49"/>
      <c r="D339" s="25"/>
      <c r="E339" s="25"/>
      <c r="F339" s="15"/>
    </row>
    <row r="340" spans="1:6" ht="12.75">
      <c r="A340" s="49"/>
      <c r="B340" s="45"/>
      <c r="C340" s="49"/>
      <c r="D340" s="25"/>
      <c r="E340" s="25"/>
      <c r="F340" s="15"/>
    </row>
    <row r="341" spans="1:6" ht="12.75">
      <c r="A341" s="49"/>
      <c r="B341" s="45"/>
      <c r="C341" s="49"/>
      <c r="D341" s="25"/>
      <c r="E341" s="25"/>
      <c r="F341" s="15"/>
    </row>
    <row r="342" spans="1:6" ht="12.75">
      <c r="A342" s="49"/>
      <c r="B342" s="45"/>
      <c r="C342" s="49"/>
      <c r="D342" s="25"/>
      <c r="E342" s="25"/>
      <c r="F342" s="15"/>
    </row>
    <row r="343" spans="1:6" ht="12.75">
      <c r="A343" s="49"/>
      <c r="B343" s="45"/>
      <c r="C343" s="49"/>
      <c r="D343" s="25"/>
      <c r="E343" s="25"/>
      <c r="F343" s="15"/>
    </row>
    <row r="344" spans="1:6" ht="12.75">
      <c r="A344" s="49"/>
      <c r="B344" s="45"/>
      <c r="C344" s="49"/>
      <c r="D344" s="25"/>
      <c r="E344" s="25"/>
      <c r="F344" s="15"/>
    </row>
    <row r="345" spans="1:6" ht="12.75">
      <c r="A345" s="49"/>
      <c r="B345" s="45"/>
      <c r="C345" s="49"/>
      <c r="D345" s="25"/>
      <c r="E345" s="25"/>
      <c r="F345" s="15"/>
    </row>
    <row r="346" spans="1:6" ht="12.75">
      <c r="A346" s="49"/>
      <c r="B346" s="45"/>
      <c r="C346" s="49"/>
      <c r="D346" s="25"/>
      <c r="E346" s="25"/>
      <c r="F346" s="15"/>
    </row>
    <row r="347" spans="1:6" ht="12.75">
      <c r="A347" s="49"/>
      <c r="B347" s="45"/>
      <c r="C347" s="49"/>
      <c r="D347" s="25"/>
      <c r="E347" s="25"/>
      <c r="F347" s="15"/>
    </row>
    <row r="348" spans="1:6" ht="12.75">
      <c r="A348" s="49"/>
      <c r="B348" s="45"/>
      <c r="C348" s="49"/>
      <c r="D348" s="25"/>
      <c r="E348" s="25"/>
      <c r="F348" s="15"/>
    </row>
    <row r="349" spans="1:6" ht="12.75">
      <c r="A349" s="49"/>
      <c r="B349" s="45"/>
      <c r="C349" s="49"/>
      <c r="D349" s="25"/>
      <c r="E349" s="25"/>
      <c r="F349" s="15"/>
    </row>
    <row r="350" spans="1:6" ht="12.75">
      <c r="A350" s="49"/>
      <c r="B350" s="45"/>
      <c r="C350" s="49"/>
      <c r="D350" s="25"/>
      <c r="E350" s="25"/>
      <c r="F350" s="15"/>
    </row>
    <row r="351" spans="1:6" ht="12.75">
      <c r="A351" s="49"/>
      <c r="B351" s="45"/>
      <c r="C351" s="49"/>
      <c r="D351" s="25"/>
      <c r="E351" s="25"/>
      <c r="F351" s="15"/>
    </row>
    <row r="352" spans="1:6" ht="12.75">
      <c r="A352" s="49"/>
      <c r="B352" s="45"/>
      <c r="C352" s="49"/>
      <c r="D352" s="25"/>
      <c r="E352" s="25"/>
      <c r="F352" s="15"/>
    </row>
    <row r="353" spans="1:6" ht="12.75">
      <c r="A353" s="49"/>
      <c r="B353" s="45"/>
      <c r="C353" s="49"/>
      <c r="D353" s="25"/>
      <c r="E353" s="25"/>
      <c r="F353" s="15"/>
    </row>
    <row r="354" spans="1:6" ht="12.75">
      <c r="A354" s="49"/>
      <c r="B354" s="45"/>
      <c r="C354" s="49"/>
      <c r="D354" s="25"/>
      <c r="E354" s="25"/>
      <c r="F354" s="15"/>
    </row>
    <row r="355" spans="1:6" ht="12.75">
      <c r="A355" s="49"/>
      <c r="B355" s="45"/>
      <c r="C355" s="49"/>
      <c r="D355" s="25"/>
      <c r="E355" s="25"/>
      <c r="F355" s="15"/>
    </row>
    <row r="356" spans="1:6" ht="12.75">
      <c r="A356" s="49"/>
      <c r="B356" s="45"/>
      <c r="C356" s="49"/>
      <c r="D356" s="25"/>
      <c r="E356" s="25"/>
      <c r="F356" s="15"/>
    </row>
    <row r="357" spans="1:6" ht="12.75">
      <c r="A357" s="49"/>
      <c r="B357" s="45"/>
      <c r="C357" s="49"/>
      <c r="D357" s="25"/>
      <c r="E357" s="25"/>
      <c r="F357" s="15"/>
    </row>
    <row r="358" spans="1:6" ht="12.75">
      <c r="A358" s="49"/>
      <c r="B358" s="45"/>
      <c r="C358" s="49"/>
      <c r="D358" s="25"/>
      <c r="E358" s="25"/>
      <c r="F358" s="15"/>
    </row>
    <row r="359" spans="1:6" ht="12.75">
      <c r="A359" s="49"/>
      <c r="B359" s="45"/>
      <c r="C359" s="49"/>
      <c r="D359" s="25"/>
      <c r="E359" s="25"/>
      <c r="F359" s="15"/>
    </row>
    <row r="360" spans="1:6" ht="12.75">
      <c r="A360" s="49"/>
      <c r="B360" s="45"/>
      <c r="C360" s="49"/>
      <c r="D360" s="25"/>
      <c r="E360" s="25"/>
      <c r="F360" s="15"/>
    </row>
    <row r="361" spans="1:6" ht="12.75">
      <c r="A361" s="49"/>
      <c r="B361" s="45"/>
      <c r="C361" s="49"/>
      <c r="D361" s="25"/>
      <c r="E361" s="25"/>
      <c r="F361" s="15"/>
    </row>
    <row r="362" spans="1:6" ht="12.75">
      <c r="A362" s="49"/>
      <c r="B362" s="45"/>
      <c r="C362" s="49"/>
      <c r="D362" s="25"/>
      <c r="E362" s="25"/>
      <c r="F362" s="15"/>
    </row>
    <row r="363" spans="1:6" ht="12.75">
      <c r="A363" s="49"/>
      <c r="B363" s="45"/>
      <c r="C363" s="49"/>
      <c r="D363" s="25"/>
      <c r="E363" s="25"/>
      <c r="F363" s="15"/>
    </row>
    <row r="364" spans="1:6" ht="12.75">
      <c r="A364" s="49"/>
      <c r="B364" s="45"/>
      <c r="C364" s="49"/>
      <c r="D364" s="25"/>
      <c r="E364" s="25"/>
      <c r="F364" s="15"/>
    </row>
    <row r="365" spans="1:6" ht="12.75">
      <c r="A365" s="49"/>
      <c r="B365" s="45"/>
      <c r="C365" s="49"/>
      <c r="D365" s="25"/>
      <c r="E365" s="25"/>
      <c r="F365" s="15"/>
    </row>
    <row r="366" spans="1:6" ht="12.75">
      <c r="A366" s="49"/>
      <c r="B366" s="45"/>
      <c r="C366" s="49"/>
      <c r="D366" s="25"/>
      <c r="E366" s="25"/>
      <c r="F366" s="15"/>
    </row>
    <row r="367" spans="1:6" ht="12.75">
      <c r="A367" s="49"/>
      <c r="B367" s="45"/>
      <c r="C367" s="49"/>
      <c r="D367" s="25"/>
      <c r="E367" s="25"/>
      <c r="F367" s="15"/>
    </row>
    <row r="368" spans="1:6" ht="12.75">
      <c r="A368" s="49"/>
      <c r="B368" s="45"/>
      <c r="C368" s="49"/>
      <c r="D368" s="25"/>
      <c r="E368" s="25"/>
      <c r="F368" s="15"/>
    </row>
    <row r="369" spans="1:6" ht="12.75">
      <c r="A369" s="49"/>
      <c r="B369" s="45"/>
      <c r="C369" s="49"/>
      <c r="D369" s="25"/>
      <c r="E369" s="25"/>
      <c r="F369" s="15"/>
    </row>
    <row r="370" spans="1:6" ht="12.75">
      <c r="A370" s="49"/>
      <c r="B370" s="45"/>
      <c r="C370" s="49"/>
      <c r="D370" s="25"/>
      <c r="E370" s="25"/>
      <c r="F370" s="15"/>
    </row>
    <row r="371" spans="1:6" ht="12.75">
      <c r="A371" s="49"/>
      <c r="B371" s="45"/>
      <c r="C371" s="49"/>
      <c r="D371" s="25"/>
      <c r="E371" s="25"/>
      <c r="F371" s="15"/>
    </row>
    <row r="372" spans="1:6" ht="12.75">
      <c r="A372" s="49"/>
      <c r="B372" s="45"/>
      <c r="C372" s="49"/>
      <c r="D372" s="25"/>
      <c r="E372" s="25"/>
      <c r="F372" s="15"/>
    </row>
    <row r="373" spans="1:6" ht="12.75">
      <c r="A373" s="49"/>
      <c r="B373" s="45"/>
      <c r="C373" s="49"/>
      <c r="D373" s="25"/>
      <c r="E373" s="25"/>
      <c r="F373" s="15"/>
    </row>
    <row r="374" spans="1:6" ht="12.75">
      <c r="A374" s="49"/>
      <c r="B374" s="45"/>
      <c r="C374" s="49"/>
      <c r="D374" s="25"/>
      <c r="E374" s="25"/>
      <c r="F374" s="15"/>
    </row>
    <row r="375" spans="1:6" ht="12.75">
      <c r="A375" s="49"/>
      <c r="B375" s="45"/>
      <c r="C375" s="49"/>
      <c r="D375" s="25"/>
      <c r="E375" s="25"/>
      <c r="F375" s="15"/>
    </row>
    <row r="376" spans="1:6" ht="12.75">
      <c r="A376" s="49"/>
      <c r="B376" s="45"/>
      <c r="C376" s="49"/>
      <c r="D376" s="25"/>
      <c r="E376" s="25"/>
      <c r="F376" s="15"/>
    </row>
    <row r="377" spans="1:6" ht="12.75">
      <c r="A377" s="49"/>
      <c r="B377" s="45"/>
      <c r="C377" s="49"/>
      <c r="D377" s="25"/>
      <c r="E377" s="25"/>
      <c r="F377" s="15"/>
    </row>
    <row r="378" spans="1:6" ht="12.75">
      <c r="A378" s="49"/>
      <c r="B378" s="45"/>
      <c r="C378" s="49"/>
      <c r="D378" s="25"/>
      <c r="E378" s="25"/>
      <c r="F378" s="15"/>
    </row>
    <row r="379" spans="1:6" ht="12.75">
      <c r="A379" s="49"/>
      <c r="B379" s="45"/>
      <c r="C379" s="49"/>
      <c r="D379" s="25"/>
      <c r="E379" s="25"/>
      <c r="F379" s="15"/>
    </row>
    <row r="380" spans="1:6" ht="12.75">
      <c r="A380" s="49"/>
      <c r="B380" s="45"/>
      <c r="C380" s="49"/>
      <c r="D380" s="25"/>
      <c r="E380" s="25"/>
      <c r="F380" s="15"/>
    </row>
    <row r="381" spans="1:6" ht="12.75">
      <c r="A381" s="49"/>
      <c r="B381" s="45"/>
      <c r="C381" s="49"/>
      <c r="D381" s="25"/>
      <c r="E381" s="25"/>
      <c r="F381" s="15"/>
    </row>
    <row r="382" spans="1:6" ht="12.75">
      <c r="A382" s="49"/>
      <c r="B382" s="45"/>
      <c r="C382" s="49"/>
      <c r="D382" s="25"/>
      <c r="E382" s="25"/>
      <c r="F382" s="15"/>
    </row>
    <row r="383" spans="1:6" ht="12.75">
      <c r="A383" s="49"/>
      <c r="B383" s="45"/>
      <c r="C383" s="49"/>
      <c r="D383" s="25"/>
      <c r="E383" s="25"/>
      <c r="F383" s="15"/>
    </row>
    <row r="384" spans="1:6" ht="12.75">
      <c r="A384" s="49"/>
      <c r="B384" s="45"/>
      <c r="C384" s="49"/>
      <c r="D384" s="25"/>
      <c r="E384" s="25"/>
      <c r="F384" s="15"/>
    </row>
    <row r="385" spans="1:6" ht="12.75">
      <c r="A385" s="49"/>
      <c r="B385" s="45"/>
      <c r="C385" s="49"/>
      <c r="D385" s="25"/>
      <c r="E385" s="25"/>
      <c r="F385" s="15"/>
    </row>
    <row r="386" spans="1:6" ht="12.75">
      <c r="A386" s="49"/>
      <c r="B386" s="45"/>
      <c r="C386" s="49"/>
      <c r="D386" s="25"/>
      <c r="E386" s="25"/>
      <c r="F386" s="15"/>
    </row>
    <row r="387" spans="1:6" ht="12.75">
      <c r="A387" s="49"/>
      <c r="B387" s="45"/>
      <c r="C387" s="49"/>
      <c r="D387" s="25"/>
      <c r="E387" s="25"/>
      <c r="F387" s="15"/>
    </row>
    <row r="388" spans="1:6" ht="12.75">
      <c r="A388" s="49"/>
      <c r="B388" s="45"/>
      <c r="C388" s="49"/>
      <c r="D388" s="25"/>
      <c r="E388" s="25"/>
      <c r="F388" s="15"/>
    </row>
    <row r="389" spans="1:6" ht="12.75">
      <c r="A389" s="49"/>
      <c r="B389" s="45"/>
      <c r="C389" s="49"/>
      <c r="D389" s="25"/>
      <c r="E389" s="25"/>
      <c r="F389" s="15"/>
    </row>
    <row r="390" spans="1:6" ht="12.75">
      <c r="A390" s="49"/>
      <c r="B390" s="45"/>
      <c r="C390" s="49"/>
      <c r="D390" s="25"/>
      <c r="E390" s="25"/>
      <c r="F390" s="15"/>
    </row>
    <row r="391" spans="1:6" ht="12.75">
      <c r="A391" s="49"/>
      <c r="B391" s="45"/>
      <c r="C391" s="49"/>
      <c r="D391" s="25"/>
      <c r="E391" s="25"/>
      <c r="F391" s="15"/>
    </row>
    <row r="392" spans="1:6" ht="12.75">
      <c r="A392" s="49"/>
      <c r="B392" s="45"/>
      <c r="C392" s="49"/>
      <c r="D392" s="25"/>
      <c r="E392" s="25"/>
      <c r="F392" s="15"/>
    </row>
    <row r="393" spans="1:6" ht="12.75">
      <c r="A393" s="49"/>
      <c r="B393" s="45"/>
      <c r="C393" s="49"/>
      <c r="D393" s="25"/>
      <c r="E393" s="25"/>
      <c r="F393" s="15"/>
    </row>
    <row r="394" spans="1:6" ht="12.75">
      <c r="A394" s="49"/>
      <c r="B394" s="45"/>
      <c r="C394" s="49"/>
      <c r="D394" s="25"/>
      <c r="E394" s="25"/>
      <c r="F394" s="15"/>
    </row>
    <row r="395" spans="1:6" ht="12.75">
      <c r="A395" s="49"/>
      <c r="B395" s="45"/>
      <c r="C395" s="49"/>
      <c r="D395" s="25"/>
      <c r="E395" s="25"/>
      <c r="F395" s="15"/>
    </row>
    <row r="396" spans="1:6" ht="12.75">
      <c r="A396" s="49"/>
      <c r="B396" s="45"/>
      <c r="C396" s="49"/>
      <c r="D396" s="25"/>
      <c r="E396" s="25"/>
      <c r="F396" s="15"/>
    </row>
    <row r="397" spans="1:6" ht="12.75">
      <c r="A397" s="49"/>
      <c r="B397" s="45"/>
      <c r="C397" s="49"/>
      <c r="D397" s="25"/>
      <c r="E397" s="25"/>
      <c r="F397" s="15"/>
    </row>
    <row r="398" spans="1:6" ht="12.75">
      <c r="A398" s="49"/>
      <c r="B398" s="45"/>
      <c r="C398" s="49"/>
      <c r="D398" s="25"/>
      <c r="E398" s="25"/>
      <c r="F398" s="15"/>
    </row>
    <row r="399" spans="1:6" ht="12.75">
      <c r="A399" s="49"/>
      <c r="B399" s="45"/>
      <c r="C399" s="49"/>
      <c r="D399" s="25"/>
      <c r="E399" s="25"/>
      <c r="F399" s="15"/>
    </row>
    <row r="400" spans="1:6" ht="12.75">
      <c r="A400" s="49"/>
      <c r="B400" s="45"/>
      <c r="C400" s="49"/>
      <c r="D400" s="25"/>
      <c r="E400" s="25"/>
      <c r="F400" s="15"/>
    </row>
    <row r="401" spans="1:6" ht="12.75">
      <c r="A401" s="49"/>
      <c r="B401" s="45"/>
      <c r="C401" s="49"/>
      <c r="D401" s="25"/>
      <c r="E401" s="25"/>
      <c r="F401" s="15"/>
    </row>
    <row r="402" spans="1:6" ht="12.75">
      <c r="A402" s="49"/>
      <c r="B402" s="45"/>
      <c r="C402" s="49"/>
      <c r="D402" s="25"/>
      <c r="E402" s="25"/>
      <c r="F402" s="15"/>
    </row>
    <row r="403" spans="1:6" ht="12.75">
      <c r="A403" s="49"/>
      <c r="B403" s="45"/>
      <c r="C403" s="49"/>
      <c r="D403" s="25"/>
      <c r="E403" s="25"/>
      <c r="F403" s="15"/>
    </row>
    <row r="404" spans="1:6" ht="12.75">
      <c r="A404" s="49"/>
      <c r="B404" s="45"/>
      <c r="C404" s="49"/>
      <c r="D404" s="25"/>
      <c r="E404" s="25"/>
      <c r="F404" s="15"/>
    </row>
    <row r="405" spans="1:6" ht="12.75">
      <c r="A405" s="49"/>
      <c r="B405" s="45"/>
      <c r="C405" s="49"/>
      <c r="D405" s="25"/>
      <c r="E405" s="25"/>
      <c r="F405" s="15"/>
    </row>
    <row r="406" spans="1:6" ht="12.75">
      <c r="A406" s="49"/>
      <c r="B406" s="45"/>
      <c r="C406" s="49"/>
      <c r="D406" s="25"/>
      <c r="E406" s="25"/>
      <c r="F406" s="15"/>
    </row>
    <row r="407" spans="1:6" ht="12.75">
      <c r="A407" s="49"/>
      <c r="B407" s="45"/>
      <c r="C407" s="49"/>
      <c r="D407" s="25"/>
      <c r="E407" s="25"/>
      <c r="F407" s="15"/>
    </row>
    <row r="408" spans="1:6" ht="12.75">
      <c r="A408" s="49"/>
      <c r="B408" s="45"/>
      <c r="C408" s="49"/>
      <c r="D408" s="25"/>
      <c r="E408" s="25"/>
      <c r="F408" s="15"/>
    </row>
    <row r="409" spans="1:6" ht="12.75">
      <c r="A409" s="49"/>
      <c r="B409" s="45"/>
      <c r="C409" s="49"/>
      <c r="D409" s="25"/>
      <c r="E409" s="25"/>
      <c r="F409" s="15"/>
    </row>
    <row r="410" spans="1:6" ht="12.75">
      <c r="A410" s="49"/>
      <c r="B410" s="45"/>
      <c r="C410" s="49"/>
      <c r="D410" s="25"/>
      <c r="E410" s="25"/>
      <c r="F410" s="15"/>
    </row>
    <row r="411" spans="1:6" ht="12.75">
      <c r="A411" s="49"/>
      <c r="B411" s="45"/>
      <c r="C411" s="49"/>
      <c r="D411" s="25"/>
      <c r="E411" s="25"/>
      <c r="F411" s="15"/>
    </row>
    <row r="412" spans="1:6" ht="12.75">
      <c r="A412" s="49"/>
      <c r="B412" s="45"/>
      <c r="C412" s="49"/>
      <c r="D412" s="25"/>
      <c r="E412" s="25"/>
      <c r="F412" s="15"/>
    </row>
    <row r="413" spans="1:6" ht="12.75">
      <c r="A413" s="49"/>
      <c r="B413" s="45"/>
      <c r="C413" s="49"/>
      <c r="D413" s="25"/>
      <c r="E413" s="25"/>
      <c r="F413" s="15"/>
    </row>
    <row r="414" spans="1:6" ht="12.75">
      <c r="A414" s="49"/>
      <c r="B414" s="45"/>
      <c r="C414" s="49"/>
      <c r="D414" s="25"/>
      <c r="E414" s="25"/>
      <c r="F414" s="15"/>
    </row>
    <row r="415" spans="1:6" ht="12.75">
      <c r="A415" s="49"/>
      <c r="B415" s="45"/>
      <c r="C415" s="49"/>
      <c r="D415" s="25"/>
      <c r="E415" s="25"/>
      <c r="F415" s="15"/>
    </row>
    <row r="416" spans="1:6" ht="12.75">
      <c r="A416" s="49"/>
      <c r="B416" s="45"/>
      <c r="C416" s="49"/>
      <c r="D416" s="25"/>
      <c r="E416" s="25"/>
      <c r="F416" s="15"/>
    </row>
    <row r="417" spans="1:6" ht="12.75">
      <c r="A417" s="49"/>
      <c r="B417" s="45"/>
      <c r="C417" s="49"/>
      <c r="D417" s="25"/>
      <c r="E417" s="25"/>
      <c r="F417" s="15"/>
    </row>
    <row r="418" spans="1:6" ht="12.75">
      <c r="A418" s="49"/>
      <c r="B418" s="45"/>
      <c r="C418" s="49"/>
      <c r="D418" s="25"/>
      <c r="E418" s="25"/>
      <c r="F418" s="15"/>
    </row>
    <row r="419" spans="1:6" ht="12.75">
      <c r="A419" s="49"/>
      <c r="B419" s="45"/>
      <c r="C419" s="49"/>
      <c r="D419" s="25"/>
      <c r="E419" s="25"/>
      <c r="F419" s="15"/>
    </row>
    <row r="420" spans="1:6" ht="12.75">
      <c r="A420" s="49"/>
      <c r="B420" s="45"/>
      <c r="C420" s="49"/>
      <c r="D420" s="25"/>
      <c r="E420" s="25"/>
      <c r="F420" s="15"/>
    </row>
    <row r="421" spans="1:6" ht="12.75">
      <c r="A421" s="49"/>
      <c r="B421" s="45"/>
      <c r="C421" s="49"/>
      <c r="D421" s="25"/>
      <c r="E421" s="25"/>
      <c r="F421" s="15"/>
    </row>
    <row r="422" spans="1:6" ht="12.75">
      <c r="A422" s="49"/>
      <c r="B422" s="45"/>
      <c r="C422" s="49"/>
      <c r="D422" s="25"/>
      <c r="E422" s="25"/>
      <c r="F422" s="15"/>
    </row>
    <row r="423" spans="1:6" ht="12.75">
      <c r="A423" s="49"/>
      <c r="B423" s="45"/>
      <c r="C423" s="49"/>
      <c r="D423" s="25"/>
      <c r="E423" s="25"/>
      <c r="F423" s="15"/>
    </row>
    <row r="424" spans="1:6" ht="12.75">
      <c r="A424" s="49"/>
      <c r="B424" s="45"/>
      <c r="C424" s="49"/>
      <c r="D424" s="25"/>
      <c r="E424" s="25"/>
      <c r="F424" s="15"/>
    </row>
    <row r="425" spans="1:6" ht="12.75">
      <c r="A425" s="49"/>
      <c r="B425" s="45"/>
      <c r="C425" s="49"/>
      <c r="D425" s="25"/>
      <c r="E425" s="25"/>
      <c r="F425" s="15"/>
    </row>
    <row r="426" spans="1:6" ht="12.75">
      <c r="A426" s="49"/>
      <c r="B426" s="45"/>
      <c r="C426" s="49"/>
      <c r="D426" s="25"/>
      <c r="E426" s="25"/>
      <c r="F426" s="15"/>
    </row>
    <row r="427" spans="1:6" ht="12.75">
      <c r="A427" s="49"/>
      <c r="B427" s="45"/>
      <c r="C427" s="49"/>
      <c r="D427" s="25"/>
      <c r="E427" s="25"/>
      <c r="F427" s="15"/>
    </row>
    <row r="428" spans="1:6" ht="12.75">
      <c r="A428" s="49"/>
      <c r="B428" s="45"/>
      <c r="C428" s="49"/>
      <c r="D428" s="25"/>
      <c r="E428" s="25"/>
      <c r="F428" s="15"/>
    </row>
    <row r="429" spans="1:6" ht="12.75">
      <c r="A429" s="49"/>
      <c r="B429" s="45"/>
      <c r="C429" s="49"/>
      <c r="D429" s="25"/>
      <c r="E429" s="25"/>
      <c r="F429" s="15"/>
    </row>
    <row r="430" spans="1:6" ht="12.75">
      <c r="A430" s="49"/>
      <c r="B430" s="45"/>
      <c r="C430" s="49"/>
      <c r="D430" s="25"/>
      <c r="E430" s="25"/>
      <c r="F430" s="15"/>
    </row>
    <row r="431" spans="1:6" ht="12.75">
      <c r="A431" s="49"/>
      <c r="B431" s="45"/>
      <c r="C431" s="49"/>
      <c r="D431" s="25"/>
      <c r="E431" s="25"/>
      <c r="F431" s="15"/>
    </row>
    <row r="432" spans="1:6" ht="12.75">
      <c r="A432" s="49"/>
      <c r="B432" s="45"/>
      <c r="C432" s="49"/>
      <c r="D432" s="25"/>
      <c r="E432" s="25"/>
      <c r="F432" s="15"/>
    </row>
    <row r="433" spans="1:6" ht="12.75">
      <c r="A433" s="49"/>
      <c r="B433" s="45"/>
      <c r="C433" s="49"/>
      <c r="D433" s="25"/>
      <c r="E433" s="25"/>
      <c r="F433" s="15"/>
    </row>
    <row r="434" spans="1:6" ht="12.75">
      <c r="A434" s="49"/>
      <c r="B434" s="45"/>
      <c r="C434" s="49"/>
      <c r="D434" s="25"/>
      <c r="E434" s="25"/>
      <c r="F434" s="15"/>
    </row>
    <row r="435" spans="1:6" ht="12.75">
      <c r="A435" s="49"/>
      <c r="B435" s="45"/>
      <c r="C435" s="49"/>
      <c r="D435" s="25"/>
      <c r="E435" s="25"/>
      <c r="F435" s="15"/>
    </row>
    <row r="436" spans="1:6" ht="12.75">
      <c r="A436" s="49"/>
      <c r="B436" s="45"/>
      <c r="C436" s="49"/>
      <c r="D436" s="25"/>
      <c r="E436" s="25"/>
      <c r="F436" s="15"/>
    </row>
    <row r="437" spans="1:6" ht="12.75">
      <c r="A437" s="49"/>
      <c r="B437" s="45"/>
      <c r="C437" s="49"/>
      <c r="D437" s="25"/>
      <c r="E437" s="25"/>
      <c r="F437" s="15"/>
    </row>
    <row r="438" spans="1:6" ht="12.75">
      <c r="A438" s="49"/>
      <c r="B438" s="45"/>
      <c r="C438" s="49"/>
      <c r="D438" s="25"/>
      <c r="E438" s="25"/>
      <c r="F438" s="15"/>
    </row>
    <row r="439" spans="1:6" ht="12.75">
      <c r="A439" s="49"/>
      <c r="B439" s="45"/>
      <c r="C439" s="49"/>
      <c r="D439" s="25"/>
      <c r="E439" s="25"/>
      <c r="F439" s="15"/>
    </row>
    <row r="440" spans="1:6" ht="12.75">
      <c r="A440" s="49"/>
      <c r="B440" s="45"/>
      <c r="C440" s="49"/>
      <c r="D440" s="25"/>
      <c r="E440" s="25"/>
      <c r="F440" s="15"/>
    </row>
    <row r="441" spans="1:6" ht="12.75">
      <c r="A441" s="49"/>
      <c r="B441" s="45"/>
      <c r="C441" s="49"/>
      <c r="D441" s="25"/>
      <c r="E441" s="25"/>
      <c r="F441" s="15"/>
    </row>
    <row r="442" spans="1:6" ht="12.75">
      <c r="A442" s="49"/>
      <c r="B442" s="45"/>
      <c r="C442" s="49"/>
      <c r="D442" s="25"/>
      <c r="E442" s="25"/>
      <c r="F442" s="15"/>
    </row>
    <row r="443" spans="1:6" ht="12.75">
      <c r="A443" s="49"/>
      <c r="B443" s="45"/>
      <c r="C443" s="49"/>
      <c r="D443" s="25"/>
      <c r="E443" s="25"/>
      <c r="F443" s="15"/>
    </row>
    <row r="444" spans="1:6" ht="12.75">
      <c r="A444" s="49"/>
      <c r="B444" s="45"/>
      <c r="C444" s="49"/>
      <c r="D444" s="25"/>
      <c r="E444" s="25"/>
      <c r="F444" s="15"/>
    </row>
    <row r="445" spans="1:6" ht="12.75">
      <c r="A445" s="49"/>
      <c r="B445" s="45"/>
      <c r="C445" s="49"/>
      <c r="D445" s="25"/>
      <c r="E445" s="25"/>
      <c r="F445" s="15"/>
    </row>
    <row r="446" spans="1:6" ht="12.75">
      <c r="A446" s="49"/>
      <c r="B446" s="45"/>
      <c r="C446" s="49"/>
      <c r="D446" s="25"/>
      <c r="E446" s="25"/>
      <c r="F446" s="15"/>
    </row>
    <row r="447" spans="1:6" ht="12.75">
      <c r="A447" s="49"/>
      <c r="B447" s="45"/>
      <c r="C447" s="49"/>
      <c r="D447" s="25"/>
      <c r="E447" s="25"/>
      <c r="F447" s="15"/>
    </row>
    <row r="448" spans="1:6" ht="12.75">
      <c r="A448" s="49"/>
      <c r="B448" s="45"/>
      <c r="C448" s="49"/>
      <c r="D448" s="25"/>
      <c r="E448" s="25"/>
      <c r="F448" s="15"/>
    </row>
    <row r="449" spans="1:6" ht="12.75">
      <c r="A449" s="49"/>
      <c r="B449" s="45"/>
      <c r="C449" s="49"/>
      <c r="D449" s="25"/>
      <c r="E449" s="25"/>
      <c r="F449" s="15"/>
    </row>
    <row r="450" spans="1:6" ht="12.75">
      <c r="A450" s="49"/>
      <c r="B450" s="45"/>
      <c r="C450" s="49"/>
      <c r="D450" s="25"/>
      <c r="E450" s="25"/>
      <c r="F450" s="15"/>
    </row>
    <row r="451" spans="1:6" ht="12.75">
      <c r="A451" s="49"/>
      <c r="B451" s="45"/>
      <c r="C451" s="49"/>
      <c r="D451" s="25"/>
      <c r="E451" s="25"/>
      <c r="F451" s="15"/>
    </row>
    <row r="452" spans="1:6" ht="12.75">
      <c r="A452" s="49"/>
      <c r="B452" s="45"/>
      <c r="C452" s="49"/>
      <c r="D452" s="25"/>
      <c r="E452" s="25"/>
      <c r="F452" s="15"/>
    </row>
    <row r="453" spans="1:6" ht="12.75">
      <c r="A453" s="49"/>
      <c r="B453" s="45"/>
      <c r="C453" s="49"/>
      <c r="D453" s="25"/>
      <c r="E453" s="25"/>
      <c r="F453" s="15"/>
    </row>
    <row r="454" spans="1:6" ht="12.75">
      <c r="A454" s="49"/>
      <c r="B454" s="45"/>
      <c r="C454" s="49"/>
      <c r="D454" s="25"/>
      <c r="E454" s="25"/>
      <c r="F454" s="15"/>
    </row>
    <row r="455" spans="1:6" ht="12.75">
      <c r="A455" s="49"/>
      <c r="B455" s="45"/>
      <c r="C455" s="49"/>
      <c r="D455" s="25"/>
      <c r="E455" s="25"/>
      <c r="F455" s="15"/>
    </row>
    <row r="456" spans="1:6" ht="12.75">
      <c r="A456" s="49"/>
      <c r="B456" s="45"/>
      <c r="C456" s="49"/>
      <c r="D456" s="25"/>
      <c r="E456" s="25"/>
      <c r="F456" s="15"/>
    </row>
    <row r="457" spans="1:6" ht="12.75">
      <c r="A457" s="49"/>
      <c r="B457" s="45"/>
      <c r="C457" s="49"/>
      <c r="D457" s="25"/>
      <c r="E457" s="25"/>
      <c r="F457" s="15"/>
    </row>
    <row r="458" spans="1:6" ht="12.75">
      <c r="A458" s="49"/>
      <c r="B458" s="45"/>
      <c r="C458" s="49"/>
      <c r="D458" s="25"/>
      <c r="E458" s="25"/>
      <c r="F458" s="15"/>
    </row>
    <row r="459" spans="1:6" ht="12.75">
      <c r="A459" s="49"/>
      <c r="B459" s="45"/>
      <c r="C459" s="49"/>
      <c r="D459" s="25"/>
      <c r="E459" s="25"/>
      <c r="F459" s="15"/>
    </row>
    <row r="460" spans="1:6" ht="12.75">
      <c r="A460" s="49"/>
      <c r="B460" s="45"/>
      <c r="C460" s="49"/>
      <c r="D460" s="25"/>
      <c r="E460" s="25"/>
      <c r="F460" s="15"/>
    </row>
    <row r="461" spans="1:6" ht="12.75">
      <c r="A461" s="49"/>
      <c r="B461" s="45"/>
      <c r="C461" s="49"/>
      <c r="D461" s="25"/>
      <c r="E461" s="25"/>
      <c r="F461" s="15"/>
    </row>
    <row r="462" spans="1:6" ht="12.75">
      <c r="A462" s="49"/>
      <c r="B462" s="45"/>
      <c r="C462" s="49"/>
      <c r="D462" s="25"/>
      <c r="E462" s="25"/>
      <c r="F462" s="15"/>
    </row>
    <row r="463" spans="1:6" ht="12.75">
      <c r="A463" s="49"/>
      <c r="B463" s="45"/>
      <c r="C463" s="49"/>
      <c r="D463" s="25"/>
      <c r="E463" s="25"/>
      <c r="F463" s="15"/>
    </row>
    <row r="464" spans="1:6" ht="12.75">
      <c r="A464" s="49"/>
      <c r="B464" s="45"/>
      <c r="C464" s="49"/>
      <c r="D464" s="25"/>
      <c r="E464" s="25"/>
      <c r="F464" s="15"/>
    </row>
    <row r="465" spans="1:6" ht="12.75">
      <c r="A465" s="49"/>
      <c r="B465" s="45"/>
      <c r="C465" s="49"/>
      <c r="D465" s="25"/>
      <c r="E465" s="25"/>
      <c r="F465" s="15"/>
    </row>
    <row r="466" spans="1:6" ht="12.75">
      <c r="A466" s="49"/>
      <c r="B466" s="45"/>
      <c r="C466" s="49"/>
      <c r="D466" s="25"/>
      <c r="E466" s="25"/>
      <c r="F466" s="15"/>
    </row>
    <row r="467" spans="1:6" ht="12.75">
      <c r="A467" s="49"/>
      <c r="B467" s="45"/>
      <c r="C467" s="49"/>
      <c r="D467" s="25"/>
      <c r="E467" s="25"/>
      <c r="F467" s="15"/>
    </row>
    <row r="468" spans="1:6" ht="12.75">
      <c r="A468" s="49"/>
      <c r="B468" s="45"/>
      <c r="C468" s="49"/>
      <c r="D468" s="25"/>
      <c r="E468" s="25"/>
      <c r="F468" s="15"/>
    </row>
    <row r="469" spans="1:6" ht="12.75">
      <c r="A469" s="49"/>
      <c r="B469" s="45"/>
      <c r="C469" s="49"/>
      <c r="D469" s="25"/>
      <c r="E469" s="25"/>
      <c r="F469" s="15"/>
    </row>
    <row r="470" spans="1:6" ht="12.75">
      <c r="A470" s="49"/>
      <c r="B470" s="45"/>
      <c r="C470" s="49"/>
      <c r="D470" s="25"/>
      <c r="E470" s="25"/>
      <c r="F470" s="15"/>
    </row>
    <row r="471" spans="1:6" ht="12.75">
      <c r="A471" s="49"/>
      <c r="B471" s="45"/>
      <c r="C471" s="49"/>
      <c r="D471" s="25"/>
      <c r="E471" s="25"/>
      <c r="F471" s="15"/>
    </row>
    <row r="472" spans="1:6" ht="12.75">
      <c r="A472" s="49"/>
      <c r="B472" s="45"/>
      <c r="C472" s="49"/>
      <c r="D472" s="25"/>
      <c r="E472" s="25"/>
      <c r="F472" s="15"/>
    </row>
    <row r="473" spans="1:6" ht="12.75">
      <c r="A473" s="49"/>
      <c r="B473" s="45"/>
      <c r="C473" s="49"/>
      <c r="D473" s="25"/>
      <c r="E473" s="25"/>
      <c r="F473" s="15"/>
    </row>
    <row r="474" spans="1:6" ht="12.75">
      <c r="A474" s="49"/>
      <c r="B474" s="45"/>
      <c r="C474" s="49"/>
      <c r="D474" s="25"/>
      <c r="E474" s="25"/>
      <c r="F474" s="15"/>
    </row>
    <row r="475" spans="1:6" ht="12.75">
      <c r="A475" s="49"/>
      <c r="B475" s="45"/>
      <c r="C475" s="49"/>
      <c r="D475" s="25"/>
      <c r="E475" s="25"/>
      <c r="F475" s="15"/>
    </row>
    <row r="476" spans="1:6" ht="12.75">
      <c r="A476" s="49"/>
      <c r="B476" s="45"/>
      <c r="C476" s="49"/>
      <c r="D476" s="25"/>
      <c r="E476" s="25"/>
      <c r="F476" s="15"/>
    </row>
    <row r="477" spans="1:6" ht="12.75">
      <c r="A477" s="49"/>
      <c r="B477" s="45"/>
      <c r="C477" s="49"/>
      <c r="D477" s="25"/>
      <c r="E477" s="25"/>
      <c r="F477" s="15"/>
    </row>
    <row r="478" spans="1:6" ht="12.75">
      <c r="A478" s="49"/>
      <c r="B478" s="45"/>
      <c r="C478" s="49"/>
      <c r="D478" s="25"/>
      <c r="E478" s="25"/>
      <c r="F478" s="15"/>
    </row>
    <row r="479" spans="1:6" ht="12.75">
      <c r="A479" s="49"/>
      <c r="B479" s="45"/>
      <c r="C479" s="49"/>
      <c r="D479" s="25"/>
      <c r="E479" s="25"/>
      <c r="F479" s="15"/>
    </row>
    <row r="480" spans="1:6" ht="12.75">
      <c r="A480" s="49"/>
      <c r="B480" s="45"/>
      <c r="C480" s="49"/>
      <c r="D480" s="25"/>
      <c r="E480" s="25"/>
      <c r="F480" s="15"/>
    </row>
    <row r="481" spans="1:6" ht="12.75">
      <c r="A481" s="49"/>
      <c r="B481" s="45"/>
      <c r="C481" s="49"/>
      <c r="D481" s="25"/>
      <c r="E481" s="25"/>
      <c r="F481" s="15"/>
    </row>
    <row r="482" spans="1:6" ht="12.75">
      <c r="A482" s="49"/>
      <c r="B482" s="45"/>
      <c r="C482" s="49"/>
      <c r="D482" s="25"/>
      <c r="E482" s="25"/>
      <c r="F482" s="15"/>
    </row>
    <row r="483" spans="1:6" ht="12.75">
      <c r="A483" s="49"/>
      <c r="B483" s="45"/>
      <c r="C483" s="49"/>
      <c r="D483" s="25"/>
      <c r="E483" s="25"/>
      <c r="F483" s="15"/>
    </row>
    <row r="484" spans="1:6" ht="12.75">
      <c r="A484" s="49"/>
      <c r="B484" s="45"/>
      <c r="C484" s="49"/>
      <c r="D484" s="25"/>
      <c r="E484" s="25"/>
      <c r="F484" s="15"/>
    </row>
    <row r="485" spans="1:6" ht="12.75">
      <c r="A485" s="49"/>
      <c r="B485" s="45"/>
      <c r="C485" s="49"/>
      <c r="D485" s="25"/>
      <c r="E485" s="25"/>
      <c r="F485" s="15"/>
    </row>
    <row r="486" spans="1:6" ht="12.75">
      <c r="A486" s="49"/>
      <c r="B486" s="45"/>
      <c r="C486" s="49"/>
      <c r="D486" s="25"/>
      <c r="E486" s="25"/>
      <c r="F486" s="15"/>
    </row>
    <row r="487" spans="1:6" ht="12.75">
      <c r="A487" s="49"/>
      <c r="B487" s="45"/>
      <c r="C487" s="49"/>
      <c r="D487" s="25"/>
      <c r="E487" s="25"/>
      <c r="F487" s="15"/>
    </row>
    <row r="488" spans="1:6" ht="12.75">
      <c r="A488" s="49"/>
      <c r="B488" s="45"/>
      <c r="C488" s="49"/>
      <c r="D488" s="25"/>
      <c r="E488" s="25"/>
      <c r="F488" s="15"/>
    </row>
    <row r="489" spans="1:6" ht="12.75">
      <c r="A489" s="49"/>
      <c r="B489" s="45"/>
      <c r="C489" s="49"/>
      <c r="D489" s="25"/>
      <c r="E489" s="25"/>
      <c r="F489" s="15"/>
    </row>
    <row r="490" spans="1:6" ht="12.75">
      <c r="A490" s="49"/>
      <c r="B490" s="45"/>
      <c r="C490" s="49"/>
      <c r="D490" s="25"/>
      <c r="E490" s="25"/>
      <c r="F490" s="15"/>
    </row>
    <row r="491" spans="1:6" ht="12.75">
      <c r="A491" s="49"/>
      <c r="B491" s="45"/>
      <c r="C491" s="49"/>
      <c r="D491" s="25"/>
      <c r="E491" s="25"/>
      <c r="F491" s="15"/>
    </row>
    <row r="492" spans="1:6" ht="12.75">
      <c r="A492" s="49"/>
      <c r="B492" s="45"/>
      <c r="C492" s="49"/>
      <c r="D492" s="25"/>
      <c r="E492" s="25"/>
      <c r="F492" s="15"/>
    </row>
    <row r="493" spans="1:6" ht="12.75">
      <c r="A493" s="49"/>
      <c r="B493" s="45"/>
      <c r="C493" s="49"/>
      <c r="D493" s="25"/>
      <c r="E493" s="25"/>
      <c r="F493" s="15"/>
    </row>
    <row r="494" spans="1:6" ht="12.75">
      <c r="A494" s="49"/>
      <c r="B494" s="45"/>
      <c r="C494" s="49"/>
      <c r="D494" s="25"/>
      <c r="E494" s="25"/>
      <c r="F494" s="15"/>
    </row>
    <row r="495" spans="1:6" ht="12.75">
      <c r="A495" s="49"/>
      <c r="B495" s="45"/>
      <c r="C495" s="49"/>
      <c r="D495" s="25"/>
      <c r="E495" s="25"/>
      <c r="F495" s="15"/>
    </row>
    <row r="496" spans="1:6" ht="12.75">
      <c r="A496" s="49"/>
      <c r="B496" s="45"/>
      <c r="C496" s="49"/>
      <c r="D496" s="25"/>
      <c r="E496" s="25"/>
      <c r="F496" s="15"/>
    </row>
    <row r="497" spans="1:6" ht="12.75">
      <c r="A497" s="49"/>
      <c r="B497" s="45"/>
      <c r="C497" s="49"/>
      <c r="D497" s="25"/>
      <c r="E497" s="25"/>
      <c r="F497" s="15"/>
    </row>
    <row r="498" spans="1:6" ht="12.75">
      <c r="A498" s="49"/>
      <c r="B498" s="45"/>
      <c r="C498" s="49"/>
      <c r="D498" s="25"/>
      <c r="E498" s="25"/>
      <c r="F498" s="15"/>
    </row>
    <row r="499" spans="1:6" ht="12.75">
      <c r="A499" s="49"/>
      <c r="B499" s="45"/>
      <c r="C499" s="49"/>
      <c r="D499" s="25"/>
      <c r="E499" s="25"/>
      <c r="F499" s="15"/>
    </row>
    <row r="500" spans="1:6" ht="12.75">
      <c r="A500" s="49"/>
      <c r="B500" s="45"/>
      <c r="C500" s="49"/>
      <c r="D500" s="25"/>
      <c r="E500" s="25"/>
      <c r="F500" s="15"/>
    </row>
    <row r="501" spans="1:6" ht="12.75">
      <c r="A501" s="49"/>
      <c r="B501" s="45"/>
      <c r="C501" s="49"/>
      <c r="D501" s="25"/>
      <c r="E501" s="25"/>
      <c r="F501" s="15"/>
    </row>
    <row r="502" spans="1:6" ht="12.75">
      <c r="A502" s="49"/>
      <c r="B502" s="45"/>
      <c r="C502" s="49"/>
      <c r="D502" s="25"/>
      <c r="E502" s="25"/>
      <c r="F502" s="15"/>
    </row>
    <row r="503" spans="1:6" ht="12.75">
      <c r="A503" s="49"/>
      <c r="B503" s="45"/>
      <c r="C503" s="49"/>
      <c r="D503" s="25"/>
      <c r="E503" s="25"/>
      <c r="F503" s="15"/>
    </row>
    <row r="504" spans="1:6" ht="12.75">
      <c r="A504" s="49"/>
      <c r="B504" s="45"/>
      <c r="C504" s="49"/>
      <c r="D504" s="25"/>
      <c r="E504" s="25"/>
      <c r="F504" s="15"/>
    </row>
    <row r="505" spans="1:6" ht="12.75">
      <c r="A505" s="49"/>
      <c r="B505" s="45"/>
      <c r="C505" s="49"/>
      <c r="D505" s="25"/>
      <c r="E505" s="25"/>
      <c r="F505" s="15"/>
    </row>
    <row r="506" spans="1:6" ht="12.75">
      <c r="A506" s="49"/>
      <c r="B506" s="45"/>
      <c r="C506" s="49"/>
      <c r="D506" s="25"/>
      <c r="E506" s="25"/>
      <c r="F506" s="15"/>
    </row>
    <row r="507" spans="1:6" ht="12.75">
      <c r="A507" s="49"/>
      <c r="B507" s="45"/>
      <c r="C507" s="49"/>
      <c r="D507" s="25"/>
      <c r="E507" s="25"/>
      <c r="F507" s="15"/>
    </row>
    <row r="508" spans="1:6" ht="12.75">
      <c r="A508" s="49"/>
      <c r="B508" s="45"/>
      <c r="C508" s="49"/>
      <c r="D508" s="25"/>
      <c r="E508" s="25"/>
      <c r="F508" s="15"/>
    </row>
    <row r="509" spans="1:6" ht="12.75">
      <c r="A509" s="49"/>
      <c r="B509" s="45"/>
      <c r="C509" s="49"/>
      <c r="D509" s="25"/>
      <c r="E509" s="25"/>
      <c r="F509" s="15"/>
    </row>
    <row r="510" spans="1:6" ht="12.75">
      <c r="A510" s="49"/>
      <c r="B510" s="45"/>
      <c r="C510" s="49"/>
      <c r="D510" s="25"/>
      <c r="E510" s="25"/>
      <c r="F510" s="15"/>
    </row>
    <row r="511" spans="1:6" ht="12.75">
      <c r="A511" s="49"/>
      <c r="B511" s="45"/>
      <c r="C511" s="49"/>
      <c r="D511" s="25"/>
      <c r="E511" s="25"/>
      <c r="F511" s="15"/>
    </row>
    <row r="512" spans="1:6" ht="12.75">
      <c r="A512" s="49"/>
      <c r="B512" s="45"/>
      <c r="C512" s="49"/>
      <c r="D512" s="25"/>
      <c r="E512" s="25"/>
      <c r="F512" s="15"/>
    </row>
    <row r="513" spans="1:6" ht="12.75">
      <c r="A513" s="49"/>
      <c r="B513" s="45"/>
      <c r="C513" s="49"/>
      <c r="D513" s="25"/>
      <c r="E513" s="25"/>
      <c r="F513" s="15"/>
    </row>
    <row r="514" spans="1:6" ht="12.75">
      <c r="A514" s="49"/>
      <c r="B514" s="45"/>
      <c r="C514" s="49"/>
      <c r="D514" s="25"/>
      <c r="E514" s="25"/>
      <c r="F514" s="15"/>
    </row>
    <row r="515" spans="1:6" ht="12.75">
      <c r="A515" s="49"/>
      <c r="B515" s="45"/>
      <c r="C515" s="49"/>
      <c r="D515" s="25"/>
      <c r="E515" s="25"/>
      <c r="F515" s="15"/>
    </row>
    <row r="516" spans="1:6" ht="12.75">
      <c r="A516" s="49"/>
      <c r="B516" s="45"/>
      <c r="C516" s="49"/>
      <c r="D516" s="25"/>
      <c r="E516" s="25"/>
      <c r="F516" s="15"/>
    </row>
    <row r="517" spans="1:6" ht="12.75">
      <c r="A517" s="49"/>
      <c r="B517" s="45"/>
      <c r="C517" s="49"/>
      <c r="D517" s="25"/>
      <c r="E517" s="25"/>
      <c r="F517" s="15"/>
    </row>
    <row r="518" spans="1:6" ht="12.75">
      <c r="A518" s="49"/>
      <c r="B518" s="45"/>
      <c r="C518" s="49"/>
      <c r="D518" s="25"/>
      <c r="E518" s="25"/>
      <c r="F518" s="15"/>
    </row>
    <row r="519" spans="1:6" ht="12.75">
      <c r="A519" s="49"/>
      <c r="B519" s="45"/>
      <c r="C519" s="49"/>
      <c r="D519" s="25"/>
      <c r="E519" s="25"/>
      <c r="F519" s="15"/>
    </row>
    <row r="520" spans="1:6" ht="12.75">
      <c r="A520" s="49"/>
      <c r="B520" s="45"/>
      <c r="C520" s="49"/>
      <c r="D520" s="25"/>
      <c r="E520" s="25"/>
      <c r="F520" s="15"/>
    </row>
    <row r="521" spans="1:6" ht="12.75">
      <c r="A521" s="49"/>
      <c r="B521" s="45"/>
      <c r="C521" s="49"/>
      <c r="D521" s="25"/>
      <c r="E521" s="25"/>
      <c r="F521" s="15"/>
    </row>
    <row r="522" spans="1:6" ht="12.75">
      <c r="A522" s="49"/>
      <c r="B522" s="45"/>
      <c r="C522" s="49"/>
      <c r="D522" s="25"/>
      <c r="E522" s="25"/>
      <c r="F522" s="15"/>
    </row>
    <row r="523" spans="1:6" ht="12.75">
      <c r="A523" s="49"/>
      <c r="B523" s="45"/>
      <c r="C523" s="49"/>
      <c r="D523" s="25"/>
      <c r="E523" s="25"/>
      <c r="F523" s="15"/>
    </row>
    <row r="524" spans="1:6" ht="12.75">
      <c r="A524" s="49"/>
      <c r="B524" s="45"/>
      <c r="C524" s="49"/>
      <c r="D524" s="25"/>
      <c r="E524" s="25"/>
      <c r="F524" s="15"/>
    </row>
    <row r="525" spans="1:6" ht="12.75">
      <c r="A525" s="49"/>
      <c r="B525" s="45"/>
      <c r="C525" s="49"/>
      <c r="D525" s="25"/>
      <c r="E525" s="25"/>
      <c r="F525" s="15"/>
    </row>
    <row r="526" spans="1:6" ht="12.75">
      <c r="A526" s="49"/>
      <c r="B526" s="45"/>
      <c r="C526" s="49"/>
      <c r="D526" s="25"/>
      <c r="E526" s="25"/>
      <c r="F526" s="15"/>
    </row>
    <row r="527" spans="1:6" ht="12.75">
      <c r="A527" s="49"/>
      <c r="B527" s="45"/>
      <c r="C527" s="49"/>
      <c r="D527" s="25"/>
      <c r="E527" s="25"/>
      <c r="F527" s="15"/>
    </row>
    <row r="528" spans="1:6" ht="12.75">
      <c r="A528" s="49"/>
      <c r="B528" s="45"/>
      <c r="C528" s="49"/>
      <c r="D528" s="25"/>
      <c r="E528" s="25"/>
      <c r="F528" s="15"/>
    </row>
    <row r="529" spans="1:6" ht="12.75">
      <c r="A529" s="49"/>
      <c r="B529" s="45"/>
      <c r="C529" s="49"/>
      <c r="D529" s="25"/>
      <c r="E529" s="25"/>
      <c r="F529" s="15"/>
    </row>
    <row r="530" spans="1:6" ht="12.75">
      <c r="A530" s="49"/>
      <c r="B530" s="45"/>
      <c r="C530" s="49"/>
      <c r="D530" s="25"/>
      <c r="E530" s="25"/>
      <c r="F530" s="15"/>
    </row>
    <row r="531" spans="1:6" ht="12.75">
      <c r="A531" s="49"/>
      <c r="B531" s="45"/>
      <c r="C531" s="49"/>
      <c r="D531" s="25"/>
      <c r="E531" s="25"/>
      <c r="F531" s="15"/>
    </row>
    <row r="532" spans="1:6" ht="12.75">
      <c r="A532" s="49"/>
      <c r="B532" s="45"/>
      <c r="C532" s="49"/>
      <c r="D532" s="25"/>
      <c r="E532" s="25"/>
      <c r="F532" s="15"/>
    </row>
    <row r="533" spans="1:6" ht="12.75">
      <c r="A533" s="49"/>
      <c r="B533" s="45"/>
      <c r="C533" s="49"/>
      <c r="D533" s="25"/>
      <c r="E533" s="25"/>
      <c r="F533" s="15"/>
    </row>
    <row r="534" spans="1:6" ht="12.75">
      <c r="A534" s="49"/>
      <c r="B534" s="45"/>
      <c r="C534" s="49"/>
      <c r="D534" s="25"/>
      <c r="E534" s="25"/>
      <c r="F534" s="15"/>
    </row>
    <row r="535" spans="1:6" ht="12.75">
      <c r="A535" s="49"/>
      <c r="B535" s="45"/>
      <c r="C535" s="49"/>
      <c r="D535" s="25"/>
      <c r="E535" s="25"/>
      <c r="F535" s="15"/>
    </row>
    <row r="536" spans="1:6" ht="12.75">
      <c r="A536" s="49"/>
      <c r="B536" s="45"/>
      <c r="C536" s="49"/>
      <c r="D536" s="25"/>
      <c r="E536" s="25"/>
      <c r="F536" s="15"/>
    </row>
    <row r="537" spans="1:6" ht="12.75">
      <c r="A537" s="49"/>
      <c r="B537" s="45"/>
      <c r="C537" s="49"/>
      <c r="D537" s="25"/>
      <c r="E537" s="25"/>
      <c r="F537" s="15"/>
    </row>
    <row r="538" spans="1:6" ht="12.75">
      <c r="A538" s="49"/>
      <c r="B538" s="45"/>
      <c r="C538" s="49"/>
      <c r="D538" s="25"/>
      <c r="E538" s="25"/>
      <c r="F538" s="15"/>
    </row>
    <row r="539" spans="1:6" ht="12.75">
      <c r="A539" s="49"/>
      <c r="B539" s="45"/>
      <c r="C539" s="49"/>
      <c r="D539" s="25"/>
      <c r="E539" s="25"/>
      <c r="F539" s="15"/>
    </row>
    <row r="540" spans="1:6" ht="12.75">
      <c r="A540" s="49"/>
      <c r="B540" s="45"/>
      <c r="C540" s="49"/>
      <c r="D540" s="25"/>
      <c r="E540" s="25"/>
      <c r="F540" s="15"/>
    </row>
    <row r="541" spans="1:6" ht="12.75">
      <c r="A541" s="49"/>
      <c r="B541" s="45"/>
      <c r="C541" s="49"/>
      <c r="D541" s="25"/>
      <c r="E541" s="25"/>
      <c r="F541" s="15"/>
    </row>
    <row r="542" spans="1:6" ht="12.75">
      <c r="A542" s="49"/>
      <c r="B542" s="45"/>
      <c r="C542" s="49"/>
      <c r="D542" s="25"/>
      <c r="E542" s="25"/>
      <c r="F542" s="15"/>
    </row>
    <row r="543" spans="1:6" ht="12.75">
      <c r="A543" s="49"/>
      <c r="B543" s="45"/>
      <c r="C543" s="49"/>
      <c r="D543" s="25"/>
      <c r="E543" s="25"/>
      <c r="F543" s="15"/>
    </row>
    <row r="544" spans="1:6" ht="12.75">
      <c r="A544" s="49"/>
      <c r="B544" s="45"/>
      <c r="C544" s="49"/>
      <c r="D544" s="25"/>
      <c r="E544" s="25"/>
      <c r="F544" s="15"/>
    </row>
    <row r="545" spans="1:6" ht="12.75">
      <c r="A545" s="49"/>
      <c r="B545" s="45"/>
      <c r="C545" s="49"/>
      <c r="D545" s="25"/>
      <c r="E545" s="25"/>
      <c r="F545" s="15"/>
    </row>
    <row r="546" spans="1:6" ht="12.75">
      <c r="A546" s="49"/>
      <c r="B546" s="45"/>
      <c r="C546" s="49"/>
      <c r="D546" s="25"/>
      <c r="E546" s="25"/>
      <c r="F546" s="15"/>
    </row>
    <row r="547" spans="1:6" ht="12.75">
      <c r="A547" s="49"/>
      <c r="B547" s="45"/>
      <c r="C547" s="49"/>
      <c r="D547" s="25"/>
      <c r="E547" s="25"/>
      <c r="F547" s="15"/>
    </row>
    <row r="548" spans="1:6" ht="12.75">
      <c r="A548" s="49"/>
      <c r="B548" s="45"/>
      <c r="C548" s="49"/>
      <c r="D548" s="25"/>
      <c r="E548" s="25"/>
      <c r="F548" s="15"/>
    </row>
    <row r="549" spans="1:6" ht="12.75">
      <c r="A549" s="49"/>
      <c r="B549" s="45"/>
      <c r="C549" s="49"/>
      <c r="D549" s="25"/>
      <c r="E549" s="25"/>
      <c r="F549" s="15"/>
    </row>
    <row r="550" spans="1:6" ht="12.75">
      <c r="A550" s="49"/>
      <c r="B550" s="45"/>
      <c r="C550" s="49"/>
      <c r="D550" s="25"/>
      <c r="E550" s="25"/>
      <c r="F550" s="15"/>
    </row>
    <row r="551" spans="1:6" ht="12.75">
      <c r="A551" s="49"/>
      <c r="B551" s="45"/>
      <c r="C551" s="49"/>
      <c r="D551" s="25"/>
      <c r="E551" s="25"/>
      <c r="F551" s="15"/>
    </row>
    <row r="552" spans="1:6" ht="12.75">
      <c r="A552" s="49"/>
      <c r="B552" s="45"/>
      <c r="C552" s="49"/>
      <c r="D552" s="25"/>
      <c r="E552" s="25"/>
      <c r="F552" s="15"/>
    </row>
    <row r="553" spans="1:6" ht="12.75">
      <c r="A553" s="49"/>
      <c r="B553" s="45"/>
      <c r="C553" s="49"/>
      <c r="D553" s="25"/>
      <c r="E553" s="25"/>
      <c r="F553" s="15"/>
    </row>
    <row r="554" spans="1:6" ht="12.75">
      <c r="A554" s="49"/>
      <c r="B554" s="45"/>
      <c r="C554" s="49"/>
      <c r="D554" s="25"/>
      <c r="E554" s="25"/>
      <c r="F554" s="15"/>
    </row>
    <row r="555" spans="1:6" ht="12.75">
      <c r="A555" s="49"/>
      <c r="B555" s="45"/>
      <c r="C555" s="49"/>
      <c r="D555" s="25"/>
      <c r="E555" s="25"/>
      <c r="F555" s="15"/>
    </row>
    <row r="556" spans="1:6" ht="12.75">
      <c r="A556" s="49"/>
      <c r="B556" s="45"/>
      <c r="C556" s="49"/>
      <c r="D556" s="25"/>
      <c r="E556" s="25"/>
      <c r="F556" s="15"/>
    </row>
    <row r="557" spans="1:6" ht="12.75">
      <c r="A557" s="49"/>
      <c r="B557" s="45"/>
      <c r="C557" s="49"/>
      <c r="D557" s="25"/>
      <c r="E557" s="25"/>
      <c r="F557" s="15"/>
    </row>
    <row r="558" spans="1:6" ht="12.75">
      <c r="A558" s="49"/>
      <c r="B558" s="45"/>
      <c r="C558" s="49"/>
      <c r="D558" s="25"/>
      <c r="E558" s="25"/>
      <c r="F558" s="15"/>
    </row>
    <row r="559" spans="1:6" ht="12.75">
      <c r="A559" s="49"/>
      <c r="B559" s="45"/>
      <c r="C559" s="49"/>
      <c r="D559" s="25"/>
      <c r="E559" s="25"/>
      <c r="F559" s="15"/>
    </row>
    <row r="560" spans="1:6" ht="12.75">
      <c r="A560" s="49"/>
      <c r="B560" s="45"/>
      <c r="C560" s="49"/>
      <c r="D560" s="25"/>
      <c r="E560" s="25"/>
      <c r="F560" s="15"/>
    </row>
    <row r="561" spans="1:6" ht="12.75">
      <c r="A561" s="49"/>
      <c r="B561" s="45"/>
      <c r="C561" s="49"/>
      <c r="D561" s="25"/>
      <c r="E561" s="25"/>
      <c r="F561" s="15"/>
    </row>
    <row r="562" spans="1:6" ht="12.75">
      <c r="A562" s="49"/>
      <c r="B562" s="45"/>
      <c r="C562" s="49"/>
      <c r="D562" s="25"/>
      <c r="E562" s="25"/>
      <c r="F562" s="15"/>
    </row>
    <row r="563" spans="1:6" ht="12.75">
      <c r="A563" s="49"/>
      <c r="B563" s="45"/>
      <c r="C563" s="49"/>
      <c r="D563" s="25"/>
      <c r="E563" s="25"/>
      <c r="F563" s="15"/>
    </row>
    <row r="564" spans="1:6" ht="12.75">
      <c r="A564" s="49"/>
      <c r="B564" s="45"/>
      <c r="C564" s="49"/>
      <c r="D564" s="25"/>
      <c r="E564" s="25"/>
      <c r="F564" s="15"/>
    </row>
    <row r="565" spans="1:6" ht="12.75">
      <c r="A565" s="49"/>
      <c r="B565" s="45"/>
      <c r="C565" s="49"/>
      <c r="D565" s="25"/>
      <c r="E565" s="25"/>
      <c r="F565" s="15"/>
    </row>
    <row r="566" spans="1:6" ht="12.75">
      <c r="A566" s="49"/>
      <c r="B566" s="45"/>
      <c r="C566" s="49"/>
      <c r="D566" s="25"/>
      <c r="E566" s="25"/>
      <c r="F566" s="15"/>
    </row>
    <row r="567" spans="1:6" ht="12.75">
      <c r="A567" s="49"/>
      <c r="B567" s="45"/>
      <c r="C567" s="49"/>
      <c r="D567" s="25"/>
      <c r="E567" s="25"/>
      <c r="F567" s="15"/>
    </row>
    <row r="568" spans="1:6" ht="12.75">
      <c r="A568" s="49"/>
      <c r="B568" s="45"/>
      <c r="C568" s="49"/>
      <c r="D568" s="25"/>
      <c r="E568" s="25"/>
      <c r="F568" s="15"/>
    </row>
    <row r="569" spans="1:6" ht="12.75">
      <c r="A569" s="49"/>
      <c r="B569" s="45"/>
      <c r="C569" s="49"/>
      <c r="D569" s="25"/>
      <c r="E569" s="25"/>
      <c r="F569" s="15"/>
    </row>
    <row r="570" spans="1:6" ht="12.75">
      <c r="A570" s="49"/>
      <c r="B570" s="45"/>
      <c r="C570" s="49"/>
      <c r="D570" s="25"/>
      <c r="E570" s="25"/>
      <c r="F570" s="15"/>
    </row>
    <row r="571" spans="1:6" ht="12.75">
      <c r="A571" s="49"/>
      <c r="B571" s="45"/>
      <c r="C571" s="49"/>
      <c r="D571" s="25"/>
      <c r="E571" s="25"/>
      <c r="F571" s="15"/>
    </row>
    <row r="572" spans="1:6" ht="12.75">
      <c r="A572" s="49"/>
      <c r="B572" s="45"/>
      <c r="C572" s="49"/>
      <c r="D572" s="25"/>
      <c r="E572" s="25"/>
      <c r="F572" s="15"/>
    </row>
    <row r="573" spans="1:6" ht="12.75">
      <c r="A573" s="49"/>
      <c r="B573" s="45"/>
      <c r="C573" s="49"/>
      <c r="D573" s="25"/>
      <c r="E573" s="25"/>
      <c r="F573" s="15"/>
    </row>
    <row r="574" spans="1:6" ht="12.75">
      <c r="A574" s="49"/>
      <c r="B574" s="45"/>
      <c r="C574" s="49"/>
      <c r="D574" s="25"/>
      <c r="E574" s="25"/>
      <c r="F574" s="15"/>
    </row>
    <row r="575" spans="1:6" ht="12.75">
      <c r="A575" s="49"/>
      <c r="B575" s="45"/>
      <c r="C575" s="49"/>
      <c r="D575" s="25"/>
      <c r="E575" s="25"/>
      <c r="F575" s="15"/>
    </row>
    <row r="576" spans="1:6" ht="12.75">
      <c r="A576" s="49"/>
      <c r="B576" s="45"/>
      <c r="C576" s="49"/>
      <c r="D576" s="25"/>
      <c r="E576" s="25"/>
      <c r="F576" s="15"/>
    </row>
    <row r="577" spans="1:6" ht="12.75">
      <c r="A577" s="49"/>
      <c r="B577" s="45"/>
      <c r="C577" s="49"/>
      <c r="D577" s="25"/>
      <c r="E577" s="25"/>
      <c r="F577" s="15"/>
    </row>
    <row r="578" spans="1:6" ht="12.75">
      <c r="A578" s="49"/>
      <c r="B578" s="45"/>
      <c r="C578" s="49"/>
      <c r="D578" s="25"/>
      <c r="E578" s="25"/>
      <c r="F578" s="15"/>
    </row>
    <row r="579" spans="1:6" ht="12.75">
      <c r="A579" s="49"/>
      <c r="B579" s="45"/>
      <c r="C579" s="49"/>
      <c r="D579" s="25"/>
      <c r="E579" s="25"/>
      <c r="F579" s="15"/>
    </row>
    <row r="580" spans="1:6" ht="12.75">
      <c r="A580" s="49"/>
      <c r="B580" s="45"/>
      <c r="C580" s="49"/>
      <c r="D580" s="25"/>
      <c r="E580" s="25"/>
      <c r="F580" s="15"/>
    </row>
    <row r="581" spans="1:6" ht="12.75">
      <c r="A581" s="49"/>
      <c r="B581" s="45"/>
      <c r="C581" s="49"/>
      <c r="D581" s="25"/>
      <c r="E581" s="25"/>
      <c r="F581" s="15"/>
    </row>
    <row r="582" spans="1:6" ht="12.75">
      <c r="A582" s="49"/>
      <c r="B582" s="45"/>
      <c r="C582" s="49"/>
      <c r="D582" s="25"/>
      <c r="E582" s="25"/>
      <c r="F582" s="15"/>
    </row>
    <row r="583" spans="1:6" ht="12.75">
      <c r="A583" s="49"/>
      <c r="B583" s="45"/>
      <c r="C583" s="49"/>
      <c r="D583" s="25"/>
      <c r="E583" s="25"/>
      <c r="F583" s="15"/>
    </row>
    <row r="584" spans="1:6" ht="12.75">
      <c r="A584" s="49"/>
      <c r="B584" s="45"/>
      <c r="C584" s="49"/>
      <c r="D584" s="25"/>
      <c r="E584" s="25"/>
      <c r="F584" s="15"/>
    </row>
    <row r="585" spans="1:6" ht="12.75">
      <c r="A585" s="49"/>
      <c r="B585" s="45"/>
      <c r="C585" s="49"/>
      <c r="D585" s="25"/>
      <c r="E585" s="25"/>
      <c r="F585" s="15"/>
    </row>
    <row r="586" spans="1:6" ht="12.75">
      <c r="A586" s="49"/>
      <c r="B586" s="45"/>
      <c r="C586" s="49"/>
      <c r="D586" s="25"/>
      <c r="E586" s="25"/>
      <c r="F586" s="15"/>
    </row>
    <row r="587" spans="1:6" ht="12.75">
      <c r="A587" s="49"/>
      <c r="B587" s="45"/>
      <c r="C587" s="49"/>
      <c r="D587" s="25"/>
      <c r="E587" s="25"/>
      <c r="F587" s="15"/>
    </row>
    <row r="588" spans="1:6" ht="12.75">
      <c r="A588" s="49"/>
      <c r="B588" s="45"/>
      <c r="C588" s="49"/>
      <c r="D588" s="25"/>
      <c r="E588" s="25"/>
      <c r="F588" s="15"/>
    </row>
    <row r="589" spans="1:6" ht="12.75">
      <c r="A589" s="49"/>
      <c r="B589" s="45"/>
      <c r="C589" s="49"/>
      <c r="D589" s="25"/>
      <c r="E589" s="25"/>
      <c r="F589" s="15"/>
    </row>
    <row r="590" spans="1:6" ht="12.75">
      <c r="A590" s="49"/>
      <c r="B590" s="45"/>
      <c r="C590" s="49"/>
      <c r="D590" s="25"/>
      <c r="E590" s="25"/>
      <c r="F590" s="15"/>
    </row>
    <row r="591" spans="1:6" ht="12.75">
      <c r="A591" s="49"/>
      <c r="B591" s="45"/>
      <c r="C591" s="49"/>
      <c r="D591" s="25"/>
      <c r="E591" s="25"/>
      <c r="F591" s="15"/>
    </row>
    <row r="592" spans="1:6" ht="12.75">
      <c r="A592" s="49"/>
      <c r="B592" s="45"/>
      <c r="C592" s="49"/>
      <c r="D592" s="25"/>
      <c r="E592" s="25"/>
      <c r="F592" s="15"/>
    </row>
    <row r="593" spans="1:6" ht="12.75">
      <c r="A593" s="49"/>
      <c r="B593" s="45"/>
      <c r="C593" s="49"/>
      <c r="D593" s="25"/>
      <c r="E593" s="25"/>
      <c r="F593" s="15"/>
    </row>
    <row r="594" spans="1:6" ht="12.75">
      <c r="A594" s="49"/>
      <c r="B594" s="45"/>
      <c r="C594" s="49"/>
      <c r="D594" s="25"/>
      <c r="E594" s="25"/>
      <c r="F594" s="15"/>
    </row>
    <row r="595" spans="1:6" ht="12.75">
      <c r="A595" s="49"/>
      <c r="B595" s="45"/>
      <c r="C595" s="49"/>
      <c r="D595" s="25"/>
      <c r="E595" s="25"/>
      <c r="F595" s="15"/>
    </row>
    <row r="596" spans="1:6" ht="12.75">
      <c r="A596" s="49"/>
      <c r="B596" s="45"/>
      <c r="C596" s="49"/>
      <c r="D596" s="25"/>
      <c r="E596" s="25"/>
      <c r="F596" s="15"/>
    </row>
    <row r="597" spans="1:6" ht="12.75">
      <c r="A597" s="49"/>
      <c r="B597" s="45"/>
      <c r="C597" s="49"/>
      <c r="D597" s="25"/>
      <c r="E597" s="25"/>
      <c r="F597" s="15"/>
    </row>
    <row r="598" spans="1:6" ht="12.75">
      <c r="A598" s="49"/>
      <c r="B598" s="45"/>
      <c r="C598" s="49"/>
      <c r="D598" s="25"/>
      <c r="E598" s="25"/>
      <c r="F598" s="15"/>
    </row>
    <row r="599" spans="1:6" ht="12.75">
      <c r="A599" s="49"/>
      <c r="B599" s="45"/>
      <c r="C599" s="49"/>
      <c r="D599" s="25"/>
      <c r="E599" s="25"/>
      <c r="F599" s="15"/>
    </row>
    <row r="600" spans="1:6" ht="12.75">
      <c r="A600" s="49"/>
      <c r="B600" s="45"/>
      <c r="C600" s="49"/>
      <c r="D600" s="25"/>
      <c r="E600" s="25"/>
      <c r="F600" s="15"/>
    </row>
    <row r="601" spans="1:6" ht="12.75">
      <c r="A601" s="49"/>
      <c r="B601" s="45"/>
      <c r="C601" s="49"/>
      <c r="D601" s="25"/>
      <c r="E601" s="25"/>
      <c r="F601" s="15"/>
    </row>
    <row r="602" spans="1:6" ht="12.75">
      <c r="A602" s="49"/>
      <c r="B602" s="45"/>
      <c r="C602" s="49"/>
      <c r="D602" s="25"/>
      <c r="E602" s="25"/>
      <c r="F602" s="15"/>
    </row>
    <row r="603" spans="1:6" ht="12.75">
      <c r="A603" s="49"/>
      <c r="B603" s="45"/>
      <c r="C603" s="49"/>
      <c r="D603" s="25"/>
      <c r="E603" s="25"/>
      <c r="F603" s="15"/>
    </row>
    <row r="604" spans="1:6" ht="12.75">
      <c r="A604" s="49"/>
      <c r="B604" s="45"/>
      <c r="C604" s="49"/>
      <c r="D604" s="25"/>
      <c r="E604" s="25"/>
      <c r="F604" s="15"/>
    </row>
    <row r="605" spans="1:6" ht="12.75">
      <c r="A605" s="49"/>
      <c r="B605" s="45"/>
      <c r="C605" s="49"/>
      <c r="D605" s="25"/>
      <c r="E605" s="25"/>
      <c r="F605" s="15"/>
    </row>
    <row r="606" spans="1:6" ht="12.75">
      <c r="A606" s="49"/>
      <c r="B606" s="45"/>
      <c r="C606" s="49"/>
      <c r="D606" s="25"/>
      <c r="E606" s="25"/>
      <c r="F606" s="15"/>
    </row>
    <row r="607" spans="1:6" ht="12.75">
      <c r="A607" s="49"/>
      <c r="B607" s="45"/>
      <c r="C607" s="49"/>
      <c r="D607" s="25"/>
      <c r="E607" s="25"/>
      <c r="F607" s="15"/>
    </row>
    <row r="608" spans="1:6" ht="12.75">
      <c r="A608" s="49"/>
      <c r="B608" s="45"/>
      <c r="C608" s="49"/>
      <c r="D608" s="25"/>
      <c r="E608" s="25"/>
      <c r="F608" s="15"/>
    </row>
    <row r="609" spans="1:6" ht="12.75">
      <c r="A609" s="49"/>
      <c r="B609" s="45"/>
      <c r="C609" s="49"/>
      <c r="D609" s="25"/>
      <c r="E609" s="25"/>
      <c r="F609" s="15"/>
    </row>
    <row r="610" spans="1:6" ht="12.75">
      <c r="A610" s="49"/>
      <c r="B610" s="45"/>
      <c r="C610" s="49"/>
      <c r="D610" s="25"/>
      <c r="E610" s="25"/>
      <c r="F610" s="15"/>
    </row>
    <row r="611" spans="1:6" ht="12.75">
      <c r="A611" s="49"/>
      <c r="B611" s="45"/>
      <c r="C611" s="49"/>
      <c r="D611" s="25"/>
      <c r="E611" s="25"/>
      <c r="F611" s="15"/>
    </row>
    <row r="612" spans="1:6" ht="12.75">
      <c r="A612" s="49"/>
      <c r="B612" s="45"/>
      <c r="C612" s="49"/>
      <c r="D612" s="25"/>
      <c r="E612" s="25"/>
      <c r="F612" s="15"/>
    </row>
    <row r="613" spans="1:6" ht="12.75">
      <c r="A613" s="49"/>
      <c r="B613" s="45"/>
      <c r="C613" s="49"/>
      <c r="D613" s="25"/>
      <c r="E613" s="25"/>
      <c r="F613" s="15"/>
    </row>
    <row r="614" spans="1:6" ht="12.75">
      <c r="A614" s="49"/>
      <c r="B614" s="45"/>
      <c r="C614" s="49"/>
      <c r="D614" s="25"/>
      <c r="E614" s="25"/>
      <c r="F614" s="15"/>
    </row>
    <row r="615" spans="1:6" ht="12.75">
      <c r="A615" s="49"/>
      <c r="B615" s="45"/>
      <c r="C615" s="49"/>
      <c r="D615" s="25"/>
      <c r="E615" s="25"/>
      <c r="F615" s="15"/>
    </row>
    <row r="616" spans="1:6" ht="12.75">
      <c r="A616" s="49"/>
      <c r="B616" s="45"/>
      <c r="C616" s="49"/>
      <c r="D616" s="25"/>
      <c r="E616" s="25"/>
      <c r="F616" s="15"/>
    </row>
    <row r="617" spans="1:6" ht="12.75">
      <c r="A617" s="49"/>
      <c r="B617" s="45"/>
      <c r="C617" s="49"/>
      <c r="D617" s="25"/>
      <c r="E617" s="25"/>
      <c r="F617" s="15"/>
    </row>
    <row r="618" spans="1:6" ht="12.75">
      <c r="A618" s="49"/>
      <c r="B618" s="45"/>
      <c r="C618" s="49"/>
      <c r="D618" s="25"/>
      <c r="E618" s="25"/>
      <c r="F618" s="15"/>
    </row>
    <row r="619" spans="1:6" ht="12.75">
      <c r="A619" s="49"/>
      <c r="B619" s="45"/>
      <c r="C619" s="49"/>
      <c r="D619" s="25"/>
      <c r="E619" s="25"/>
      <c r="F619" s="15"/>
    </row>
    <row r="620" spans="1:6" ht="12.75">
      <c r="A620" s="49"/>
      <c r="B620" s="45"/>
      <c r="C620" s="49"/>
      <c r="D620" s="25"/>
      <c r="E620" s="25"/>
      <c r="F620" s="15"/>
    </row>
    <row r="621" spans="1:6" ht="12.75">
      <c r="A621" s="49"/>
      <c r="B621" s="45"/>
      <c r="C621" s="49"/>
      <c r="D621" s="25"/>
      <c r="E621" s="25"/>
      <c r="F621" s="15"/>
    </row>
    <row r="622" spans="1:6" ht="12.75">
      <c r="A622" s="49"/>
      <c r="B622" s="45"/>
      <c r="C622" s="49"/>
      <c r="D622" s="25"/>
      <c r="E622" s="25"/>
      <c r="F622" s="15"/>
    </row>
    <row r="623" spans="1:6" ht="12.75">
      <c r="A623" s="49"/>
      <c r="B623" s="45"/>
      <c r="C623" s="49"/>
      <c r="D623" s="25"/>
      <c r="E623" s="25"/>
      <c r="F623" s="15"/>
    </row>
    <row r="624" spans="1:6" ht="12.75">
      <c r="A624" s="49"/>
      <c r="B624" s="45"/>
      <c r="C624" s="49"/>
      <c r="D624" s="25"/>
      <c r="E624" s="25"/>
      <c r="F624" s="15"/>
    </row>
    <row r="625" spans="1:6" ht="12.75">
      <c r="A625" s="49"/>
      <c r="B625" s="45"/>
      <c r="C625" s="49"/>
      <c r="D625" s="25"/>
      <c r="E625" s="25"/>
      <c r="F625" s="15"/>
    </row>
    <row r="626" spans="1:6" ht="12.75">
      <c r="A626" s="49"/>
      <c r="B626" s="45"/>
      <c r="C626" s="49"/>
      <c r="D626" s="25"/>
      <c r="E626" s="25"/>
      <c r="F626" s="15"/>
    </row>
    <row r="627" spans="1:6" ht="12.75">
      <c r="A627" s="49"/>
      <c r="B627" s="45"/>
      <c r="C627" s="49"/>
      <c r="D627" s="25"/>
      <c r="E627" s="25"/>
      <c r="F627" s="15"/>
    </row>
    <row r="628" spans="1:6" ht="12.75">
      <c r="A628" s="49"/>
      <c r="B628" s="45"/>
      <c r="C628" s="49"/>
      <c r="D628" s="25"/>
      <c r="E628" s="25"/>
      <c r="F628" s="15"/>
    </row>
    <row r="629" spans="1:6" ht="12.75">
      <c r="A629" s="49"/>
      <c r="B629" s="45"/>
      <c r="C629" s="49"/>
      <c r="D629" s="25"/>
      <c r="E629" s="25"/>
      <c r="F629" s="15"/>
    </row>
    <row r="630" spans="1:6" ht="12.75">
      <c r="A630" s="49"/>
      <c r="B630" s="45"/>
      <c r="C630" s="49"/>
      <c r="D630" s="25"/>
      <c r="E630" s="25"/>
      <c r="F630" s="15"/>
    </row>
    <row r="631" spans="1:6" ht="12.75">
      <c r="A631" s="49"/>
      <c r="B631" s="45"/>
      <c r="C631" s="49"/>
      <c r="D631" s="25"/>
      <c r="E631" s="25"/>
      <c r="F631" s="15"/>
    </row>
    <row r="632" spans="1:6" ht="12.75">
      <c r="A632" s="49"/>
      <c r="B632" s="45"/>
      <c r="C632" s="49"/>
      <c r="D632" s="25"/>
      <c r="E632" s="25"/>
      <c r="F632" s="15"/>
    </row>
    <row r="633" spans="1:6" ht="12.75">
      <c r="A633" s="49"/>
      <c r="B633" s="45"/>
      <c r="C633" s="49"/>
      <c r="D633" s="25"/>
      <c r="E633" s="25"/>
      <c r="F633" s="15"/>
    </row>
    <row r="634" spans="1:6" ht="12.75">
      <c r="A634" s="49"/>
      <c r="B634" s="45"/>
      <c r="C634" s="49"/>
      <c r="D634" s="25"/>
      <c r="E634" s="25"/>
      <c r="F634" s="15"/>
    </row>
    <row r="635" spans="1:6" ht="12.75">
      <c r="A635" s="49"/>
      <c r="B635" s="45"/>
      <c r="C635" s="49"/>
      <c r="D635" s="25"/>
      <c r="E635" s="25"/>
      <c r="F635" s="15"/>
    </row>
    <row r="636" spans="1:6" ht="12.75">
      <c r="A636" s="49"/>
      <c r="B636" s="45"/>
      <c r="C636" s="49"/>
      <c r="D636" s="25"/>
      <c r="E636" s="25"/>
      <c r="F636" s="15"/>
    </row>
    <row r="637" spans="1:6" ht="12.75">
      <c r="A637" s="49"/>
      <c r="B637" s="45"/>
      <c r="C637" s="49"/>
      <c r="D637" s="25"/>
      <c r="E637" s="25"/>
      <c r="F637" s="15"/>
    </row>
    <row r="638" spans="1:6" ht="12.75">
      <c r="A638" s="49"/>
      <c r="B638" s="45"/>
      <c r="C638" s="49"/>
      <c r="D638" s="25"/>
      <c r="E638" s="25"/>
      <c r="F638" s="15"/>
    </row>
    <row r="639" spans="1:6" ht="12.75">
      <c r="A639" s="49"/>
      <c r="B639" s="45"/>
      <c r="C639" s="49"/>
      <c r="D639" s="25"/>
      <c r="E639" s="25"/>
      <c r="F639" s="15"/>
    </row>
    <row r="640" spans="1:6" ht="12.75">
      <c r="A640" s="49"/>
      <c r="B640" s="45"/>
      <c r="C640" s="49"/>
      <c r="D640" s="25"/>
      <c r="E640" s="25"/>
      <c r="F640" s="15"/>
    </row>
    <row r="641" spans="1:6" ht="12.75">
      <c r="A641" s="49"/>
      <c r="B641" s="45"/>
      <c r="C641" s="49"/>
      <c r="D641" s="25"/>
      <c r="E641" s="25"/>
      <c r="F641" s="15"/>
    </row>
    <row r="642" spans="1:6" ht="12.75">
      <c r="A642" s="49"/>
      <c r="B642" s="45"/>
      <c r="C642" s="49"/>
      <c r="D642" s="25"/>
      <c r="E642" s="25"/>
      <c r="F642" s="15"/>
    </row>
    <row r="643" spans="1:6" ht="12.75">
      <c r="A643" s="49"/>
      <c r="B643" s="45"/>
      <c r="C643" s="49"/>
      <c r="D643" s="25"/>
      <c r="E643" s="25"/>
      <c r="F643" s="15"/>
    </row>
    <row r="644" spans="1:6" ht="12.75">
      <c r="A644" s="49"/>
      <c r="B644" s="45"/>
      <c r="C644" s="49"/>
      <c r="D644" s="25"/>
      <c r="E644" s="25"/>
      <c r="F644" s="15"/>
    </row>
    <row r="645" spans="1:6" ht="12.75">
      <c r="A645" s="49"/>
      <c r="B645" s="45"/>
      <c r="C645" s="49"/>
      <c r="D645" s="25"/>
      <c r="E645" s="25"/>
      <c r="F645" s="15"/>
    </row>
    <row r="646" spans="1:6" ht="12.75">
      <c r="A646" s="49"/>
      <c r="B646" s="45"/>
      <c r="C646" s="49"/>
      <c r="D646" s="25"/>
      <c r="E646" s="25"/>
      <c r="F646" s="15"/>
    </row>
    <row r="647" spans="1:6" ht="12.75">
      <c r="A647" s="49"/>
      <c r="B647" s="45"/>
      <c r="C647" s="49"/>
      <c r="D647" s="25"/>
      <c r="E647" s="25"/>
      <c r="F647" s="15"/>
    </row>
    <row r="648" spans="1:6" ht="12.75">
      <c r="A648" s="49"/>
      <c r="B648" s="45"/>
      <c r="C648" s="49"/>
      <c r="D648" s="25"/>
      <c r="E648" s="25"/>
      <c r="F648" s="15"/>
    </row>
    <row r="649" spans="1:6" ht="12.75">
      <c r="A649" s="49"/>
      <c r="B649" s="45"/>
      <c r="C649" s="49"/>
      <c r="D649" s="25"/>
      <c r="E649" s="25"/>
      <c r="F649" s="15"/>
    </row>
    <row r="650" spans="1:6" ht="12.75">
      <c r="A650" s="49"/>
      <c r="B650" s="45"/>
      <c r="C650" s="49"/>
      <c r="D650" s="25"/>
      <c r="E650" s="25"/>
      <c r="F650" s="15"/>
    </row>
    <row r="651" spans="1:6" ht="12.75">
      <c r="A651" s="49"/>
      <c r="B651" s="45"/>
      <c r="C651" s="49"/>
      <c r="D651" s="25"/>
      <c r="E651" s="25"/>
      <c r="F651" s="15"/>
    </row>
    <row r="652" spans="1:6" ht="12.75">
      <c r="A652" s="49"/>
      <c r="B652" s="45"/>
      <c r="C652" s="49"/>
      <c r="D652" s="25"/>
      <c r="E652" s="25"/>
      <c r="F652" s="15"/>
    </row>
    <row r="653" spans="1:6" ht="12.75">
      <c r="A653" s="49"/>
      <c r="B653" s="45"/>
      <c r="C653" s="49"/>
      <c r="D653" s="25"/>
      <c r="E653" s="25"/>
      <c r="F653" s="15"/>
    </row>
    <row r="654" spans="1:6" ht="12.75">
      <c r="A654" s="49"/>
      <c r="B654" s="45"/>
      <c r="C654" s="49"/>
      <c r="D654" s="25"/>
      <c r="E654" s="25"/>
      <c r="F654" s="15"/>
    </row>
    <row r="655" spans="1:6" ht="12.75">
      <c r="A655" s="49"/>
      <c r="B655" s="45"/>
      <c r="C655" s="49"/>
      <c r="D655" s="25"/>
      <c r="E655" s="25"/>
      <c r="F655" s="15"/>
    </row>
    <row r="656" spans="1:6" ht="12.75">
      <c r="A656" s="49"/>
      <c r="B656" s="45"/>
      <c r="C656" s="49"/>
      <c r="D656" s="25"/>
      <c r="E656" s="25"/>
      <c r="F656" s="15"/>
    </row>
    <row r="657" spans="1:6" ht="12.75">
      <c r="A657" s="49"/>
      <c r="B657" s="45"/>
      <c r="C657" s="49"/>
      <c r="D657" s="25"/>
      <c r="E657" s="25"/>
      <c r="F657" s="15"/>
    </row>
    <row r="658" spans="1:6" ht="12.75">
      <c r="A658" s="49"/>
      <c r="B658" s="45"/>
      <c r="C658" s="49"/>
      <c r="D658" s="25"/>
      <c r="E658" s="25"/>
      <c r="F658" s="15"/>
    </row>
    <row r="659" spans="1:6" ht="12.75">
      <c r="A659" s="49"/>
      <c r="B659" s="45"/>
      <c r="C659" s="49"/>
      <c r="D659" s="25"/>
      <c r="E659" s="25"/>
      <c r="F659" s="15"/>
    </row>
    <row r="660" spans="1:6" ht="12.75">
      <c r="A660" s="49"/>
      <c r="B660" s="45"/>
      <c r="C660" s="49"/>
      <c r="D660" s="25"/>
      <c r="E660" s="25"/>
      <c r="F660" s="15"/>
    </row>
    <row r="661" spans="1:6" ht="12.75">
      <c r="A661" s="49"/>
      <c r="B661" s="45"/>
      <c r="C661" s="49"/>
      <c r="D661" s="25"/>
      <c r="E661" s="25"/>
      <c r="F661" s="15"/>
    </row>
    <row r="662" spans="1:6" ht="12.75">
      <c r="A662" s="49"/>
      <c r="B662" s="45"/>
      <c r="C662" s="49"/>
      <c r="D662" s="25"/>
      <c r="E662" s="25"/>
      <c r="F662" s="15"/>
    </row>
    <row r="663" spans="1:6" ht="12.75">
      <c r="A663" s="49"/>
      <c r="B663" s="45"/>
      <c r="C663" s="49"/>
      <c r="D663" s="25"/>
      <c r="E663" s="25"/>
      <c r="F663" s="15"/>
    </row>
    <row r="664" spans="1:6" ht="12.75">
      <c r="A664" s="49"/>
      <c r="B664" s="45"/>
      <c r="C664" s="49"/>
      <c r="D664" s="25"/>
      <c r="E664" s="25"/>
      <c r="F664" s="15"/>
    </row>
    <row r="665" spans="1:6" ht="12.75">
      <c r="A665" s="49"/>
      <c r="B665" s="45"/>
      <c r="C665" s="49"/>
      <c r="D665" s="25"/>
      <c r="E665" s="25"/>
      <c r="F665" s="15"/>
    </row>
    <row r="666" spans="1:6" ht="12.75">
      <c r="A666" s="49"/>
      <c r="B666" s="45"/>
      <c r="C666" s="49"/>
      <c r="D666" s="25"/>
      <c r="E666" s="25"/>
      <c r="F666" s="15"/>
    </row>
    <row r="667" spans="1:6" ht="12.75">
      <c r="A667" s="49"/>
      <c r="B667" s="45"/>
      <c r="C667" s="49"/>
      <c r="D667" s="25"/>
      <c r="E667" s="25"/>
      <c r="F667" s="15"/>
    </row>
    <row r="668" spans="1:6" ht="12.75">
      <c r="A668" s="49"/>
      <c r="B668" s="45"/>
      <c r="C668" s="49"/>
      <c r="D668" s="25"/>
      <c r="E668" s="25"/>
      <c r="F668" s="15"/>
    </row>
    <row r="669" spans="1:6" ht="12.75">
      <c r="A669" s="49"/>
      <c r="B669" s="45"/>
      <c r="C669" s="49"/>
      <c r="D669" s="25"/>
      <c r="E669" s="25"/>
      <c r="F669" s="15"/>
    </row>
    <row r="670" spans="1:6" ht="12.75">
      <c r="A670" s="49"/>
      <c r="B670" s="45"/>
      <c r="C670" s="49"/>
      <c r="D670" s="25"/>
      <c r="E670" s="25"/>
      <c r="F670" s="15"/>
    </row>
    <row r="671" spans="1:6" ht="12.75">
      <c r="A671" s="49"/>
      <c r="B671" s="45"/>
      <c r="C671" s="49"/>
      <c r="D671" s="25"/>
      <c r="E671" s="25"/>
      <c r="F671" s="15"/>
    </row>
    <row r="672" spans="1:6" ht="12.75">
      <c r="A672" s="49"/>
      <c r="B672" s="45"/>
      <c r="C672" s="49"/>
      <c r="D672" s="25"/>
      <c r="E672" s="25"/>
      <c r="F672" s="15"/>
    </row>
    <row r="673" spans="1:6" ht="12.75">
      <c r="A673" s="49"/>
      <c r="B673" s="45"/>
      <c r="C673" s="49"/>
      <c r="D673" s="25"/>
      <c r="E673" s="25"/>
      <c r="F673" s="15"/>
    </row>
    <row r="674" spans="1:6" ht="12.75">
      <c r="A674" s="49"/>
      <c r="B674" s="45"/>
      <c r="C674" s="49"/>
      <c r="D674" s="25"/>
      <c r="E674" s="25"/>
      <c r="F674" s="15"/>
    </row>
    <row r="675" spans="1:6" ht="12.75">
      <c r="A675" s="49"/>
      <c r="B675" s="45"/>
      <c r="C675" s="49"/>
      <c r="D675" s="25"/>
      <c r="E675" s="25"/>
      <c r="F675" s="15"/>
    </row>
    <row r="676" spans="1:6" ht="12.75">
      <c r="A676" s="49"/>
      <c r="B676" s="45"/>
      <c r="C676" s="49"/>
      <c r="D676" s="25"/>
      <c r="E676" s="25"/>
      <c r="F676" s="15"/>
    </row>
    <row r="677" spans="1:6" ht="12.75">
      <c r="A677" s="49"/>
      <c r="B677" s="45"/>
      <c r="C677" s="49"/>
      <c r="D677" s="25"/>
      <c r="E677" s="25"/>
      <c r="F677" s="15"/>
    </row>
    <row r="678" spans="1:6" ht="12.75">
      <c r="A678" s="49"/>
      <c r="B678" s="45"/>
      <c r="C678" s="49"/>
      <c r="D678" s="25"/>
      <c r="E678" s="25"/>
      <c r="F678" s="15"/>
    </row>
    <row r="679" spans="1:6" ht="12.75">
      <c r="A679" s="49"/>
      <c r="B679" s="45"/>
      <c r="C679" s="49"/>
      <c r="D679" s="25"/>
      <c r="E679" s="25"/>
      <c r="F679" s="15"/>
    </row>
    <row r="680" spans="1:6" ht="12.75">
      <c r="A680" s="49"/>
      <c r="B680" s="45"/>
      <c r="C680" s="49"/>
      <c r="D680" s="25"/>
      <c r="E680" s="25"/>
      <c r="F680" s="15"/>
    </row>
    <row r="681" spans="1:6" ht="12.75">
      <c r="A681" s="49"/>
      <c r="B681" s="45"/>
      <c r="C681" s="49"/>
      <c r="D681" s="25"/>
      <c r="E681" s="25"/>
      <c r="F681" s="15"/>
    </row>
    <row r="682" spans="1:6" ht="12.75">
      <c r="A682" s="49"/>
      <c r="B682" s="45"/>
      <c r="C682" s="49"/>
      <c r="D682" s="25"/>
      <c r="E682" s="25"/>
      <c r="F682" s="15"/>
    </row>
    <row r="683" spans="1:6" ht="12.75">
      <c r="A683" s="49"/>
      <c r="B683" s="45"/>
      <c r="C683" s="49"/>
      <c r="D683" s="25"/>
      <c r="E683" s="25"/>
      <c r="F683" s="15"/>
    </row>
    <row r="684" spans="1:6" ht="12.75">
      <c r="A684" s="49"/>
      <c r="B684" s="45"/>
      <c r="C684" s="49"/>
      <c r="D684" s="25"/>
      <c r="E684" s="25"/>
      <c r="F684" s="15"/>
    </row>
    <row r="685" spans="1:6" ht="12.75">
      <c r="A685" s="49"/>
      <c r="B685" s="45"/>
      <c r="C685" s="49"/>
      <c r="D685" s="25"/>
      <c r="E685" s="25"/>
      <c r="F685" s="15"/>
    </row>
    <row r="686" spans="1:6" ht="12.75">
      <c r="A686" s="49"/>
      <c r="B686" s="45"/>
      <c r="C686" s="49"/>
      <c r="D686" s="25"/>
      <c r="E686" s="25"/>
      <c r="F686" s="15"/>
    </row>
    <row r="687" spans="1:6" ht="12.75">
      <c r="A687" s="49"/>
      <c r="B687" s="45"/>
      <c r="C687" s="49"/>
      <c r="D687" s="25"/>
      <c r="E687" s="25"/>
      <c r="F687" s="15"/>
    </row>
    <row r="688" spans="1:6" ht="12.75">
      <c r="A688" s="49"/>
      <c r="B688" s="45"/>
      <c r="C688" s="49"/>
      <c r="D688" s="25"/>
      <c r="E688" s="25"/>
      <c r="F688" s="15"/>
    </row>
    <row r="689" spans="1:6" ht="12.75">
      <c r="A689" s="49"/>
      <c r="B689" s="45"/>
      <c r="C689" s="49"/>
      <c r="D689" s="25"/>
      <c r="E689" s="25"/>
      <c r="F689" s="15"/>
    </row>
    <row r="690" spans="1:6" ht="12.75">
      <c r="A690" s="49"/>
      <c r="B690" s="45"/>
      <c r="C690" s="49"/>
      <c r="D690" s="25"/>
      <c r="E690" s="25"/>
      <c r="F690" s="15"/>
    </row>
    <row r="691" spans="1:6" ht="12.75">
      <c r="A691" s="49"/>
      <c r="B691" s="45"/>
      <c r="C691" s="49"/>
      <c r="D691" s="25"/>
      <c r="E691" s="25"/>
      <c r="F691" s="15"/>
    </row>
    <row r="692" spans="1:6" ht="12.75">
      <c r="A692" s="49"/>
      <c r="B692" s="45"/>
      <c r="C692" s="49"/>
      <c r="D692" s="25"/>
      <c r="E692" s="25"/>
      <c r="F692" s="15"/>
    </row>
    <row r="693" spans="1:6" ht="12.75">
      <c r="A693" s="49"/>
      <c r="B693" s="45"/>
      <c r="C693" s="49"/>
      <c r="D693" s="25"/>
      <c r="E693" s="25"/>
      <c r="F693" s="15"/>
    </row>
    <row r="694" spans="1:6" ht="12.75">
      <c r="A694" s="49"/>
      <c r="B694" s="45"/>
      <c r="C694" s="49"/>
      <c r="D694" s="25"/>
      <c r="E694" s="25"/>
      <c r="F694" s="15"/>
    </row>
    <row r="695" spans="1:6" ht="12.75">
      <c r="A695" s="49"/>
      <c r="B695" s="45"/>
      <c r="C695" s="49"/>
      <c r="D695" s="25"/>
      <c r="E695" s="25"/>
      <c r="F695" s="15"/>
    </row>
    <row r="696" spans="1:6" ht="12.75">
      <c r="A696" s="49"/>
      <c r="B696" s="45"/>
      <c r="C696" s="49"/>
      <c r="D696" s="25"/>
      <c r="E696" s="25"/>
      <c r="F696" s="15"/>
    </row>
    <row r="697" spans="1:6" ht="12.75">
      <c r="A697" s="49"/>
      <c r="B697" s="45"/>
      <c r="C697" s="49"/>
      <c r="D697" s="25"/>
      <c r="E697" s="25"/>
      <c r="F697" s="15"/>
    </row>
    <row r="698" spans="1:6" ht="12.75">
      <c r="A698" s="49"/>
      <c r="B698" s="45"/>
      <c r="C698" s="49"/>
      <c r="D698" s="25"/>
      <c r="E698" s="25"/>
      <c r="F698" s="15"/>
    </row>
    <row r="699" spans="1:6" ht="12.75">
      <c r="A699" s="49"/>
      <c r="B699" s="45"/>
      <c r="C699" s="49"/>
      <c r="D699" s="25"/>
      <c r="E699" s="25"/>
      <c r="F699" s="15"/>
    </row>
    <row r="700" spans="1:6" ht="12.75">
      <c r="A700" s="49"/>
      <c r="B700" s="45"/>
      <c r="C700" s="49"/>
      <c r="D700" s="25"/>
      <c r="E700" s="25"/>
      <c r="F700" s="15"/>
    </row>
    <row r="701" spans="1:6" ht="12.75">
      <c r="A701" s="49"/>
      <c r="B701" s="45"/>
      <c r="C701" s="49"/>
      <c r="D701" s="25"/>
      <c r="E701" s="25"/>
      <c r="F701" s="15"/>
    </row>
    <row r="702" spans="1:6" ht="12.75">
      <c r="A702" s="49"/>
      <c r="B702" s="45"/>
      <c r="C702" s="49"/>
      <c r="D702" s="25"/>
      <c r="E702" s="25"/>
      <c r="F702" s="15"/>
    </row>
    <row r="703" spans="1:6" ht="12.75">
      <c r="A703" s="49"/>
      <c r="B703" s="45"/>
      <c r="C703" s="49"/>
      <c r="D703" s="25"/>
      <c r="E703" s="25"/>
      <c r="F703" s="15"/>
    </row>
    <row r="704" spans="1:6" ht="12.75">
      <c r="A704" s="49"/>
      <c r="B704" s="45"/>
      <c r="C704" s="49"/>
      <c r="D704" s="25"/>
      <c r="E704" s="25"/>
      <c r="F704" s="15"/>
    </row>
    <row r="705" spans="1:6" ht="12.75">
      <c r="A705" s="49"/>
      <c r="B705" s="45"/>
      <c r="C705" s="49"/>
      <c r="D705" s="25"/>
      <c r="E705" s="25"/>
      <c r="F705" s="15"/>
    </row>
    <row r="706" spans="1:6" ht="12.75">
      <c r="A706" s="49"/>
      <c r="B706" s="45"/>
      <c r="C706" s="49"/>
      <c r="D706" s="25"/>
      <c r="E706" s="25"/>
      <c r="F706" s="15"/>
    </row>
    <row r="707" spans="1:6" ht="12.75">
      <c r="A707" s="49"/>
      <c r="B707" s="45"/>
      <c r="C707" s="49"/>
      <c r="D707" s="25"/>
      <c r="E707" s="25"/>
      <c r="F707" s="15"/>
    </row>
    <row r="708" spans="1:6" ht="12.75">
      <c r="A708" s="49"/>
      <c r="B708" s="45"/>
      <c r="C708" s="49"/>
      <c r="D708" s="25"/>
      <c r="E708" s="25"/>
      <c r="F708" s="15"/>
    </row>
    <row r="709" spans="1:6" ht="12.75">
      <c r="A709" s="49"/>
      <c r="B709" s="45"/>
      <c r="C709" s="49"/>
      <c r="D709" s="25"/>
      <c r="E709" s="25"/>
      <c r="F709" s="15"/>
    </row>
    <row r="710" spans="1:6" ht="12.75">
      <c r="A710" s="49"/>
      <c r="B710" s="45"/>
      <c r="C710" s="49"/>
      <c r="D710" s="25"/>
      <c r="E710" s="25"/>
      <c r="F710" s="15"/>
    </row>
    <row r="711" spans="1:6" ht="12.75">
      <c r="A711" s="49"/>
      <c r="B711" s="45"/>
      <c r="C711" s="49"/>
      <c r="D711" s="25"/>
      <c r="E711" s="25"/>
      <c r="F711" s="15"/>
    </row>
    <row r="712" spans="1:6" ht="12.75">
      <c r="A712" s="49"/>
      <c r="B712" s="45"/>
      <c r="C712" s="49"/>
      <c r="D712" s="25"/>
      <c r="E712" s="25"/>
      <c r="F712" s="15"/>
    </row>
    <row r="713" spans="1:6" ht="12.75">
      <c r="A713" s="49"/>
      <c r="B713" s="45"/>
      <c r="C713" s="49"/>
      <c r="D713" s="25"/>
      <c r="E713" s="25"/>
      <c r="F713" s="15"/>
    </row>
    <row r="714" spans="1:6" ht="12.75">
      <c r="A714" s="49"/>
      <c r="B714" s="45"/>
      <c r="C714" s="49"/>
      <c r="D714" s="25"/>
      <c r="E714" s="25"/>
      <c r="F714" s="15"/>
    </row>
    <row r="715" spans="1:6" ht="12.75">
      <c r="A715" s="49"/>
      <c r="B715" s="45"/>
      <c r="C715" s="49"/>
      <c r="D715" s="25"/>
      <c r="E715" s="25"/>
      <c r="F715" s="15"/>
    </row>
    <row r="716" spans="1:6" ht="12.75">
      <c r="A716" s="49"/>
      <c r="B716" s="45"/>
      <c r="C716" s="49"/>
      <c r="D716" s="25"/>
      <c r="E716" s="25"/>
      <c r="F716" s="15"/>
    </row>
    <row r="717" spans="1:6" ht="12.75">
      <c r="A717" s="49"/>
      <c r="B717" s="45"/>
      <c r="C717" s="49"/>
      <c r="D717" s="25"/>
      <c r="E717" s="25"/>
      <c r="F717" s="15"/>
    </row>
    <row r="718" spans="1:6" ht="12.75">
      <c r="A718" s="49"/>
      <c r="B718" s="45"/>
      <c r="C718" s="49"/>
      <c r="D718" s="25"/>
      <c r="E718" s="25"/>
      <c r="F718" s="15"/>
    </row>
    <row r="719" spans="1:6" ht="12.75">
      <c r="A719" s="49"/>
      <c r="B719" s="45"/>
      <c r="C719" s="49"/>
      <c r="D719" s="25"/>
      <c r="E719" s="25"/>
      <c r="F719" s="15"/>
    </row>
    <row r="720" spans="1:6" ht="12.75">
      <c r="A720" s="49"/>
      <c r="B720" s="45"/>
      <c r="C720" s="49"/>
      <c r="D720" s="25"/>
      <c r="E720" s="25"/>
      <c r="F720" s="15"/>
    </row>
    <row r="721" spans="1:6" ht="12.75">
      <c r="A721" s="49"/>
      <c r="B721" s="45"/>
      <c r="C721" s="49"/>
      <c r="D721" s="25"/>
      <c r="E721" s="25"/>
      <c r="F721" s="15"/>
    </row>
    <row r="722" spans="1:6" ht="12.75">
      <c r="A722" s="49"/>
      <c r="B722" s="45"/>
      <c r="C722" s="49"/>
      <c r="D722" s="25"/>
      <c r="E722" s="25"/>
      <c r="F722" s="15"/>
    </row>
    <row r="723" spans="1:6" ht="12.75">
      <c r="A723" s="49"/>
      <c r="B723" s="45"/>
      <c r="C723" s="49"/>
      <c r="D723" s="25"/>
      <c r="E723" s="25"/>
      <c r="F723" s="15"/>
    </row>
    <row r="724" spans="1:6" ht="12.75">
      <c r="A724" s="49"/>
      <c r="B724" s="45"/>
      <c r="C724" s="49"/>
      <c r="D724" s="25"/>
      <c r="E724" s="25"/>
      <c r="F724" s="15"/>
    </row>
    <row r="725" spans="1:6" ht="12.75">
      <c r="A725" s="49"/>
      <c r="B725" s="45"/>
      <c r="C725" s="49"/>
      <c r="D725" s="25"/>
      <c r="E725" s="25"/>
      <c r="F725" s="15"/>
    </row>
    <row r="726" spans="1:6" ht="12.75">
      <c r="A726" s="49"/>
      <c r="B726" s="45"/>
      <c r="C726" s="49"/>
      <c r="D726" s="25"/>
      <c r="E726" s="25"/>
      <c r="F726" s="15"/>
    </row>
    <row r="727" spans="1:6" ht="12.75">
      <c r="A727" s="49"/>
      <c r="B727" s="45"/>
      <c r="C727" s="49"/>
      <c r="D727" s="25"/>
      <c r="E727" s="25"/>
      <c r="F727" s="15"/>
    </row>
    <row r="728" spans="1:6" ht="12.75">
      <c r="A728" s="49"/>
      <c r="B728" s="45"/>
      <c r="C728" s="49"/>
      <c r="D728" s="25"/>
      <c r="E728" s="25"/>
      <c r="F728" s="15"/>
    </row>
    <row r="729" spans="1:6" ht="12.75">
      <c r="A729" s="49"/>
      <c r="B729" s="45"/>
      <c r="C729" s="49"/>
      <c r="D729" s="25"/>
      <c r="E729" s="25"/>
      <c r="F729" s="15"/>
    </row>
    <row r="730" spans="1:6" ht="12.75">
      <c r="A730" s="49"/>
      <c r="B730" s="45"/>
      <c r="C730" s="49"/>
      <c r="D730" s="25"/>
      <c r="E730" s="25"/>
      <c r="F730" s="15"/>
    </row>
    <row r="731" spans="1:6" ht="12.75">
      <c r="A731" s="49"/>
      <c r="B731" s="45"/>
      <c r="C731" s="49"/>
      <c r="D731" s="25"/>
      <c r="E731" s="25"/>
      <c r="F731" s="15"/>
    </row>
    <row r="732" spans="1:6" ht="12.75">
      <c r="A732" s="49"/>
      <c r="B732" s="45"/>
      <c r="C732" s="49"/>
      <c r="D732" s="25"/>
      <c r="E732" s="25"/>
      <c r="F732" s="15"/>
    </row>
    <row r="733" spans="1:6" ht="12.75">
      <c r="A733" s="49"/>
      <c r="B733" s="45"/>
      <c r="C733" s="49"/>
      <c r="D733" s="25"/>
      <c r="E733" s="25"/>
      <c r="F733" s="15"/>
    </row>
    <row r="734" spans="1:6" ht="12.75">
      <c r="A734" s="49"/>
      <c r="B734" s="45"/>
      <c r="C734" s="49"/>
      <c r="D734" s="25"/>
      <c r="E734" s="25"/>
      <c r="F734" s="15"/>
    </row>
    <row r="735" spans="1:6" ht="12.75">
      <c r="A735" s="49"/>
      <c r="B735" s="45"/>
      <c r="C735" s="49"/>
      <c r="D735" s="25"/>
      <c r="E735" s="25"/>
      <c r="F735" s="15"/>
    </row>
    <row r="736" spans="1:6" ht="12.75">
      <c r="A736" s="49"/>
      <c r="B736" s="45"/>
      <c r="C736" s="49"/>
      <c r="D736" s="25"/>
      <c r="E736" s="25"/>
      <c r="F736" s="15"/>
    </row>
    <row r="737" spans="1:6" ht="12.75">
      <c r="A737" s="49"/>
      <c r="B737" s="45"/>
      <c r="C737" s="49"/>
      <c r="D737" s="25"/>
      <c r="E737" s="25"/>
      <c r="F737" s="15"/>
    </row>
    <row r="738" spans="1:6" ht="12.75">
      <c r="A738" s="49"/>
      <c r="B738" s="45"/>
      <c r="C738" s="49"/>
      <c r="D738" s="25"/>
      <c r="E738" s="25"/>
      <c r="F738" s="15"/>
    </row>
    <row r="739" spans="1:6" ht="12.75">
      <c r="A739" s="49"/>
      <c r="B739" s="45"/>
      <c r="C739" s="49"/>
      <c r="D739" s="25"/>
      <c r="E739" s="25"/>
      <c r="F739" s="15"/>
    </row>
    <row r="740" spans="1:6" ht="12.75">
      <c r="A740" s="49"/>
      <c r="B740" s="45"/>
      <c r="C740" s="49"/>
      <c r="D740" s="25"/>
      <c r="E740" s="25"/>
      <c r="F740" s="15"/>
    </row>
    <row r="741" spans="1:6" ht="12.75">
      <c r="A741" s="49"/>
      <c r="B741" s="45"/>
      <c r="C741" s="49"/>
      <c r="D741" s="25"/>
      <c r="E741" s="25"/>
      <c r="F741" s="15"/>
    </row>
    <row r="742" spans="1:6" ht="12.75">
      <c r="A742" s="49"/>
      <c r="B742" s="45"/>
      <c r="C742" s="49"/>
      <c r="D742" s="25"/>
      <c r="E742" s="25"/>
      <c r="F742" s="15"/>
    </row>
    <row r="743" spans="1:6" ht="12.75">
      <c r="A743" s="49"/>
      <c r="B743" s="45"/>
      <c r="C743" s="49"/>
      <c r="D743" s="25"/>
      <c r="E743" s="25"/>
      <c r="F743" s="15"/>
    </row>
    <row r="744" spans="1:6" ht="12.75">
      <c r="A744" s="49"/>
      <c r="B744" s="45"/>
      <c r="C744" s="49"/>
      <c r="D744" s="25"/>
      <c r="E744" s="25"/>
      <c r="F744" s="15"/>
    </row>
    <row r="745" spans="1:6" ht="12.75">
      <c r="A745" s="49"/>
      <c r="B745" s="45"/>
      <c r="C745" s="49"/>
      <c r="D745" s="25"/>
      <c r="E745" s="25"/>
      <c r="F745" s="15"/>
    </row>
    <row r="746" spans="1:6" ht="12.75">
      <c r="A746" s="49"/>
      <c r="B746" s="45"/>
      <c r="C746" s="49"/>
      <c r="D746" s="25"/>
      <c r="E746" s="25"/>
      <c r="F746" s="15"/>
    </row>
    <row r="747" spans="1:6" ht="12.75">
      <c r="A747" s="49"/>
      <c r="B747" s="45"/>
      <c r="C747" s="49"/>
      <c r="D747" s="25"/>
      <c r="E747" s="25"/>
      <c r="F747" s="15"/>
    </row>
    <row r="748" spans="1:6" ht="12.75">
      <c r="A748" s="49"/>
      <c r="B748" s="45"/>
      <c r="C748" s="49"/>
      <c r="D748" s="25"/>
      <c r="E748" s="25"/>
      <c r="F748" s="15"/>
    </row>
    <row r="749" spans="1:6" ht="12.75">
      <c r="A749" s="49"/>
      <c r="B749" s="45"/>
      <c r="C749" s="49"/>
      <c r="D749" s="25"/>
      <c r="E749" s="25"/>
      <c r="F749" s="15"/>
    </row>
    <row r="750" spans="1:6" ht="12.75">
      <c r="A750" s="49"/>
      <c r="B750" s="45"/>
      <c r="C750" s="49"/>
      <c r="D750" s="25"/>
      <c r="E750" s="25"/>
      <c r="F750" s="15"/>
    </row>
    <row r="751" spans="1:6" ht="12.75">
      <c r="A751" s="49"/>
      <c r="B751" s="45"/>
      <c r="C751" s="49"/>
      <c r="D751" s="25"/>
      <c r="E751" s="25"/>
      <c r="F751" s="15"/>
    </row>
    <row r="752" spans="1:6" ht="12.75">
      <c r="A752" s="49"/>
      <c r="B752" s="45"/>
      <c r="C752" s="49"/>
      <c r="D752" s="25"/>
      <c r="E752" s="25"/>
      <c r="F752" s="15"/>
    </row>
    <row r="753" spans="1:6" ht="12.75">
      <c r="A753" s="49"/>
      <c r="B753" s="45"/>
      <c r="C753" s="49"/>
      <c r="D753" s="25"/>
      <c r="E753" s="25"/>
      <c r="F753" s="15"/>
    </row>
    <row r="754" spans="1:6" ht="12.75">
      <c r="A754" s="49"/>
      <c r="B754" s="45"/>
      <c r="C754" s="49"/>
      <c r="D754" s="25"/>
      <c r="E754" s="25"/>
      <c r="F754" s="15"/>
    </row>
    <row r="755" spans="1:6" ht="12.75">
      <c r="A755" s="49"/>
      <c r="B755" s="45"/>
      <c r="C755" s="49"/>
      <c r="D755" s="25"/>
      <c r="E755" s="25"/>
      <c r="F755" s="15"/>
    </row>
    <row r="756" spans="1:6" ht="12.75">
      <c r="A756" s="49"/>
      <c r="B756" s="45"/>
      <c r="C756" s="49"/>
      <c r="D756" s="25"/>
      <c r="E756" s="25"/>
      <c r="F756" s="15"/>
    </row>
    <row r="757" spans="1:6" ht="12.75">
      <c r="A757" s="49"/>
      <c r="B757" s="45"/>
      <c r="C757" s="49"/>
      <c r="D757" s="25"/>
      <c r="E757" s="25"/>
      <c r="F757" s="15"/>
    </row>
    <row r="758" spans="1:6" ht="12.75">
      <c r="A758" s="49"/>
      <c r="B758" s="45"/>
      <c r="C758" s="49"/>
      <c r="D758" s="25"/>
      <c r="E758" s="25"/>
      <c r="F758" s="15"/>
    </row>
    <row r="759" spans="1:6" ht="12.75">
      <c r="A759" s="49"/>
      <c r="B759" s="45"/>
      <c r="C759" s="49"/>
      <c r="D759" s="25"/>
      <c r="E759" s="25"/>
      <c r="F759" s="15"/>
    </row>
    <row r="760" spans="1:6" ht="12.75">
      <c r="A760" s="49"/>
      <c r="B760" s="45"/>
      <c r="C760" s="49"/>
      <c r="D760" s="25"/>
      <c r="E760" s="25"/>
      <c r="F760" s="15"/>
    </row>
    <row r="761" spans="1:6" ht="12.75">
      <c r="A761" s="49"/>
      <c r="B761" s="45"/>
      <c r="C761" s="49"/>
      <c r="D761" s="25"/>
      <c r="E761" s="25"/>
      <c r="F761" s="15"/>
    </row>
    <row r="762" spans="1:6" ht="12.75">
      <c r="A762" s="49"/>
      <c r="B762" s="45"/>
      <c r="C762" s="49"/>
      <c r="D762" s="25"/>
      <c r="E762" s="25"/>
      <c r="F762" s="15"/>
    </row>
    <row r="763" spans="1:6" ht="12.75">
      <c r="A763" s="49"/>
      <c r="B763" s="45"/>
      <c r="C763" s="49"/>
      <c r="D763" s="25"/>
      <c r="E763" s="25"/>
      <c r="F763" s="15"/>
    </row>
    <row r="764" spans="1:6" ht="12.75">
      <c r="A764" s="49"/>
      <c r="B764" s="45"/>
      <c r="C764" s="49"/>
      <c r="D764" s="25"/>
      <c r="E764" s="25"/>
      <c r="F764" s="15"/>
    </row>
    <row r="765" spans="1:6" ht="12.75">
      <c r="A765" s="49"/>
      <c r="B765" s="45"/>
      <c r="C765" s="49"/>
      <c r="D765" s="25"/>
      <c r="E765" s="25"/>
      <c r="F765" s="15"/>
    </row>
    <row r="766" spans="1:6" ht="12.75">
      <c r="A766" s="49"/>
      <c r="B766" s="45"/>
      <c r="C766" s="49"/>
      <c r="D766" s="25"/>
      <c r="E766" s="25"/>
      <c r="F766" s="15"/>
    </row>
    <row r="767" spans="1:6" ht="12.75">
      <c r="A767" s="49"/>
      <c r="B767" s="45"/>
      <c r="C767" s="49"/>
      <c r="D767" s="25"/>
      <c r="E767" s="25"/>
      <c r="F767" s="15"/>
    </row>
    <row r="768" spans="1:6" ht="12.75">
      <c r="A768" s="49"/>
      <c r="B768" s="45"/>
      <c r="C768" s="49"/>
      <c r="D768" s="25"/>
      <c r="E768" s="25"/>
      <c r="F768" s="15"/>
    </row>
    <row r="769" spans="1:6" ht="12.75">
      <c r="A769" s="49"/>
      <c r="B769" s="45"/>
      <c r="C769" s="49"/>
      <c r="D769" s="25"/>
      <c r="E769" s="25"/>
      <c r="F769" s="15"/>
    </row>
    <row r="770" spans="1:6" ht="12.75">
      <c r="A770" s="49"/>
      <c r="B770" s="45"/>
      <c r="C770" s="49"/>
      <c r="D770" s="25"/>
      <c r="E770" s="25"/>
      <c r="F770" s="15"/>
    </row>
    <row r="771" spans="1:6" ht="12.75">
      <c r="A771" s="49"/>
      <c r="B771" s="45"/>
      <c r="C771" s="49"/>
      <c r="D771" s="25"/>
      <c r="E771" s="25"/>
      <c r="F771" s="15"/>
    </row>
    <row r="772" spans="1:6" ht="12.75">
      <c r="A772" s="49"/>
      <c r="B772" s="45"/>
      <c r="C772" s="49"/>
      <c r="D772" s="25"/>
      <c r="E772" s="25"/>
      <c r="F772" s="15"/>
    </row>
    <row r="773" spans="1:6" ht="12.75">
      <c r="A773" s="49"/>
      <c r="B773" s="45"/>
      <c r="C773" s="49"/>
      <c r="D773" s="25"/>
      <c r="E773" s="25"/>
      <c r="F773" s="15"/>
    </row>
    <row r="774" spans="1:6" ht="12.75">
      <c r="A774" s="49"/>
      <c r="B774" s="45"/>
      <c r="C774" s="49"/>
      <c r="D774" s="25"/>
      <c r="E774" s="25"/>
      <c r="F774" s="15"/>
    </row>
    <row r="775" spans="1:6" ht="12.75">
      <c r="A775" s="49"/>
      <c r="B775" s="45"/>
      <c r="C775" s="49"/>
      <c r="D775" s="25"/>
      <c r="E775" s="25"/>
      <c r="F775" s="15"/>
    </row>
    <row r="776" spans="1:6" ht="12.75">
      <c r="A776" s="49"/>
      <c r="B776" s="45"/>
      <c r="C776" s="49"/>
      <c r="D776" s="25"/>
      <c r="E776" s="25"/>
      <c r="F776" s="15"/>
    </row>
    <row r="777" spans="1:6" ht="12.75">
      <c r="A777" s="49"/>
      <c r="B777" s="45"/>
      <c r="C777" s="49"/>
      <c r="D777" s="25"/>
      <c r="E777" s="25"/>
      <c r="F777" s="15"/>
    </row>
    <row r="778" spans="1:6" ht="12.75">
      <c r="A778" s="49"/>
      <c r="B778" s="45"/>
      <c r="C778" s="49"/>
      <c r="D778" s="25"/>
      <c r="E778" s="25"/>
      <c r="F778" s="15"/>
    </row>
    <row r="779" spans="1:6" ht="12.75">
      <c r="A779" s="49"/>
      <c r="B779" s="45"/>
      <c r="C779" s="49"/>
      <c r="D779" s="25"/>
      <c r="E779" s="25"/>
      <c r="F779" s="15"/>
    </row>
    <row r="780" spans="1:6" ht="12.75">
      <c r="A780" s="49"/>
      <c r="B780" s="45"/>
      <c r="C780" s="49"/>
      <c r="D780" s="25"/>
      <c r="E780" s="25"/>
      <c r="F780" s="15"/>
    </row>
    <row r="781" spans="1:6" ht="12.75">
      <c r="A781" s="49"/>
      <c r="B781" s="45"/>
      <c r="C781" s="49"/>
      <c r="D781" s="25"/>
      <c r="E781" s="25"/>
      <c r="F781" s="15"/>
    </row>
    <row r="782" spans="1:6" ht="12.75">
      <c r="A782" s="49"/>
      <c r="B782" s="45"/>
      <c r="C782" s="49"/>
      <c r="D782" s="25"/>
      <c r="E782" s="25"/>
      <c r="F782" s="15"/>
    </row>
    <row r="783" spans="1:6" ht="12.75">
      <c r="A783" s="49"/>
      <c r="B783" s="45"/>
      <c r="C783" s="49"/>
      <c r="D783" s="25"/>
      <c r="E783" s="25"/>
      <c r="F783" s="15"/>
    </row>
    <row r="784" spans="1:6" ht="12.75">
      <c r="A784" s="49"/>
      <c r="B784" s="45"/>
      <c r="C784" s="49"/>
      <c r="D784" s="25"/>
      <c r="E784" s="25"/>
      <c r="F784" s="15"/>
    </row>
    <row r="785" spans="1:6" ht="12.75">
      <c r="A785" s="49"/>
      <c r="B785" s="45"/>
      <c r="C785" s="49"/>
      <c r="D785" s="25"/>
      <c r="E785" s="25"/>
      <c r="F785" s="15"/>
    </row>
    <row r="786" spans="1:6" ht="12.75">
      <c r="A786" s="49"/>
      <c r="B786" s="45"/>
      <c r="C786" s="49"/>
      <c r="D786" s="25"/>
      <c r="E786" s="25"/>
      <c r="F786" s="15"/>
    </row>
    <row r="787" spans="1:6" ht="12.75">
      <c r="A787" s="49"/>
      <c r="B787" s="45"/>
      <c r="C787" s="49"/>
      <c r="D787" s="25"/>
      <c r="E787" s="25"/>
      <c r="F787" s="15"/>
    </row>
    <row r="788" spans="1:6" ht="12.75">
      <c r="A788" s="49"/>
      <c r="B788" s="45"/>
      <c r="C788" s="49"/>
      <c r="D788" s="25"/>
      <c r="E788" s="25"/>
      <c r="F788" s="15"/>
    </row>
    <row r="789" spans="1:6" ht="12.75">
      <c r="A789" s="49"/>
      <c r="B789" s="45"/>
      <c r="C789" s="49"/>
      <c r="D789" s="25"/>
      <c r="E789" s="25"/>
      <c r="F789" s="15"/>
    </row>
    <row r="790" spans="1:6" ht="12.75">
      <c r="A790" s="49"/>
      <c r="B790" s="45"/>
      <c r="C790" s="49"/>
      <c r="D790" s="25"/>
      <c r="E790" s="25"/>
      <c r="F790" s="15"/>
    </row>
    <row r="791" spans="1:6" ht="12.75">
      <c r="A791" s="49"/>
      <c r="B791" s="45"/>
      <c r="C791" s="49"/>
      <c r="D791" s="25"/>
      <c r="E791" s="25"/>
      <c r="F791" s="15"/>
    </row>
    <row r="792" spans="1:6" ht="12.75">
      <c r="A792" s="49"/>
      <c r="B792" s="45"/>
      <c r="C792" s="49"/>
      <c r="D792" s="25"/>
      <c r="E792" s="25"/>
      <c r="F792" s="15"/>
    </row>
    <row r="793" spans="1:6" ht="12.75">
      <c r="A793" s="49"/>
      <c r="B793" s="45"/>
      <c r="C793" s="49"/>
      <c r="D793" s="25"/>
      <c r="E793" s="25"/>
      <c r="F793" s="15"/>
    </row>
    <row r="794" spans="1:6" ht="12.75">
      <c r="A794" s="49"/>
      <c r="B794" s="45"/>
      <c r="C794" s="49"/>
      <c r="D794" s="25"/>
      <c r="E794" s="25"/>
      <c r="F794" s="15"/>
    </row>
    <row r="795" spans="1:6" ht="12.75">
      <c r="A795" s="49"/>
      <c r="B795" s="45"/>
      <c r="C795" s="49"/>
      <c r="D795" s="25"/>
      <c r="E795" s="25"/>
      <c r="F795" s="15"/>
    </row>
    <row r="796" spans="1:6" ht="12.75">
      <c r="A796" s="49"/>
      <c r="B796" s="45"/>
      <c r="C796" s="49"/>
      <c r="D796" s="25"/>
      <c r="E796" s="25"/>
      <c r="F796" s="15"/>
    </row>
    <row r="797" spans="1:6" ht="12.75">
      <c r="A797" s="49"/>
      <c r="B797" s="45"/>
      <c r="C797" s="49"/>
      <c r="D797" s="25"/>
      <c r="E797" s="25"/>
      <c r="F797" s="15"/>
    </row>
    <row r="798" spans="1:6" ht="12.75">
      <c r="A798" s="49"/>
      <c r="B798" s="45"/>
      <c r="C798" s="49"/>
      <c r="D798" s="25"/>
      <c r="E798" s="25"/>
      <c r="F798" s="15"/>
    </row>
    <row r="799" spans="1:6" ht="12.75">
      <c r="A799" s="49"/>
      <c r="B799" s="45"/>
      <c r="C799" s="49"/>
      <c r="D799" s="25"/>
      <c r="E799" s="25"/>
      <c r="F799" s="15"/>
    </row>
    <row r="800" spans="1:6" ht="12.75">
      <c r="A800" s="49"/>
      <c r="B800" s="45"/>
      <c r="C800" s="49"/>
      <c r="D800" s="25"/>
      <c r="E800" s="25"/>
      <c r="F800" s="15"/>
    </row>
    <row r="801" spans="1:6" ht="12.75">
      <c r="A801" s="49"/>
      <c r="B801" s="45"/>
      <c r="C801" s="49"/>
      <c r="D801" s="25"/>
      <c r="E801" s="25"/>
      <c r="F801" s="15"/>
    </row>
    <row r="802" spans="1:6" ht="12.75">
      <c r="A802" s="49"/>
      <c r="B802" s="45"/>
      <c r="C802" s="49"/>
      <c r="D802" s="25"/>
      <c r="E802" s="25"/>
      <c r="F802" s="15"/>
    </row>
    <row r="803" spans="1:6" ht="12.75">
      <c r="A803" s="49"/>
      <c r="B803" s="45"/>
      <c r="C803" s="49"/>
      <c r="D803" s="25"/>
      <c r="E803" s="25"/>
      <c r="F803" s="15"/>
    </row>
    <row r="804" spans="1:6" ht="12.75">
      <c r="A804" s="49"/>
      <c r="B804" s="45"/>
      <c r="C804" s="49"/>
      <c r="D804" s="25"/>
      <c r="E804" s="25"/>
      <c r="F804" s="15"/>
    </row>
    <row r="805" spans="1:6" ht="12.75">
      <c r="A805" s="49"/>
      <c r="B805" s="45"/>
      <c r="C805" s="49"/>
      <c r="D805" s="25"/>
      <c r="E805" s="25"/>
      <c r="F805" s="15"/>
    </row>
    <row r="806" spans="1:6" ht="12.75">
      <c r="A806" s="49"/>
      <c r="B806" s="45"/>
      <c r="C806" s="49"/>
      <c r="D806" s="25"/>
      <c r="E806" s="25"/>
      <c r="F806" s="15"/>
    </row>
    <row r="807" spans="1:6" ht="12.75">
      <c r="A807" s="49"/>
      <c r="B807" s="45"/>
      <c r="C807" s="49"/>
      <c r="D807" s="25"/>
      <c r="E807" s="25"/>
      <c r="F807" s="15"/>
    </row>
    <row r="808" spans="1:6" ht="12.75">
      <c r="A808" s="49"/>
      <c r="B808" s="45"/>
      <c r="C808" s="49"/>
      <c r="D808" s="25"/>
      <c r="E808" s="25"/>
      <c r="F808" s="15"/>
    </row>
    <row r="809" spans="1:6" ht="12.75">
      <c r="A809" s="49"/>
      <c r="B809" s="45"/>
      <c r="C809" s="49"/>
      <c r="D809" s="25"/>
      <c r="E809" s="25"/>
      <c r="F809" s="15"/>
    </row>
    <row r="810" spans="1:6" ht="12.75">
      <c r="A810" s="49"/>
      <c r="B810" s="45"/>
      <c r="C810" s="49"/>
      <c r="D810" s="25"/>
      <c r="E810" s="25"/>
      <c r="F810" s="15"/>
    </row>
    <row r="811" spans="1:6" ht="12.75">
      <c r="A811" s="49"/>
      <c r="B811" s="45"/>
      <c r="C811" s="49"/>
      <c r="D811" s="25"/>
      <c r="E811" s="25"/>
      <c r="F811" s="15"/>
    </row>
    <row r="812" spans="1:6" ht="12.75">
      <c r="A812" s="49"/>
      <c r="B812" s="45"/>
      <c r="C812" s="49"/>
      <c r="D812" s="25"/>
      <c r="E812" s="25"/>
      <c r="F812" s="15"/>
    </row>
    <row r="813" spans="1:6" ht="12.75">
      <c r="A813" s="49"/>
      <c r="B813" s="45"/>
      <c r="C813" s="49"/>
      <c r="D813" s="25"/>
      <c r="E813" s="25"/>
      <c r="F813" s="15"/>
    </row>
    <row r="814" spans="1:6" ht="12.75">
      <c r="A814" s="49"/>
      <c r="B814" s="45"/>
      <c r="C814" s="49"/>
      <c r="D814" s="25"/>
      <c r="E814" s="25"/>
      <c r="F814" s="15"/>
    </row>
    <row r="815" spans="1:6" ht="12.75">
      <c r="A815" s="49"/>
      <c r="B815" s="45"/>
      <c r="C815" s="49"/>
      <c r="D815" s="25"/>
      <c r="E815" s="25"/>
      <c r="F815" s="15"/>
    </row>
    <row r="816" spans="1:6" ht="12.75">
      <c r="A816" s="49"/>
      <c r="B816" s="45"/>
      <c r="C816" s="49"/>
      <c r="D816" s="25"/>
      <c r="E816" s="25"/>
      <c r="F816" s="15"/>
    </row>
    <row r="817" spans="1:6" ht="12.75">
      <c r="A817" s="49"/>
      <c r="B817" s="45"/>
      <c r="C817" s="49"/>
      <c r="D817" s="25"/>
      <c r="E817" s="25"/>
      <c r="F817" s="15"/>
    </row>
    <row r="818" spans="1:6" ht="12.75">
      <c r="A818" s="49"/>
      <c r="B818" s="45"/>
      <c r="C818" s="49"/>
      <c r="D818" s="25"/>
      <c r="E818" s="25"/>
      <c r="F818" s="15"/>
    </row>
    <row r="819" spans="1:6" ht="12.75">
      <c r="A819" s="49"/>
      <c r="B819" s="45"/>
      <c r="C819" s="49"/>
      <c r="D819" s="25"/>
      <c r="E819" s="25"/>
      <c r="F819" s="15"/>
    </row>
    <row r="820" spans="1:6" ht="12.75">
      <c r="A820" s="49"/>
      <c r="B820" s="45"/>
      <c r="C820" s="49"/>
      <c r="D820" s="25"/>
      <c r="E820" s="25"/>
      <c r="F820" s="15"/>
    </row>
    <row r="821" spans="1:6" ht="12.75">
      <c r="A821" s="49"/>
      <c r="B821" s="45"/>
      <c r="C821" s="49"/>
      <c r="D821" s="25"/>
      <c r="E821" s="25"/>
      <c r="F821" s="15"/>
    </row>
    <row r="822" spans="1:6" ht="12.75">
      <c r="A822" s="49"/>
      <c r="B822" s="45"/>
      <c r="C822" s="49"/>
      <c r="D822" s="25"/>
      <c r="E822" s="25"/>
      <c r="F822" s="15"/>
    </row>
    <row r="823" spans="1:6" ht="12.75">
      <c r="A823" s="49"/>
      <c r="B823" s="45"/>
      <c r="C823" s="49"/>
      <c r="D823" s="25"/>
      <c r="E823" s="25"/>
      <c r="F823" s="15"/>
    </row>
    <row r="824" spans="1:6" ht="12.75">
      <c r="A824" s="49"/>
      <c r="B824" s="45"/>
      <c r="C824" s="49"/>
      <c r="D824" s="25"/>
      <c r="E824" s="25"/>
      <c r="F824" s="15"/>
    </row>
    <row r="825" spans="1:6" ht="12.75">
      <c r="A825" s="49"/>
      <c r="B825" s="45"/>
      <c r="C825" s="49"/>
      <c r="D825" s="25"/>
      <c r="E825" s="25"/>
      <c r="F825" s="15"/>
    </row>
    <row r="826" spans="1:6" ht="12.75">
      <c r="A826" s="49"/>
      <c r="B826" s="45"/>
      <c r="C826" s="49"/>
      <c r="D826" s="25"/>
      <c r="E826" s="25"/>
      <c r="F826" s="15"/>
    </row>
    <row r="827" spans="1:6" ht="12.75">
      <c r="A827" s="49"/>
      <c r="B827" s="45"/>
      <c r="C827" s="49"/>
      <c r="D827" s="25"/>
      <c r="E827" s="25"/>
      <c r="F827" s="15"/>
    </row>
    <row r="828" spans="1:6" ht="12.75">
      <c r="A828" s="49"/>
      <c r="B828" s="45"/>
      <c r="C828" s="49"/>
      <c r="D828" s="25"/>
      <c r="E828" s="25"/>
      <c r="F828" s="15"/>
    </row>
    <row r="829" spans="1:6" ht="12.75">
      <c r="A829" s="49"/>
      <c r="B829" s="45"/>
      <c r="C829" s="49"/>
      <c r="D829" s="25"/>
      <c r="E829" s="25"/>
      <c r="F829" s="15"/>
    </row>
    <row r="830" spans="1:6" ht="12.75">
      <c r="A830" s="49"/>
      <c r="B830" s="45"/>
      <c r="C830" s="49"/>
      <c r="D830" s="25"/>
      <c r="E830" s="25"/>
      <c r="F830" s="15"/>
    </row>
    <row r="831" spans="1:6" ht="12.75">
      <c r="A831" s="49"/>
      <c r="B831" s="45"/>
      <c r="C831" s="49"/>
      <c r="D831" s="25"/>
      <c r="E831" s="25"/>
      <c r="F831" s="15"/>
    </row>
    <row r="832" spans="1:6" ht="12.75">
      <c r="A832" s="49"/>
      <c r="B832" s="45"/>
      <c r="C832" s="49"/>
      <c r="D832" s="25"/>
      <c r="E832" s="25"/>
      <c r="F832" s="15"/>
    </row>
    <row r="833" spans="1:6" ht="12.75">
      <c r="A833" s="49"/>
      <c r="B833" s="45"/>
      <c r="C833" s="49"/>
      <c r="D833" s="25"/>
      <c r="E833" s="25"/>
      <c r="F833" s="15"/>
    </row>
    <row r="834" spans="1:6" ht="12.75">
      <c r="A834" s="49"/>
      <c r="B834" s="45"/>
      <c r="C834" s="49"/>
      <c r="D834" s="25"/>
      <c r="E834" s="25"/>
      <c r="F834" s="15"/>
    </row>
    <row r="835" spans="1:6" ht="12.75">
      <c r="A835" s="49"/>
      <c r="B835" s="45"/>
      <c r="C835" s="49"/>
      <c r="D835" s="25"/>
      <c r="E835" s="25"/>
      <c r="F835" s="15"/>
    </row>
    <row r="836" spans="1:6" ht="12.75">
      <c r="A836" s="49"/>
      <c r="B836" s="45"/>
      <c r="C836" s="49"/>
      <c r="D836" s="25"/>
      <c r="E836" s="25"/>
      <c r="F836" s="15"/>
    </row>
    <row r="837" spans="1:6" ht="12.75">
      <c r="A837" s="49"/>
      <c r="B837" s="45"/>
      <c r="C837" s="49"/>
      <c r="D837" s="25"/>
      <c r="E837" s="25"/>
      <c r="F837" s="15"/>
    </row>
    <row r="838" spans="1:6" ht="12.75">
      <c r="A838" s="49"/>
      <c r="B838" s="45"/>
      <c r="C838" s="49"/>
      <c r="D838" s="25"/>
      <c r="E838" s="25"/>
      <c r="F838" s="15"/>
    </row>
    <row r="839" spans="1:6" ht="12.75">
      <c r="A839" s="49"/>
      <c r="B839" s="45"/>
      <c r="C839" s="49"/>
      <c r="D839" s="25"/>
      <c r="E839" s="25"/>
      <c r="F839" s="15"/>
    </row>
    <row r="840" spans="1:6" ht="12.75">
      <c r="A840" s="49"/>
      <c r="B840" s="45"/>
      <c r="C840" s="49"/>
      <c r="D840" s="25"/>
      <c r="E840" s="25"/>
      <c r="F840" s="15"/>
    </row>
    <row r="841" spans="1:6" ht="12.75">
      <c r="A841" s="49"/>
      <c r="B841" s="45"/>
      <c r="C841" s="49"/>
      <c r="D841" s="25"/>
      <c r="E841" s="25"/>
      <c r="F841" s="15"/>
    </row>
    <row r="842" spans="1:6" ht="12.75">
      <c r="A842" s="49"/>
      <c r="B842" s="45"/>
      <c r="C842" s="49"/>
      <c r="D842" s="25"/>
      <c r="E842" s="25"/>
      <c r="F842" s="15"/>
    </row>
    <row r="843" spans="1:6" ht="12.75">
      <c r="A843" s="49"/>
      <c r="B843" s="45"/>
      <c r="C843" s="49"/>
      <c r="D843" s="25"/>
      <c r="E843" s="25"/>
      <c r="F843" s="15"/>
    </row>
    <row r="844" spans="1:6" ht="12.75">
      <c r="A844" s="49"/>
      <c r="B844" s="45"/>
      <c r="C844" s="49"/>
      <c r="D844" s="25"/>
      <c r="E844" s="25"/>
      <c r="F844" s="15"/>
    </row>
    <row r="845" spans="1:6" ht="12.75">
      <c r="A845" s="49"/>
      <c r="B845" s="45"/>
      <c r="C845" s="49"/>
      <c r="D845" s="25"/>
      <c r="E845" s="25"/>
      <c r="F845" s="15"/>
    </row>
    <row r="846" spans="1:6" ht="12.75">
      <c r="A846" s="49"/>
      <c r="B846" s="45"/>
      <c r="C846" s="49"/>
      <c r="D846" s="25"/>
      <c r="E846" s="25"/>
      <c r="F846" s="15"/>
    </row>
    <row r="847" spans="1:6" ht="12.75">
      <c r="A847" s="49"/>
      <c r="B847" s="45"/>
      <c r="C847" s="49"/>
      <c r="D847" s="25"/>
      <c r="E847" s="25"/>
      <c r="F847" s="15"/>
    </row>
    <row r="848" spans="1:6" ht="12.75">
      <c r="A848" s="49"/>
      <c r="B848" s="45"/>
      <c r="C848" s="49"/>
      <c r="D848" s="25"/>
      <c r="E848" s="25"/>
      <c r="F848" s="15"/>
    </row>
    <row r="849" spans="1:6" ht="12.75">
      <c r="A849" s="49"/>
      <c r="B849" s="45"/>
      <c r="C849" s="49"/>
      <c r="D849" s="25"/>
      <c r="E849" s="25"/>
      <c r="F849" s="15"/>
    </row>
    <row r="850" spans="1:6" ht="12.75">
      <c r="A850" s="49"/>
      <c r="B850" s="45"/>
      <c r="C850" s="49"/>
      <c r="D850" s="25"/>
      <c r="E850" s="25"/>
      <c r="F850" s="15"/>
    </row>
    <row r="851" spans="1:6" ht="12.75">
      <c r="A851" s="49"/>
      <c r="B851" s="45"/>
      <c r="C851" s="49"/>
      <c r="D851" s="25"/>
      <c r="E851" s="25"/>
      <c r="F851" s="15"/>
    </row>
    <row r="852" spans="1:6" ht="12.75">
      <c r="A852" s="49"/>
      <c r="B852" s="45"/>
      <c r="C852" s="49"/>
      <c r="D852" s="25"/>
      <c r="E852" s="25"/>
      <c r="F852" s="15"/>
    </row>
    <row r="853" spans="1:6" ht="12.75">
      <c r="A853" s="49"/>
      <c r="B853" s="45"/>
      <c r="C853" s="49"/>
      <c r="D853" s="25"/>
      <c r="E853" s="25"/>
      <c r="F853" s="15"/>
    </row>
    <row r="854" spans="1:6" ht="12.75">
      <c r="A854" s="49"/>
      <c r="B854" s="45"/>
      <c r="C854" s="49"/>
      <c r="D854" s="25"/>
      <c r="E854" s="25"/>
      <c r="F854" s="15"/>
    </row>
    <row r="855" spans="1:6" ht="12.75">
      <c r="A855" s="49"/>
      <c r="B855" s="45"/>
      <c r="C855" s="49"/>
      <c r="D855" s="25"/>
      <c r="E855" s="25"/>
      <c r="F855" s="15"/>
    </row>
    <row r="856" spans="1:6" ht="12.75">
      <c r="A856" s="49"/>
      <c r="B856" s="45"/>
      <c r="C856" s="49"/>
      <c r="D856" s="25"/>
      <c r="E856" s="25"/>
      <c r="F856" s="15"/>
    </row>
    <row r="857" spans="1:6" ht="12.75">
      <c r="A857" s="49"/>
      <c r="B857" s="45"/>
      <c r="C857" s="49"/>
      <c r="D857" s="25"/>
      <c r="E857" s="25"/>
      <c r="F857" s="15"/>
    </row>
    <row r="858" spans="1:6" ht="12.75">
      <c r="A858" s="49"/>
      <c r="B858" s="45"/>
      <c r="C858" s="49"/>
      <c r="D858" s="25"/>
      <c r="E858" s="25"/>
      <c r="F858" s="15"/>
    </row>
    <row r="859" spans="1:6" ht="12.75">
      <c r="A859" s="49"/>
      <c r="B859" s="45"/>
      <c r="C859" s="49"/>
      <c r="D859" s="25"/>
      <c r="E859" s="25"/>
      <c r="F859" s="15"/>
    </row>
    <row r="860" spans="1:6" ht="12.75">
      <c r="A860" s="49"/>
      <c r="B860" s="45"/>
      <c r="C860" s="49"/>
      <c r="D860" s="25"/>
      <c r="E860" s="25"/>
      <c r="F860" s="15"/>
    </row>
    <row r="861" spans="1:6" ht="12.75">
      <c r="A861" s="49"/>
      <c r="B861" s="45"/>
      <c r="C861" s="49"/>
      <c r="D861" s="25"/>
      <c r="E861" s="25"/>
      <c r="F861" s="15"/>
    </row>
    <row r="862" spans="1:6" ht="12.75">
      <c r="A862" s="49"/>
      <c r="B862" s="45"/>
      <c r="C862" s="49"/>
      <c r="D862" s="25"/>
      <c r="E862" s="25"/>
      <c r="F862" s="15"/>
    </row>
    <row r="863" spans="1:6" ht="12.75">
      <c r="A863" s="49"/>
      <c r="B863" s="45"/>
      <c r="C863" s="49"/>
      <c r="D863" s="25"/>
      <c r="E863" s="25"/>
      <c r="F863" s="15"/>
    </row>
    <row r="864" spans="1:6" ht="12.75">
      <c r="A864" s="49"/>
      <c r="B864" s="45"/>
      <c r="C864" s="49"/>
      <c r="D864" s="25"/>
      <c r="E864" s="25"/>
      <c r="F864" s="15"/>
    </row>
    <row r="865" spans="1:6" ht="12.75">
      <c r="A865" s="49"/>
      <c r="B865" s="45"/>
      <c r="C865" s="49"/>
      <c r="D865" s="25"/>
      <c r="E865" s="25"/>
      <c r="F865" s="15"/>
    </row>
    <row r="866" spans="1:6" ht="12.75">
      <c r="A866" s="49"/>
      <c r="B866" s="45"/>
      <c r="C866" s="49"/>
      <c r="D866" s="25"/>
      <c r="E866" s="25"/>
      <c r="F866" s="15"/>
    </row>
    <row r="867" spans="1:6" ht="12.75">
      <c r="A867" s="49"/>
      <c r="B867" s="45"/>
      <c r="C867" s="49"/>
      <c r="D867" s="25"/>
      <c r="E867" s="25"/>
      <c r="F867" s="15"/>
    </row>
    <row r="868" spans="1:6" ht="12.75">
      <c r="A868" s="49"/>
      <c r="B868" s="45"/>
      <c r="C868" s="49"/>
      <c r="D868" s="25"/>
      <c r="E868" s="25"/>
      <c r="F868" s="15"/>
    </row>
    <row r="869" spans="1:6" ht="12.75">
      <c r="A869" s="49"/>
      <c r="B869" s="45"/>
      <c r="C869" s="49"/>
      <c r="D869" s="25"/>
      <c r="E869" s="25"/>
      <c r="F869" s="15"/>
    </row>
    <row r="870" spans="1:6" ht="12.75">
      <c r="A870" s="49"/>
      <c r="B870" s="45"/>
      <c r="C870" s="49"/>
      <c r="D870" s="25"/>
      <c r="E870" s="25"/>
      <c r="F870" s="15"/>
    </row>
    <row r="871" spans="1:6" ht="12.75">
      <c r="A871" s="49"/>
      <c r="B871" s="45"/>
      <c r="C871" s="49"/>
      <c r="D871" s="25"/>
      <c r="E871" s="25"/>
      <c r="F871" s="15"/>
    </row>
    <row r="872" spans="1:6" ht="12.75">
      <c r="A872" s="49"/>
      <c r="B872" s="45"/>
      <c r="C872" s="49"/>
      <c r="D872" s="25"/>
      <c r="E872" s="25"/>
      <c r="F872" s="15"/>
    </row>
    <row r="873" spans="1:6" ht="12.75">
      <c r="A873" s="49"/>
      <c r="B873" s="45"/>
      <c r="C873" s="49"/>
      <c r="D873" s="25"/>
      <c r="E873" s="25"/>
      <c r="F873" s="15"/>
    </row>
    <row r="874" spans="1:6" ht="12.75">
      <c r="A874" s="49"/>
      <c r="B874" s="45"/>
      <c r="C874" s="49"/>
      <c r="D874" s="25"/>
      <c r="E874" s="25"/>
      <c r="F874" s="15"/>
    </row>
    <row r="875" spans="1:6" ht="12.75">
      <c r="A875" s="49"/>
      <c r="B875" s="45"/>
      <c r="C875" s="49"/>
      <c r="D875" s="25"/>
      <c r="E875" s="25"/>
      <c r="F875" s="15"/>
    </row>
    <row r="876" spans="1:6" ht="12.75">
      <c r="A876" s="49"/>
      <c r="B876" s="45"/>
      <c r="C876" s="49"/>
      <c r="D876" s="25"/>
      <c r="E876" s="25"/>
      <c r="F876" s="15"/>
    </row>
    <row r="877" spans="1:6" ht="12.75">
      <c r="A877" s="49"/>
      <c r="B877" s="45"/>
      <c r="C877" s="49"/>
      <c r="D877" s="25"/>
      <c r="E877" s="25"/>
      <c r="F877" s="15"/>
    </row>
    <row r="878" spans="1:6" ht="12.75">
      <c r="A878" s="49"/>
      <c r="B878" s="45"/>
      <c r="C878" s="49"/>
      <c r="D878" s="25"/>
      <c r="E878" s="25"/>
      <c r="F878" s="15"/>
    </row>
    <row r="879" spans="1:6" ht="12.75">
      <c r="A879" s="49"/>
      <c r="B879" s="45"/>
      <c r="C879" s="49"/>
      <c r="D879" s="25"/>
      <c r="E879" s="25"/>
      <c r="F879" s="15"/>
    </row>
    <row r="880" spans="1:6" ht="12.75">
      <c r="A880" s="49"/>
      <c r="B880" s="45"/>
      <c r="C880" s="49"/>
      <c r="D880" s="25"/>
      <c r="E880" s="25"/>
      <c r="F880" s="15"/>
    </row>
    <row r="881" spans="1:6" ht="12.75">
      <c r="A881" s="49"/>
      <c r="B881" s="45"/>
      <c r="C881" s="49"/>
      <c r="D881" s="25"/>
      <c r="E881" s="25"/>
      <c r="F881" s="15"/>
    </row>
    <row r="882" spans="1:6" ht="12.75">
      <c r="A882" s="49"/>
      <c r="B882" s="45"/>
      <c r="C882" s="49"/>
      <c r="D882" s="25"/>
      <c r="E882" s="25"/>
      <c r="F882" s="15"/>
    </row>
    <row r="883" spans="1:6" ht="12.75">
      <c r="A883" s="49"/>
      <c r="B883" s="45"/>
      <c r="C883" s="49"/>
      <c r="D883" s="25"/>
      <c r="E883" s="25"/>
      <c r="F883" s="15"/>
    </row>
    <row r="884" spans="1:6" ht="12.75">
      <c r="A884" s="49"/>
      <c r="B884" s="45"/>
      <c r="C884" s="49"/>
      <c r="D884" s="25"/>
      <c r="E884" s="25"/>
      <c r="F884" s="15"/>
    </row>
    <row r="885" spans="1:6" ht="12.75">
      <c r="A885" s="49"/>
      <c r="B885" s="45"/>
      <c r="C885" s="49"/>
      <c r="D885" s="25"/>
      <c r="E885" s="25"/>
      <c r="F885" s="15"/>
    </row>
    <row r="886" spans="1:6" ht="12.75">
      <c r="A886" s="49"/>
      <c r="B886" s="45"/>
      <c r="C886" s="49"/>
      <c r="D886" s="25"/>
      <c r="E886" s="25"/>
      <c r="F886" s="15"/>
    </row>
    <row r="887" spans="1:6" ht="12.75">
      <c r="A887" s="49"/>
      <c r="B887" s="45"/>
      <c r="C887" s="49"/>
      <c r="D887" s="25"/>
      <c r="E887" s="25"/>
      <c r="F887" s="15"/>
    </row>
    <row r="888" spans="1:6" ht="12.75">
      <c r="A888" s="49"/>
      <c r="B888" s="45"/>
      <c r="C888" s="49"/>
      <c r="D888" s="25"/>
      <c r="E888" s="25"/>
      <c r="F888" s="15"/>
    </row>
    <row r="889" spans="1:6" ht="12.75">
      <c r="A889" s="49"/>
      <c r="B889" s="45"/>
      <c r="C889" s="49"/>
      <c r="D889" s="25"/>
      <c r="E889" s="25"/>
      <c r="F889" s="15"/>
    </row>
    <row r="890" spans="1:6" ht="12.75">
      <c r="A890" s="49"/>
      <c r="B890" s="45"/>
      <c r="C890" s="49"/>
      <c r="D890" s="25"/>
      <c r="E890" s="25"/>
      <c r="F890" s="15"/>
    </row>
    <row r="891" spans="1:6" ht="12.75">
      <c r="A891" s="49"/>
      <c r="B891" s="45"/>
      <c r="C891" s="49"/>
      <c r="D891" s="25"/>
      <c r="E891" s="25"/>
      <c r="F891" s="15"/>
    </row>
    <row r="892" spans="1:6" ht="12.75">
      <c r="A892" s="49"/>
      <c r="B892" s="45"/>
      <c r="C892" s="49"/>
      <c r="D892" s="25"/>
      <c r="E892" s="25"/>
      <c r="F892" s="15"/>
    </row>
    <row r="893" spans="1:6" ht="12.75">
      <c r="A893" s="49"/>
      <c r="B893" s="45"/>
      <c r="C893" s="49"/>
      <c r="D893" s="25"/>
      <c r="E893" s="25"/>
      <c r="F893" s="15"/>
    </row>
    <row r="894" spans="1:6" ht="12.75">
      <c r="A894" s="49"/>
      <c r="B894" s="45"/>
      <c r="C894" s="49"/>
      <c r="D894" s="25"/>
      <c r="E894" s="25"/>
      <c r="F894" s="15"/>
    </row>
    <row r="895" spans="1:6" ht="12.75">
      <c r="A895" s="49"/>
      <c r="B895" s="45"/>
      <c r="C895" s="49"/>
      <c r="D895" s="25"/>
      <c r="E895" s="25"/>
      <c r="F895" s="15"/>
    </row>
    <row r="896" spans="1:6" ht="12.75">
      <c r="A896" s="49"/>
      <c r="B896" s="45"/>
      <c r="C896" s="49"/>
      <c r="D896" s="25"/>
      <c r="E896" s="25"/>
      <c r="F896" s="15"/>
    </row>
    <row r="897" spans="1:6" ht="12.75">
      <c r="A897" s="49"/>
      <c r="B897" s="45"/>
      <c r="C897" s="49"/>
      <c r="D897" s="25"/>
      <c r="E897" s="25"/>
      <c r="F897" s="15"/>
    </row>
    <row r="898" spans="1:6" ht="12.75">
      <c r="A898" s="49"/>
      <c r="B898" s="45"/>
      <c r="C898" s="49"/>
      <c r="D898" s="25"/>
      <c r="E898" s="25"/>
      <c r="F898" s="15"/>
    </row>
    <row r="899" spans="1:6" ht="12.75">
      <c r="A899" s="49"/>
      <c r="B899" s="45"/>
      <c r="C899" s="49"/>
      <c r="D899" s="25"/>
      <c r="E899" s="25"/>
      <c r="F899" s="15"/>
    </row>
    <row r="900" spans="1:6" ht="12.75">
      <c r="A900" s="49"/>
      <c r="B900" s="45"/>
      <c r="C900" s="49"/>
      <c r="D900" s="25"/>
      <c r="E900" s="25"/>
      <c r="F900" s="15"/>
    </row>
    <row r="901" spans="1:6" ht="12.75">
      <c r="A901" s="49"/>
      <c r="B901" s="45"/>
      <c r="C901" s="49"/>
      <c r="D901" s="25"/>
      <c r="E901" s="25"/>
      <c r="F901" s="15"/>
    </row>
    <row r="902" spans="1:6" ht="12.75">
      <c r="A902" s="49"/>
      <c r="B902" s="45"/>
      <c r="C902" s="49"/>
      <c r="D902" s="25"/>
      <c r="E902" s="25"/>
      <c r="F902" s="15"/>
    </row>
    <row r="903" spans="1:6" ht="12.75">
      <c r="A903" s="49"/>
      <c r="B903" s="45"/>
      <c r="C903" s="49"/>
      <c r="D903" s="25"/>
      <c r="E903" s="25"/>
      <c r="F903" s="15"/>
    </row>
    <row r="904" spans="1:6" ht="12.75">
      <c r="A904" s="49"/>
      <c r="B904" s="45"/>
      <c r="C904" s="49"/>
      <c r="D904" s="25"/>
      <c r="E904" s="25"/>
      <c r="F904" s="15"/>
    </row>
    <row r="905" spans="1:6" ht="12.75">
      <c r="A905" s="49"/>
      <c r="B905" s="45"/>
      <c r="C905" s="49"/>
      <c r="D905" s="25"/>
      <c r="E905" s="25"/>
      <c r="F905" s="15"/>
    </row>
    <row r="906" spans="1:6" ht="12.75">
      <c r="A906" s="49"/>
      <c r="B906" s="45"/>
      <c r="C906" s="49"/>
      <c r="D906" s="25"/>
      <c r="E906" s="25"/>
      <c r="F906" s="15"/>
    </row>
    <row r="907" spans="1:6" ht="12.75">
      <c r="A907" s="49"/>
      <c r="B907" s="45"/>
      <c r="C907" s="49"/>
      <c r="D907" s="25"/>
      <c r="E907" s="25"/>
      <c r="F907" s="15"/>
    </row>
    <row r="908" spans="1:6" ht="12.75">
      <c r="A908" s="49"/>
      <c r="B908" s="45"/>
      <c r="C908" s="49"/>
      <c r="D908" s="25"/>
      <c r="E908" s="25"/>
      <c r="F908" s="15"/>
    </row>
    <row r="909" spans="1:6" ht="12.75">
      <c r="A909" s="49"/>
      <c r="B909" s="45"/>
      <c r="C909" s="49"/>
      <c r="D909" s="25"/>
      <c r="E909" s="25"/>
      <c r="F909" s="15"/>
    </row>
    <row r="910" spans="1:6" ht="12.75">
      <c r="A910" s="49"/>
      <c r="B910" s="45"/>
      <c r="C910" s="49"/>
      <c r="D910" s="25"/>
      <c r="E910" s="25"/>
      <c r="F910" s="15"/>
    </row>
    <row r="911" spans="1:6" ht="12.75">
      <c r="A911" s="49"/>
      <c r="B911" s="45"/>
      <c r="C911" s="49"/>
      <c r="D911" s="25"/>
      <c r="E911" s="25"/>
      <c r="F911" s="15"/>
    </row>
    <row r="912" spans="1:6" ht="12.75">
      <c r="A912" s="49"/>
      <c r="B912" s="45"/>
      <c r="C912" s="49"/>
      <c r="D912" s="25"/>
      <c r="E912" s="25"/>
      <c r="F912" s="15"/>
    </row>
    <row r="913" spans="1:6" ht="12.75">
      <c r="A913" s="49"/>
      <c r="B913" s="45"/>
      <c r="C913" s="49"/>
      <c r="D913" s="25"/>
      <c r="E913" s="25"/>
      <c r="F913" s="15"/>
    </row>
    <row r="914" spans="1:6" ht="12.75">
      <c r="A914" s="49"/>
      <c r="B914" s="45"/>
      <c r="C914" s="49"/>
      <c r="D914" s="25"/>
      <c r="E914" s="25"/>
      <c r="F914" s="15"/>
    </row>
    <row r="915" spans="1:6" ht="12.75">
      <c r="A915" s="49"/>
      <c r="B915" s="45"/>
      <c r="C915" s="49"/>
      <c r="D915" s="25"/>
      <c r="E915" s="25"/>
      <c r="F915" s="15"/>
    </row>
    <row r="916" spans="1:6" ht="12.75">
      <c r="A916" s="49"/>
      <c r="B916" s="45"/>
      <c r="C916" s="49"/>
      <c r="D916" s="25"/>
      <c r="E916" s="25"/>
      <c r="F916" s="15"/>
    </row>
    <row r="917" spans="1:6" ht="12.75">
      <c r="A917" s="49"/>
      <c r="B917" s="45"/>
      <c r="C917" s="49"/>
      <c r="D917" s="25"/>
      <c r="E917" s="25"/>
      <c r="F917" s="15"/>
    </row>
    <row r="918" spans="1:6" ht="12.75">
      <c r="A918" s="49"/>
      <c r="B918" s="45"/>
      <c r="C918" s="49"/>
      <c r="D918" s="25"/>
      <c r="E918" s="25"/>
      <c r="F918" s="15"/>
    </row>
    <row r="919" spans="1:6" ht="12.75">
      <c r="A919" s="49"/>
      <c r="B919" s="45"/>
      <c r="C919" s="49"/>
      <c r="D919" s="25"/>
      <c r="E919" s="25"/>
      <c r="F919" s="15"/>
    </row>
    <row r="920" spans="1:6" ht="12.75">
      <c r="A920" s="49"/>
      <c r="B920" s="45"/>
      <c r="C920" s="49"/>
      <c r="D920" s="25"/>
      <c r="E920" s="25"/>
      <c r="F920" s="15"/>
    </row>
    <row r="921" spans="1:6" ht="12.75">
      <c r="A921" s="49"/>
      <c r="B921" s="45"/>
      <c r="C921" s="49"/>
      <c r="D921" s="25"/>
      <c r="E921" s="25"/>
      <c r="F921" s="15"/>
    </row>
    <row r="922" spans="1:6" ht="12.75">
      <c r="A922" s="49"/>
      <c r="B922" s="45"/>
      <c r="C922" s="49"/>
      <c r="D922" s="25"/>
      <c r="E922" s="25"/>
      <c r="F922" s="15"/>
    </row>
    <row r="923" spans="1:6" ht="12.75">
      <c r="A923" s="49"/>
      <c r="B923" s="45"/>
      <c r="C923" s="49"/>
      <c r="D923" s="25"/>
      <c r="E923" s="25"/>
      <c r="F923" s="15"/>
    </row>
    <row r="924" spans="1:6" ht="12.75">
      <c r="A924" s="49"/>
      <c r="B924" s="45"/>
      <c r="C924" s="49"/>
      <c r="D924" s="25"/>
      <c r="E924" s="25"/>
      <c r="F924" s="15"/>
    </row>
    <row r="925" spans="1:6" ht="12.75">
      <c r="A925" s="49"/>
      <c r="B925" s="45"/>
      <c r="C925" s="49"/>
      <c r="D925" s="25"/>
      <c r="E925" s="25"/>
      <c r="F925" s="15"/>
    </row>
    <row r="926" spans="1:6" ht="12.75">
      <c r="A926" s="49"/>
      <c r="B926" s="45"/>
      <c r="C926" s="49"/>
      <c r="D926" s="25"/>
      <c r="E926" s="25"/>
      <c r="F926" s="15"/>
    </row>
    <row r="927" spans="1:6" ht="12.75">
      <c r="A927" s="49"/>
      <c r="B927" s="45"/>
      <c r="C927" s="49"/>
      <c r="D927" s="25"/>
      <c r="E927" s="25"/>
      <c r="F927" s="15"/>
    </row>
    <row r="928" spans="1:6" ht="12.75">
      <c r="A928" s="49"/>
      <c r="B928" s="45"/>
      <c r="C928" s="49"/>
      <c r="D928" s="25"/>
      <c r="E928" s="25"/>
      <c r="F928" s="15"/>
    </row>
    <row r="929" spans="1:6" ht="12.75">
      <c r="A929" s="49"/>
      <c r="B929" s="45"/>
      <c r="C929" s="49"/>
      <c r="D929" s="25"/>
      <c r="E929" s="25"/>
      <c r="F929" s="15"/>
    </row>
    <row r="930" spans="1:6" ht="12.75">
      <c r="A930" s="49"/>
      <c r="B930" s="45"/>
      <c r="C930" s="49"/>
      <c r="D930" s="25"/>
      <c r="E930" s="25"/>
      <c r="F930" s="15"/>
    </row>
    <row r="931" spans="1:6" ht="12.75">
      <c r="A931" s="49"/>
      <c r="B931" s="45"/>
      <c r="C931" s="49"/>
      <c r="D931" s="25"/>
      <c r="E931" s="25"/>
      <c r="F931" s="15"/>
    </row>
    <row r="932" spans="1:6" ht="12.75">
      <c r="A932" s="49"/>
      <c r="B932" s="45"/>
      <c r="C932" s="49"/>
      <c r="D932" s="25"/>
      <c r="E932" s="25"/>
      <c r="F932" s="15"/>
    </row>
    <row r="933" spans="1:6" ht="12.75">
      <c r="A933" s="49"/>
      <c r="B933" s="45"/>
      <c r="C933" s="49"/>
      <c r="D933" s="25"/>
      <c r="E933" s="25"/>
      <c r="F933" s="15"/>
    </row>
    <row r="934" spans="1:6" ht="12.75">
      <c r="A934" s="49"/>
      <c r="B934" s="45"/>
      <c r="C934" s="49"/>
      <c r="D934" s="25"/>
      <c r="E934" s="25"/>
      <c r="F934" s="15"/>
    </row>
    <row r="935" spans="1:6" ht="12.75">
      <c r="A935" s="49"/>
      <c r="B935" s="45"/>
      <c r="C935" s="49"/>
      <c r="D935" s="25"/>
      <c r="E935" s="25"/>
      <c r="F935" s="15"/>
    </row>
    <row r="936" spans="1:6" ht="12.75">
      <c r="A936" s="49"/>
      <c r="B936" s="45"/>
      <c r="C936" s="49"/>
      <c r="D936" s="25"/>
      <c r="E936" s="25"/>
      <c r="F936" s="15"/>
    </row>
    <row r="937" spans="1:6" ht="12.75">
      <c r="A937" s="49"/>
      <c r="B937" s="45"/>
      <c r="C937" s="49"/>
      <c r="D937" s="25"/>
      <c r="E937" s="25"/>
      <c r="F937" s="15"/>
    </row>
    <row r="938" spans="1:6" ht="12.75">
      <c r="A938" s="49"/>
      <c r="B938" s="45"/>
      <c r="C938" s="49"/>
      <c r="D938" s="25"/>
      <c r="E938" s="25"/>
      <c r="F938" s="15"/>
    </row>
    <row r="939" spans="1:6" ht="12.75">
      <c r="A939" s="49"/>
      <c r="B939" s="45"/>
      <c r="C939" s="49"/>
      <c r="D939" s="25"/>
      <c r="E939" s="25"/>
      <c r="F939" s="15"/>
    </row>
    <row r="940" spans="1:6" ht="12.75">
      <c r="A940" s="49"/>
      <c r="B940" s="45"/>
      <c r="C940" s="49"/>
      <c r="D940" s="25"/>
      <c r="E940" s="25"/>
      <c r="F940" s="15"/>
    </row>
    <row r="941" spans="1:6" ht="12.75">
      <c r="A941" s="49"/>
      <c r="B941" s="45"/>
      <c r="C941" s="49"/>
      <c r="D941" s="25"/>
      <c r="E941" s="25"/>
      <c r="F941" s="15"/>
    </row>
    <row r="942" spans="1:6" ht="12.75">
      <c r="A942" s="49"/>
      <c r="B942" s="45"/>
      <c r="C942" s="49"/>
      <c r="D942" s="25"/>
      <c r="E942" s="25"/>
      <c r="F942" s="15"/>
    </row>
    <row r="943" spans="1:6" ht="12.75">
      <c r="A943" s="49"/>
      <c r="B943" s="45"/>
      <c r="C943" s="49"/>
      <c r="D943" s="25"/>
      <c r="E943" s="25"/>
      <c r="F943" s="15"/>
    </row>
    <row r="944" spans="1:6" ht="12.75">
      <c r="A944" s="49"/>
      <c r="B944" s="45"/>
      <c r="C944" s="49"/>
      <c r="D944" s="25"/>
      <c r="E944" s="25"/>
      <c r="F944" s="15"/>
    </row>
    <row r="945" spans="1:6" ht="12.75">
      <c r="A945" s="49"/>
      <c r="B945" s="45"/>
      <c r="C945" s="49"/>
      <c r="D945" s="25"/>
      <c r="E945" s="25"/>
      <c r="F945" s="15"/>
    </row>
    <row r="946" spans="1:6" ht="12.75">
      <c r="A946" s="49"/>
      <c r="B946" s="45"/>
      <c r="C946" s="49"/>
      <c r="D946" s="25"/>
      <c r="E946" s="25"/>
      <c r="F946" s="15"/>
    </row>
    <row r="947" spans="1:6" ht="12.75">
      <c r="A947" s="49"/>
      <c r="B947" s="45"/>
      <c r="C947" s="49"/>
      <c r="D947" s="25"/>
      <c r="E947" s="25"/>
      <c r="F947" s="15"/>
    </row>
    <row r="948" spans="1:6" ht="12.75">
      <c r="A948" s="49"/>
      <c r="B948" s="45"/>
      <c r="C948" s="49"/>
      <c r="D948" s="25"/>
      <c r="E948" s="25"/>
      <c r="F948" s="15"/>
    </row>
    <row r="949" spans="1:6" ht="12.75">
      <c r="A949" s="49"/>
      <c r="B949" s="45"/>
      <c r="C949" s="49"/>
      <c r="D949" s="25"/>
      <c r="E949" s="25"/>
      <c r="F949" s="15"/>
    </row>
    <row r="950" spans="1:6" ht="12.75">
      <c r="A950" s="49"/>
      <c r="B950" s="45"/>
      <c r="C950" s="49"/>
      <c r="D950" s="25"/>
      <c r="E950" s="25"/>
      <c r="F950" s="15"/>
    </row>
    <row r="951" spans="1:6" ht="12.75">
      <c r="A951" s="49"/>
      <c r="B951" s="45"/>
      <c r="C951" s="49"/>
      <c r="D951" s="25"/>
      <c r="E951" s="25"/>
      <c r="F951" s="15"/>
    </row>
    <row r="952" spans="1:6" ht="12.75">
      <c r="A952" s="49"/>
      <c r="B952" s="45"/>
      <c r="C952" s="49"/>
      <c r="D952" s="25"/>
      <c r="E952" s="25"/>
      <c r="F952" s="15"/>
    </row>
    <row r="953" spans="1:6" ht="12.75"/>
  </sheetData>
  <customSheetViews>
    <customSheetView guid="{9FE0E3E1-7409-4A9F-B61A-4A52A4CA8FDA}" filter="1" showAutoFilter="1">
      <pageMargins left="0.7" right="0.7" top="0.75" bottom="0.75" header="0.3" footer="0.3"/>
      <autoFilter ref="M1:M991" xr:uid="{9AD0E902-47F6-42A2-8C65-A760BAA5D4A2}"/>
    </customSheetView>
  </customSheetViews>
  <conditionalFormatting sqref="A2:A131">
    <cfRule type="expression" dxfId="0" priority="1">
      <formula>"СЧЁТЕСЛИ([Diachronicon_база_данных.xlsx]Лист1!$A:$A,$A1)&gt;0"</formula>
    </cfRule>
  </conditionalFormatting>
  <dataValidations count="1">
    <dataValidation type="list" allowBlank="1" sqref="F2:F952" xr:uid="{00000000-0002-0000-0000-000000000000}">
      <formula1>"ready,draft"</formula1>
    </dataValidation>
  </dataValidations>
  <hyperlinks>
    <hyperlink ref="D79" r:id="rId3" xr:uid="{00000000-0004-0000-0000-000001000000}"/>
    <hyperlink ref="E79" r:id="rId4" xr:uid="{00000000-0004-0000-0000-000002000000}"/>
    <hyperlink ref="D89" r:id="rId5" xr:uid="{00000000-0004-0000-0000-000005000000}"/>
    <hyperlink ref="E89" r:id="rId6" xr:uid="{00000000-0004-0000-0000-000006000000}"/>
    <hyperlink ref="D34" r:id="rId7" location="gid=1067619043" xr:uid="{00000000-0004-0000-0000-000007000000}"/>
    <hyperlink ref="E34" r:id="rId8" xr:uid="{00000000-0004-0000-0000-000008000000}"/>
    <hyperlink ref="D71" r:id="rId9" xr:uid="{00000000-0004-0000-0000-00000A000000}"/>
    <hyperlink ref="E71" r:id="rId10" xr:uid="{00000000-0004-0000-0000-00000B000000}"/>
    <hyperlink ref="D78" r:id="rId11" xr:uid="{00000000-0004-0000-0000-00000C000000}"/>
    <hyperlink ref="E82" r:id="rId12" location="heading=h.gjdgxs" xr:uid="{00000000-0004-0000-0000-00000D000000}"/>
    <hyperlink ref="E85" r:id="rId13" xr:uid="{00000000-0004-0000-0000-00000E000000}"/>
    <hyperlink ref="E125" r:id="rId14" xr:uid="{00000000-0004-0000-0000-00000F000000}"/>
    <hyperlink ref="E22" r:id="rId15" xr:uid="{00000000-0004-0000-0000-000010000000}"/>
    <hyperlink ref="E28" r:id="rId16" xr:uid="{00000000-0004-0000-0000-000011000000}"/>
    <hyperlink ref="D92" r:id="rId17" xr:uid="{00000000-0004-0000-0000-000012000000}"/>
    <hyperlink ref="E92" r:id="rId18" xr:uid="{00000000-0004-0000-0000-000013000000}"/>
    <hyperlink ref="D102" r:id="rId19" xr:uid="{00000000-0004-0000-0000-000014000000}"/>
    <hyperlink ref="E102" r:id="rId20" xr:uid="{00000000-0004-0000-0000-000015000000}"/>
    <hyperlink ref="D44" r:id="rId21" xr:uid="{00000000-0004-0000-0000-000016000000}"/>
    <hyperlink ref="E44" r:id="rId22" xr:uid="{00000000-0004-0000-0000-000017000000}"/>
    <hyperlink ref="D113" r:id="rId23" xr:uid="{00000000-0004-0000-0000-000018000000}"/>
    <hyperlink ref="E113" r:id="rId24" xr:uid="{00000000-0004-0000-0000-000019000000}"/>
    <hyperlink ref="D48" r:id="rId25" xr:uid="{00000000-0004-0000-0000-00001A000000}"/>
    <hyperlink ref="E48" r:id="rId26" xr:uid="{00000000-0004-0000-0000-00001B000000}"/>
    <hyperlink ref="D120" r:id="rId27" xr:uid="{00000000-0004-0000-0000-00001C000000}"/>
    <hyperlink ref="E120" r:id="rId28" xr:uid="{00000000-0004-0000-0000-00001D000000}"/>
    <hyperlink ref="D124" r:id="rId29" xr:uid="{00000000-0004-0000-0000-00001E000000}"/>
    <hyperlink ref="E124" r:id="rId30" xr:uid="{00000000-0004-0000-0000-00001F000000}"/>
    <hyperlink ref="D128" r:id="rId31" xr:uid="{00000000-0004-0000-0000-000020000000}"/>
    <hyperlink ref="E128" r:id="rId32" xr:uid="{00000000-0004-0000-0000-000021000000}"/>
    <hyperlink ref="D21" r:id="rId33" xr:uid="{00000000-0004-0000-0000-000022000000}"/>
    <hyperlink ref="D27" r:id="rId34" xr:uid="{00000000-0004-0000-0000-000023000000}"/>
    <hyperlink ref="E27" r:id="rId35" xr:uid="{00000000-0004-0000-0000-000024000000}"/>
    <hyperlink ref="D43" r:id="rId36" xr:uid="{00000000-0004-0000-0000-000025000000}"/>
    <hyperlink ref="E43" r:id="rId37" xr:uid="{00000000-0004-0000-0000-000026000000}"/>
    <hyperlink ref="D47" r:id="rId38" xr:uid="{00000000-0004-0000-0000-000027000000}"/>
    <hyperlink ref="E47" r:id="rId39" xr:uid="{00000000-0004-0000-0000-000028000000}"/>
    <hyperlink ref="D51" r:id="rId40" xr:uid="{00000000-0004-0000-0000-000029000000}"/>
    <hyperlink ref="E51" r:id="rId41" xr:uid="{00000000-0004-0000-0000-00002A000000}"/>
    <hyperlink ref="D59" r:id="rId42" xr:uid="{00000000-0004-0000-0000-00002B000000}"/>
    <hyperlink ref="E59" r:id="rId43" xr:uid="{00000000-0004-0000-0000-00002C000000}"/>
    <hyperlink ref="D69" r:id="rId44" xr:uid="{00000000-0004-0000-0000-00002D000000}"/>
    <hyperlink ref="E69" r:id="rId45" xr:uid="{00000000-0004-0000-0000-00002E000000}"/>
    <hyperlink ref="D75" r:id="rId46" xr:uid="{00000000-0004-0000-0000-00002F000000}"/>
    <hyperlink ref="E75" r:id="rId47" xr:uid="{00000000-0004-0000-0000-000030000000}"/>
    <hyperlink ref="D81" r:id="rId48" xr:uid="{00000000-0004-0000-0000-000031000000}"/>
    <hyperlink ref="E81" r:id="rId49" xr:uid="{00000000-0004-0000-0000-000032000000}"/>
    <hyperlink ref="D83" r:id="rId50" xr:uid="{00000000-0004-0000-0000-000033000000}"/>
    <hyperlink ref="E83" r:id="rId51" xr:uid="{00000000-0004-0000-0000-000034000000}"/>
    <hyperlink ref="E60" r:id="rId52" xr:uid="{00000000-0004-0000-0000-000035000000}"/>
    <hyperlink ref="D119" r:id="rId53" xr:uid="{00000000-0004-0000-0000-000036000000}"/>
    <hyperlink ref="D63" r:id="rId54" xr:uid="{00000000-0004-0000-0000-000037000000}"/>
    <hyperlink ref="E63" r:id="rId55" xr:uid="{00000000-0004-0000-0000-000038000000}"/>
    <hyperlink ref="D65" r:id="rId56" xr:uid="{00000000-0004-0000-0000-000039000000}"/>
    <hyperlink ref="E65" r:id="rId57" xr:uid="{00000000-0004-0000-0000-00003A000000}"/>
    <hyperlink ref="D91" r:id="rId58" xr:uid="{00000000-0004-0000-0000-00003B000000}"/>
    <hyperlink ref="E91" r:id="rId59" xr:uid="{00000000-0004-0000-0000-00003C000000}"/>
    <hyperlink ref="D104" r:id="rId60" xr:uid="{00000000-0004-0000-0000-00003D000000}"/>
    <hyperlink ref="E104" r:id="rId61" xr:uid="{00000000-0004-0000-0000-00003E000000}"/>
    <hyperlink ref="D115" r:id="rId62" xr:uid="{00000000-0004-0000-0000-00003F000000}"/>
    <hyperlink ref="E115" r:id="rId63" xr:uid="{00000000-0004-0000-0000-000040000000}"/>
    <hyperlink ref="E101" r:id="rId64" xr:uid="{00000000-0004-0000-0000-000041000000}"/>
    <hyperlink ref="D96" r:id="rId65" xr:uid="{00000000-0004-0000-0000-000044000000}"/>
    <hyperlink ref="E96" r:id="rId66" xr:uid="{00000000-0004-0000-0000-000045000000}"/>
    <hyperlink ref="D116" r:id="rId67" xr:uid="{00000000-0004-0000-0000-000046000000}"/>
    <hyperlink ref="E116" r:id="rId68" xr:uid="{00000000-0004-0000-0000-000047000000}"/>
    <hyperlink ref="D20" r:id="rId69" xr:uid="{00000000-0004-0000-0000-000048000000}"/>
    <hyperlink ref="E20" r:id="rId70" xr:uid="{00000000-0004-0000-0000-000049000000}"/>
    <hyperlink ref="D121" r:id="rId71" xr:uid="{00000000-0004-0000-0000-00004A000000}"/>
    <hyperlink ref="E121" r:id="rId72" xr:uid="{00000000-0004-0000-0000-00004B000000}"/>
    <hyperlink ref="D67" r:id="rId73" xr:uid="{00000000-0004-0000-0000-000050000000}"/>
    <hyperlink ref="E67" r:id="rId74" xr:uid="{00000000-0004-0000-0000-000051000000}"/>
    <hyperlink ref="D24" r:id="rId75" xr:uid="{00000000-0004-0000-0000-000052000000}"/>
    <hyperlink ref="E24" r:id="rId76" xr:uid="{00000000-0004-0000-0000-000053000000}"/>
    <hyperlink ref="E108" r:id="rId77" xr:uid="{00000000-0004-0000-0000-000054000000}"/>
    <hyperlink ref="E99" r:id="rId78" xr:uid="{00000000-0004-0000-0000-000055000000}"/>
    <hyperlink ref="D107" r:id="rId79" xr:uid="{00000000-0004-0000-0000-000056000000}"/>
    <hyperlink ref="E107" r:id="rId80" xr:uid="{00000000-0004-0000-0000-000057000000}"/>
    <hyperlink ref="D117" r:id="rId81" xr:uid="{00000000-0004-0000-0000-000058000000}"/>
    <hyperlink ref="E117" r:id="rId82" xr:uid="{00000000-0004-0000-0000-000059000000}"/>
    <hyperlink ref="D123" r:id="rId83" xr:uid="{00000000-0004-0000-0000-00005A000000}"/>
    <hyperlink ref="E123" r:id="rId84" xr:uid="{00000000-0004-0000-0000-00005B000000}"/>
    <hyperlink ref="D50" r:id="rId85" xr:uid="{00000000-0004-0000-0000-00005D000000}"/>
    <hyperlink ref="E50" r:id="rId86" xr:uid="{00000000-0004-0000-0000-00005E000000}"/>
    <hyperlink ref="D130" r:id="rId87" location="gid=1234901686" xr:uid="{00000000-0004-0000-0000-000060000000}"/>
    <hyperlink ref="E130" r:id="rId88" xr:uid="{00000000-0004-0000-0000-000061000000}"/>
    <hyperlink ref="D25" r:id="rId89" location="gid=1534343026" xr:uid="{00000000-0004-0000-0000-000062000000}"/>
    <hyperlink ref="D131" r:id="rId90" location="gid=0" xr:uid="{00000000-0004-0000-0000-000063000000}"/>
    <hyperlink ref="E131" r:id="rId91" xr:uid="{00000000-0004-0000-0000-000064000000}"/>
    <hyperlink ref="D26" r:id="rId92" location="gid=0" xr:uid="{00000000-0004-0000-0000-000065000000}"/>
    <hyperlink ref="E26" r:id="rId93" xr:uid="{00000000-0004-0000-0000-000066000000}"/>
    <hyperlink ref="D39" r:id="rId94" xr:uid="{00000000-0004-0000-0000-000067000000}"/>
    <hyperlink ref="E39" r:id="rId95" xr:uid="{00000000-0004-0000-0000-000068000000}"/>
    <hyperlink ref="D42" r:id="rId96" xr:uid="{00000000-0004-0000-0000-000069000000}"/>
    <hyperlink ref="E42" r:id="rId97" xr:uid="{00000000-0004-0000-0000-00006A000000}"/>
    <hyperlink ref="D4" r:id="rId98" xr:uid="{00000000-0004-0000-0000-00006B000000}"/>
    <hyperlink ref="E4" r:id="rId99" xr:uid="{00000000-0004-0000-0000-00006C000000}"/>
    <hyperlink ref="D12" r:id="rId100" xr:uid="{00000000-0004-0000-0000-00006D000000}"/>
    <hyperlink ref="D46" r:id="rId101" xr:uid="{00000000-0004-0000-0000-00006E000000}"/>
    <hyperlink ref="E46" r:id="rId102" xr:uid="{00000000-0004-0000-0000-00006F000000}"/>
  </hyperlinks>
  <pageMargins left="0.7" right="0.7" top="0.75" bottom="0.75" header="0.3" footer="0.3"/>
  <legacyDrawing r:id="rId103"/>
  <tableParts count="1">
    <tablePart r:id="rId104"/>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168"/>
  <sheetViews>
    <sheetView workbookViewId="0">
      <pane ySplit="1" topLeftCell="A2" activePane="bottomLeft" state="frozen"/>
      <selection pane="bottomLeft" activeCell="B8" sqref="B8"/>
    </sheetView>
  </sheetViews>
  <sheetFormatPr defaultColWidth="12.7109375" defaultRowHeight="15.95" customHeight="1"/>
  <cols>
    <col min="1" max="1" width="15.7109375" style="269" customWidth="1"/>
    <col min="2" max="2" width="24.42578125" style="269" customWidth="1"/>
    <col min="3" max="3" width="13.7109375" style="269" customWidth="1"/>
    <col min="4" max="4" width="23.42578125" style="269" customWidth="1"/>
    <col min="5" max="10" width="14.28515625" style="269" customWidth="1"/>
    <col min="11" max="16384" width="12.7109375" style="269"/>
  </cols>
  <sheetData>
    <row r="1" spans="1:10" ht="38.25" customHeight="1">
      <c r="A1" s="261" t="s">
        <v>0</v>
      </c>
      <c r="B1" s="262" t="s">
        <v>387</v>
      </c>
      <c r="C1" s="263" t="s">
        <v>388</v>
      </c>
      <c r="D1" s="262" t="s">
        <v>389</v>
      </c>
      <c r="E1" s="264" t="s">
        <v>390</v>
      </c>
      <c r="F1" s="265" t="s">
        <v>391</v>
      </c>
      <c r="G1" s="266" t="s">
        <v>392</v>
      </c>
      <c r="H1" s="267" t="s">
        <v>393</v>
      </c>
      <c r="I1" s="268" t="s">
        <v>394</v>
      </c>
      <c r="J1" s="268" t="s">
        <v>395</v>
      </c>
    </row>
    <row r="2" spans="1:10" ht="38.25">
      <c r="A2" s="270">
        <v>1</v>
      </c>
      <c r="B2" s="271" t="s">
        <v>4246</v>
      </c>
      <c r="C2" s="272" t="s">
        <v>396</v>
      </c>
      <c r="D2" s="272" t="s">
        <v>115</v>
      </c>
      <c r="E2" s="273" t="b">
        <v>1</v>
      </c>
      <c r="F2" s="274">
        <v>2253</v>
      </c>
      <c r="G2" s="275" t="s">
        <v>397</v>
      </c>
      <c r="H2" s="275" t="s">
        <v>4247</v>
      </c>
      <c r="I2" s="275" t="s">
        <v>398</v>
      </c>
      <c r="J2" s="275" t="s">
        <v>399</v>
      </c>
    </row>
    <row r="3" spans="1:10" ht="51">
      <c r="A3" s="261">
        <v>8</v>
      </c>
      <c r="B3" s="276" t="s">
        <v>977</v>
      </c>
      <c r="C3" s="272" t="s">
        <v>846</v>
      </c>
      <c r="D3" s="277" t="s">
        <v>978</v>
      </c>
      <c r="E3" s="273" t="b">
        <v>0</v>
      </c>
      <c r="F3" s="278"/>
      <c r="G3" s="275" t="s">
        <v>412</v>
      </c>
      <c r="H3" s="275" t="s">
        <v>979</v>
      </c>
      <c r="I3" s="275" t="s">
        <v>980</v>
      </c>
      <c r="J3" s="279" t="s">
        <v>981</v>
      </c>
    </row>
    <row r="4" spans="1:10" ht="38.25">
      <c r="A4" s="270">
        <v>10</v>
      </c>
      <c r="B4" s="280" t="s">
        <v>346</v>
      </c>
      <c r="C4" s="281" t="s">
        <v>955</v>
      </c>
      <c r="D4" s="282" t="s">
        <v>982</v>
      </c>
      <c r="E4" s="273" t="b">
        <v>0</v>
      </c>
      <c r="F4" s="278"/>
      <c r="G4" s="275" t="s">
        <v>405</v>
      </c>
      <c r="H4" s="275" t="s">
        <v>983</v>
      </c>
      <c r="I4" s="275" t="s">
        <v>984</v>
      </c>
      <c r="J4" s="275" t="s">
        <v>985</v>
      </c>
    </row>
    <row r="5" spans="1:10" ht="12.6" customHeight="1">
      <c r="A5" s="261">
        <v>12</v>
      </c>
      <c r="B5" s="276" t="s">
        <v>986</v>
      </c>
      <c r="C5" s="283" t="s">
        <v>846</v>
      </c>
      <c r="D5" s="283"/>
      <c r="E5" s="273" t="b">
        <v>0</v>
      </c>
      <c r="F5" s="278"/>
      <c r="G5" s="275" t="s">
        <v>405</v>
      </c>
      <c r="H5" s="275" t="s">
        <v>987</v>
      </c>
      <c r="I5" s="275" t="s">
        <v>988</v>
      </c>
      <c r="J5" s="284" t="s">
        <v>4248</v>
      </c>
    </row>
    <row r="6" spans="1:10" ht="69" customHeight="1">
      <c r="A6" s="270">
        <v>16</v>
      </c>
      <c r="B6" s="283" t="s">
        <v>989</v>
      </c>
      <c r="C6" s="283" t="s">
        <v>846</v>
      </c>
      <c r="D6" s="283" t="s">
        <v>990</v>
      </c>
      <c r="E6" s="273" t="b">
        <v>0</v>
      </c>
      <c r="F6" s="278"/>
      <c r="G6" s="275" t="s">
        <v>991</v>
      </c>
      <c r="H6" s="275" t="s">
        <v>992</v>
      </c>
      <c r="I6" s="275" t="s">
        <v>993</v>
      </c>
      <c r="J6" s="279" t="s">
        <v>994</v>
      </c>
    </row>
    <row r="7" spans="1:10" ht="21.75" customHeight="1">
      <c r="A7" s="270">
        <v>17</v>
      </c>
      <c r="B7" s="283" t="s">
        <v>995</v>
      </c>
      <c r="C7" s="283" t="s">
        <v>846</v>
      </c>
      <c r="D7" s="283" t="s">
        <v>996</v>
      </c>
      <c r="E7" s="273" t="b">
        <v>0</v>
      </c>
      <c r="F7" s="278"/>
      <c r="G7" s="275" t="s">
        <v>397</v>
      </c>
      <c r="H7" s="275" t="s">
        <v>4249</v>
      </c>
      <c r="I7" s="275" t="s">
        <v>997</v>
      </c>
      <c r="J7" s="279" t="s">
        <v>4250</v>
      </c>
    </row>
    <row r="8" spans="1:10" ht="23.45" customHeight="1">
      <c r="A8" s="270">
        <v>18</v>
      </c>
      <c r="B8" s="283" t="s">
        <v>998</v>
      </c>
      <c r="C8" s="283" t="s">
        <v>846</v>
      </c>
      <c r="D8" s="283" t="s">
        <v>999</v>
      </c>
      <c r="E8" s="285" t="b">
        <v>1</v>
      </c>
      <c r="F8" s="286">
        <v>472</v>
      </c>
      <c r="G8" s="275" t="s">
        <v>397</v>
      </c>
      <c r="H8" s="275" t="s">
        <v>1000</v>
      </c>
      <c r="I8" s="279" t="s">
        <v>1001</v>
      </c>
      <c r="J8" s="279" t="s">
        <v>1002</v>
      </c>
    </row>
    <row r="9" spans="1:10" ht="23.45" customHeight="1">
      <c r="A9" s="270">
        <v>20</v>
      </c>
      <c r="B9" s="283" t="s">
        <v>1003</v>
      </c>
      <c r="C9" s="283" t="s">
        <v>846</v>
      </c>
      <c r="D9" s="283"/>
      <c r="E9" s="273" t="b">
        <v>0</v>
      </c>
      <c r="F9" s="278"/>
      <c r="G9" s="279" t="s">
        <v>397</v>
      </c>
      <c r="H9" s="279" t="s">
        <v>1004</v>
      </c>
      <c r="I9" s="279" t="s">
        <v>1005</v>
      </c>
      <c r="J9" s="279" t="s">
        <v>1006</v>
      </c>
    </row>
    <row r="10" spans="1:10" ht="23.45" customHeight="1">
      <c r="A10" s="270">
        <v>21</v>
      </c>
      <c r="B10" s="283" t="s">
        <v>1007</v>
      </c>
      <c r="C10" s="283" t="s">
        <v>846</v>
      </c>
      <c r="D10" s="283"/>
      <c r="E10" s="273" t="b">
        <v>0</v>
      </c>
      <c r="F10" s="278"/>
      <c r="G10" s="279" t="s">
        <v>405</v>
      </c>
      <c r="H10" s="279" t="s">
        <v>1008</v>
      </c>
      <c r="I10" s="279" t="s">
        <v>1009</v>
      </c>
      <c r="J10" s="279" t="s">
        <v>1010</v>
      </c>
    </row>
    <row r="11" spans="1:10" ht="37.700000000000003" customHeight="1">
      <c r="A11" s="270">
        <v>22</v>
      </c>
      <c r="B11" s="283" t="s">
        <v>1011</v>
      </c>
      <c r="C11" s="283" t="s">
        <v>647</v>
      </c>
      <c r="D11" s="283" t="s">
        <v>1012</v>
      </c>
      <c r="E11" s="278" t="b">
        <v>1</v>
      </c>
      <c r="F11" s="278">
        <v>3303</v>
      </c>
      <c r="G11" s="279" t="s">
        <v>454</v>
      </c>
      <c r="H11" s="279" t="s">
        <v>1013</v>
      </c>
      <c r="I11" s="279" t="s">
        <v>1014</v>
      </c>
      <c r="J11" s="279" t="s">
        <v>4251</v>
      </c>
    </row>
    <row r="12" spans="1:10" ht="63.2" customHeight="1">
      <c r="A12" s="270">
        <v>23</v>
      </c>
      <c r="B12" s="283" t="s">
        <v>1018</v>
      </c>
      <c r="C12" s="283" t="s">
        <v>1019</v>
      </c>
      <c r="D12" s="287"/>
      <c r="E12" s="278" t="b">
        <v>1</v>
      </c>
      <c r="F12" s="286">
        <v>2352</v>
      </c>
      <c r="G12" s="279" t="s">
        <v>405</v>
      </c>
      <c r="H12" s="279" t="s">
        <v>1020</v>
      </c>
      <c r="I12" s="279" t="s">
        <v>1021</v>
      </c>
      <c r="J12" s="279" t="s">
        <v>1022</v>
      </c>
    </row>
    <row r="13" spans="1:10" ht="63.2" customHeight="1">
      <c r="A13" s="270">
        <v>24</v>
      </c>
      <c r="B13" s="276" t="s">
        <v>1015</v>
      </c>
      <c r="C13" s="283" t="s">
        <v>1016</v>
      </c>
      <c r="D13" s="276"/>
      <c r="E13" s="273" t="b">
        <v>0</v>
      </c>
      <c r="F13" s="286"/>
      <c r="G13" s="279" t="s">
        <v>792</v>
      </c>
      <c r="H13" s="288" t="s">
        <v>4252</v>
      </c>
      <c r="I13" s="289" t="s">
        <v>1017</v>
      </c>
      <c r="J13" s="290" t="s">
        <v>4253</v>
      </c>
    </row>
    <row r="14" spans="1:10" ht="12.75">
      <c r="A14" s="270">
        <v>25</v>
      </c>
      <c r="B14" s="283" t="s">
        <v>1023</v>
      </c>
      <c r="C14" s="283" t="s">
        <v>1019</v>
      </c>
      <c r="D14" s="287"/>
      <c r="E14" s="273" t="b">
        <v>0</v>
      </c>
      <c r="F14" s="286"/>
      <c r="G14" s="279" t="s">
        <v>454</v>
      </c>
      <c r="H14" s="279" t="s">
        <v>1024</v>
      </c>
      <c r="I14" s="291" t="s">
        <v>1025</v>
      </c>
      <c r="J14" s="279" t="s">
        <v>1026</v>
      </c>
    </row>
    <row r="15" spans="1:10" ht="15" customHeight="1">
      <c r="A15" s="270">
        <v>26</v>
      </c>
      <c r="B15" s="283" t="s">
        <v>666</v>
      </c>
      <c r="C15" s="283" t="s">
        <v>647</v>
      </c>
      <c r="D15" s="283"/>
      <c r="E15" s="273" t="b">
        <v>0</v>
      </c>
      <c r="F15" s="278"/>
      <c r="G15" s="279" t="s">
        <v>412</v>
      </c>
      <c r="H15" s="279" t="s">
        <v>667</v>
      </c>
      <c r="I15" s="279" t="s">
        <v>668</v>
      </c>
      <c r="J15" s="279" t="s">
        <v>669</v>
      </c>
    </row>
    <row r="16" spans="1:10" ht="13.15" customHeight="1">
      <c r="A16" s="270">
        <v>27</v>
      </c>
      <c r="B16" s="283" t="s">
        <v>1100</v>
      </c>
      <c r="C16" s="283" t="s">
        <v>732</v>
      </c>
      <c r="D16" s="283" t="s">
        <v>1101</v>
      </c>
      <c r="E16" s="278" t="b">
        <v>1</v>
      </c>
      <c r="F16" s="286">
        <v>766</v>
      </c>
      <c r="G16" s="279" t="s">
        <v>397</v>
      </c>
      <c r="H16" s="279" t="s">
        <v>1102</v>
      </c>
      <c r="I16" s="279" t="s">
        <v>1103</v>
      </c>
      <c r="J16" s="279" t="s">
        <v>1103</v>
      </c>
    </row>
    <row r="17" spans="1:10" ht="150.4" customHeight="1">
      <c r="A17" s="270">
        <v>261</v>
      </c>
      <c r="B17" s="283" t="s">
        <v>1096</v>
      </c>
      <c r="C17" s="283" t="s">
        <v>1097</v>
      </c>
      <c r="D17" s="283" t="s">
        <v>1098</v>
      </c>
      <c r="E17" s="278" t="b">
        <v>0</v>
      </c>
      <c r="F17" s="292"/>
      <c r="G17" s="275" t="s">
        <v>412</v>
      </c>
      <c r="H17" s="293" t="s">
        <v>4254</v>
      </c>
      <c r="I17" s="279" t="s">
        <v>1099</v>
      </c>
      <c r="J17" s="279" t="s">
        <v>4255</v>
      </c>
    </row>
    <row r="18" spans="1:10" ht="30" customHeight="1">
      <c r="A18" s="270" t="s">
        <v>112</v>
      </c>
      <c r="B18" s="283" t="s">
        <v>509</v>
      </c>
      <c r="C18" s="283" t="s">
        <v>501</v>
      </c>
      <c r="D18" s="272" t="s">
        <v>510</v>
      </c>
      <c r="E18" s="273" t="b">
        <v>0</v>
      </c>
      <c r="F18" s="286"/>
      <c r="G18" s="279" t="s">
        <v>423</v>
      </c>
      <c r="H18" s="279" t="s">
        <v>511</v>
      </c>
      <c r="I18" s="279" t="s">
        <v>113</v>
      </c>
      <c r="J18" s="279" t="s">
        <v>512</v>
      </c>
    </row>
    <row r="19" spans="1:10" ht="45.2" customHeight="1">
      <c r="A19" s="270" t="s">
        <v>232</v>
      </c>
      <c r="B19" s="283" t="s">
        <v>233</v>
      </c>
      <c r="C19" s="283" t="s">
        <v>715</v>
      </c>
      <c r="D19" s="283" t="s">
        <v>115</v>
      </c>
      <c r="E19" s="273" t="b">
        <v>1</v>
      </c>
      <c r="F19" s="286">
        <v>1505</v>
      </c>
      <c r="G19" s="275" t="s">
        <v>716</v>
      </c>
      <c r="H19" s="279" t="s">
        <v>717</v>
      </c>
      <c r="I19" s="279" t="s">
        <v>718</v>
      </c>
      <c r="J19" s="279" t="s">
        <v>719</v>
      </c>
    </row>
    <row r="20" spans="1:10" ht="89.25">
      <c r="A20" s="270" t="s">
        <v>250</v>
      </c>
      <c r="B20" s="272" t="s">
        <v>771</v>
      </c>
      <c r="C20" s="272" t="s">
        <v>772</v>
      </c>
      <c r="D20" s="276" t="s">
        <v>773</v>
      </c>
      <c r="E20" s="273" t="b">
        <v>1</v>
      </c>
      <c r="F20" s="274">
        <v>1653</v>
      </c>
      <c r="G20" s="275" t="s">
        <v>397</v>
      </c>
      <c r="H20" s="275" t="s">
        <v>774</v>
      </c>
      <c r="I20" s="275" t="s">
        <v>775</v>
      </c>
      <c r="J20" s="275" t="s">
        <v>776</v>
      </c>
    </row>
    <row r="21" spans="1:10" ht="30" customHeight="1">
      <c r="A21" s="270" t="s">
        <v>252</v>
      </c>
      <c r="B21" s="276" t="s">
        <v>777</v>
      </c>
      <c r="C21" s="294" t="s">
        <v>778</v>
      </c>
      <c r="D21" s="276" t="s">
        <v>4256</v>
      </c>
      <c r="E21" s="278" t="b">
        <v>0</v>
      </c>
      <c r="F21" s="278"/>
      <c r="G21" s="289" t="s">
        <v>412</v>
      </c>
      <c r="H21" s="289" t="s">
        <v>779</v>
      </c>
      <c r="I21" s="289" t="s">
        <v>780</v>
      </c>
      <c r="J21" s="289" t="s">
        <v>781</v>
      </c>
    </row>
    <row r="22" spans="1:10" ht="30" customHeight="1">
      <c r="A22" s="270" t="s">
        <v>374</v>
      </c>
      <c r="B22" s="295" t="s">
        <v>375</v>
      </c>
      <c r="C22" s="295" t="s">
        <v>1109</v>
      </c>
      <c r="D22" s="295" t="s">
        <v>1110</v>
      </c>
      <c r="E22" s="273" t="b">
        <v>0</v>
      </c>
      <c r="F22" s="286"/>
      <c r="G22" s="279" t="s">
        <v>429</v>
      </c>
      <c r="H22" s="284" t="s">
        <v>1111</v>
      </c>
      <c r="I22" s="284" t="s">
        <v>1112</v>
      </c>
      <c r="J22" s="284" t="s">
        <v>1113</v>
      </c>
    </row>
    <row r="23" spans="1:10" ht="25.5">
      <c r="A23" s="261" t="s">
        <v>105</v>
      </c>
      <c r="B23" s="283" t="s">
        <v>518</v>
      </c>
      <c r="C23" s="272" t="s">
        <v>464</v>
      </c>
      <c r="D23" s="283" t="s">
        <v>115</v>
      </c>
      <c r="E23" s="273" t="b">
        <v>0</v>
      </c>
      <c r="F23" s="278"/>
      <c r="G23" s="279"/>
      <c r="H23" s="279" t="s">
        <v>519</v>
      </c>
      <c r="I23" s="279" t="s">
        <v>520</v>
      </c>
      <c r="J23" s="279" t="s">
        <v>521</v>
      </c>
    </row>
    <row r="24" spans="1:10" ht="15" customHeight="1">
      <c r="A24" s="270" t="s">
        <v>70</v>
      </c>
      <c r="B24" s="283" t="s">
        <v>459</v>
      </c>
      <c r="C24" s="283" t="s">
        <v>458</v>
      </c>
      <c r="D24" s="283"/>
      <c r="E24" s="273" t="b">
        <v>0</v>
      </c>
      <c r="F24" s="278"/>
      <c r="G24" s="279" t="s">
        <v>405</v>
      </c>
      <c r="H24" s="279" t="s">
        <v>460</v>
      </c>
      <c r="I24" s="289" t="s">
        <v>461</v>
      </c>
      <c r="J24" s="289" t="s">
        <v>462</v>
      </c>
    </row>
    <row r="25" spans="1:10" ht="63.75">
      <c r="A25" s="270" t="s">
        <v>206</v>
      </c>
      <c r="B25" s="276" t="s">
        <v>207</v>
      </c>
      <c r="C25" s="272" t="s">
        <v>874</v>
      </c>
      <c r="D25" s="277" t="s">
        <v>115</v>
      </c>
      <c r="E25" s="273" t="b">
        <v>0</v>
      </c>
      <c r="F25" s="278"/>
      <c r="G25" s="275" t="s">
        <v>412</v>
      </c>
      <c r="H25" s="275" t="s">
        <v>875</v>
      </c>
      <c r="I25" s="275" t="s">
        <v>876</v>
      </c>
      <c r="J25" s="279" t="s">
        <v>877</v>
      </c>
    </row>
    <row r="26" spans="1:10" ht="12.75">
      <c r="A26" s="270" t="s">
        <v>272</v>
      </c>
      <c r="B26" s="283" t="s">
        <v>824</v>
      </c>
      <c r="C26" s="283" t="s">
        <v>825</v>
      </c>
      <c r="D26" s="283" t="s">
        <v>826</v>
      </c>
      <c r="E26" s="273" t="b">
        <v>0</v>
      </c>
      <c r="F26" s="278"/>
      <c r="G26" s="275" t="s">
        <v>792</v>
      </c>
      <c r="H26" s="279" t="s">
        <v>827</v>
      </c>
      <c r="I26" s="279" t="s">
        <v>828</v>
      </c>
      <c r="J26" s="279" t="s">
        <v>829</v>
      </c>
    </row>
    <row r="27" spans="1:10" ht="38.25">
      <c r="A27" s="270" t="s">
        <v>312</v>
      </c>
      <c r="B27" s="272" t="s">
        <v>313</v>
      </c>
      <c r="C27" s="283" t="s">
        <v>922</v>
      </c>
      <c r="D27" s="283" t="s">
        <v>923</v>
      </c>
      <c r="E27" s="296" t="b">
        <v>0</v>
      </c>
      <c r="F27" s="278"/>
      <c r="G27" s="289" t="s">
        <v>454</v>
      </c>
      <c r="H27" s="275" t="s">
        <v>924</v>
      </c>
      <c r="I27" s="275" t="s">
        <v>925</v>
      </c>
      <c r="J27" s="275" t="s">
        <v>926</v>
      </c>
    </row>
    <row r="28" spans="1:10" ht="25.5">
      <c r="A28" s="270" t="s">
        <v>325</v>
      </c>
      <c r="B28" s="272" t="s">
        <v>945</v>
      </c>
      <c r="C28" s="272" t="s">
        <v>946</v>
      </c>
      <c r="D28" s="272" t="s">
        <v>115</v>
      </c>
      <c r="E28" s="273" t="b">
        <v>0</v>
      </c>
      <c r="F28" s="278"/>
      <c r="G28" s="275" t="s">
        <v>412</v>
      </c>
      <c r="H28" s="275" t="s">
        <v>947</v>
      </c>
      <c r="I28" s="275" t="s">
        <v>948</v>
      </c>
      <c r="J28" s="275" t="s">
        <v>949</v>
      </c>
    </row>
    <row r="29" spans="1:10" ht="12.6" customHeight="1">
      <c r="A29" s="261" t="s">
        <v>108</v>
      </c>
      <c r="B29" s="276" t="s">
        <v>505</v>
      </c>
      <c r="C29" s="272" t="s">
        <v>464</v>
      </c>
      <c r="D29" s="283" t="s">
        <v>506</v>
      </c>
      <c r="E29" s="273" t="b">
        <v>0</v>
      </c>
      <c r="F29" s="278"/>
      <c r="G29" s="289" t="s">
        <v>397</v>
      </c>
      <c r="H29" s="303" t="s">
        <v>4304</v>
      </c>
      <c r="I29" s="275" t="s">
        <v>507</v>
      </c>
      <c r="J29" s="279" t="s">
        <v>508</v>
      </c>
    </row>
    <row r="30" spans="1:10" ht="38.25">
      <c r="A30" s="297" t="s">
        <v>72</v>
      </c>
      <c r="B30" s="283" t="s">
        <v>463</v>
      </c>
      <c r="C30" s="283" t="s">
        <v>464</v>
      </c>
      <c r="D30" s="283" t="s">
        <v>465</v>
      </c>
      <c r="E30" s="273" t="b">
        <v>0</v>
      </c>
      <c r="F30" s="278"/>
      <c r="G30" s="279" t="s">
        <v>397</v>
      </c>
      <c r="H30" s="279" t="s">
        <v>466</v>
      </c>
      <c r="I30" s="289" t="s">
        <v>467</v>
      </c>
      <c r="J30" s="289" t="s">
        <v>468</v>
      </c>
    </row>
    <row r="31" spans="1:10" ht="12.6" customHeight="1">
      <c r="A31" s="270" t="s">
        <v>208</v>
      </c>
      <c r="B31" s="283" t="s">
        <v>1047</v>
      </c>
      <c r="C31" s="283" t="s">
        <v>1048</v>
      </c>
      <c r="D31" s="298" t="s">
        <v>4257</v>
      </c>
      <c r="E31" s="273" t="b">
        <v>0</v>
      </c>
      <c r="F31" s="278"/>
      <c r="G31" s="279" t="s">
        <v>412</v>
      </c>
      <c r="H31" s="279" t="s">
        <v>1049</v>
      </c>
      <c r="I31" s="279" t="s">
        <v>1050</v>
      </c>
      <c r="J31" s="293" t="s">
        <v>4258</v>
      </c>
    </row>
    <row r="32" spans="1:10" ht="38.25">
      <c r="A32" s="270" t="s">
        <v>38</v>
      </c>
      <c r="B32" s="272" t="s">
        <v>830</v>
      </c>
      <c r="C32" s="272" t="s">
        <v>831</v>
      </c>
      <c r="D32" s="272" t="s">
        <v>832</v>
      </c>
      <c r="E32" s="273" t="b">
        <v>1</v>
      </c>
      <c r="F32" s="274">
        <v>1356</v>
      </c>
      <c r="G32" s="275" t="s">
        <v>412</v>
      </c>
      <c r="H32" s="275" t="s">
        <v>833</v>
      </c>
      <c r="I32" s="275" t="s">
        <v>834</v>
      </c>
      <c r="J32" s="275" t="s">
        <v>835</v>
      </c>
    </row>
    <row r="33" spans="1:10" ht="25.5">
      <c r="A33" s="270" t="s">
        <v>321</v>
      </c>
      <c r="B33" s="272" t="s">
        <v>937</v>
      </c>
      <c r="C33" s="283" t="s">
        <v>938</v>
      </c>
      <c r="D33" s="276" t="s">
        <v>939</v>
      </c>
      <c r="E33" s="273" t="b">
        <v>0</v>
      </c>
      <c r="F33" s="278"/>
      <c r="G33" s="275" t="s">
        <v>586</v>
      </c>
      <c r="H33" s="275" t="s">
        <v>940</v>
      </c>
      <c r="I33" s="275" t="s">
        <v>941</v>
      </c>
      <c r="J33" s="275" t="s">
        <v>4259</v>
      </c>
    </row>
    <row r="34" spans="1:10" ht="38.25">
      <c r="A34" s="270" t="s">
        <v>329</v>
      </c>
      <c r="B34" s="272" t="s">
        <v>950</v>
      </c>
      <c r="C34" s="272" t="s">
        <v>951</v>
      </c>
      <c r="D34" s="272" t="s">
        <v>952</v>
      </c>
      <c r="E34" s="273" t="b">
        <v>1</v>
      </c>
      <c r="F34" s="292">
        <v>2739</v>
      </c>
      <c r="G34" s="275" t="s">
        <v>397</v>
      </c>
      <c r="H34" s="279" t="s">
        <v>4260</v>
      </c>
      <c r="I34" s="279" t="s">
        <v>953</v>
      </c>
      <c r="J34" s="279" t="s">
        <v>4261</v>
      </c>
    </row>
    <row r="35" spans="1:10" ht="12.75">
      <c r="A35" s="270" t="s">
        <v>673</v>
      </c>
      <c r="B35" s="283" t="s">
        <v>674</v>
      </c>
      <c r="C35" s="283" t="s">
        <v>675</v>
      </c>
      <c r="D35" s="287"/>
      <c r="E35" s="278" t="b">
        <v>1</v>
      </c>
      <c r="F35" s="286">
        <v>1235</v>
      </c>
      <c r="G35" s="279" t="s">
        <v>412</v>
      </c>
      <c r="H35" s="279" t="s">
        <v>676</v>
      </c>
      <c r="I35" s="279" t="s">
        <v>677</v>
      </c>
      <c r="J35" s="279" t="s">
        <v>678</v>
      </c>
    </row>
    <row r="36" spans="1:10" ht="12.6" customHeight="1">
      <c r="A36" s="270" t="s">
        <v>116</v>
      </c>
      <c r="B36" s="276" t="s">
        <v>522</v>
      </c>
      <c r="C36" s="283" t="s">
        <v>523</v>
      </c>
      <c r="D36" s="272" t="s">
        <v>115</v>
      </c>
      <c r="E36" s="273" t="b">
        <v>0</v>
      </c>
      <c r="F36" s="278"/>
      <c r="G36" s="275" t="s">
        <v>397</v>
      </c>
      <c r="H36" s="275" t="s">
        <v>524</v>
      </c>
      <c r="I36" s="275" t="s">
        <v>525</v>
      </c>
      <c r="J36" s="279" t="s">
        <v>526</v>
      </c>
    </row>
    <row r="37" spans="1:10" ht="25.5">
      <c r="A37" s="270" t="s">
        <v>23</v>
      </c>
      <c r="B37" s="283" t="s">
        <v>24</v>
      </c>
      <c r="C37" s="283" t="s">
        <v>1051</v>
      </c>
      <c r="D37" s="283" t="s">
        <v>115</v>
      </c>
      <c r="E37" s="273" t="b">
        <v>0</v>
      </c>
      <c r="F37" s="278"/>
      <c r="G37" s="275" t="s">
        <v>423</v>
      </c>
      <c r="H37" s="279" t="s">
        <v>1052</v>
      </c>
      <c r="I37" s="279" t="s">
        <v>1053</v>
      </c>
      <c r="J37" s="279" t="s">
        <v>1054</v>
      </c>
    </row>
    <row r="38" spans="1:10" ht="38.25">
      <c r="A38" s="270" t="s">
        <v>39</v>
      </c>
      <c r="B38" s="283" t="s">
        <v>854</v>
      </c>
      <c r="C38" s="283" t="s">
        <v>855</v>
      </c>
      <c r="D38" s="283" t="s">
        <v>856</v>
      </c>
      <c r="E38" s="273" t="b">
        <v>1</v>
      </c>
      <c r="F38" s="292">
        <v>2962</v>
      </c>
      <c r="G38" s="275" t="s">
        <v>412</v>
      </c>
      <c r="H38" s="275" t="s">
        <v>4262</v>
      </c>
      <c r="I38" s="275" t="s">
        <v>857</v>
      </c>
      <c r="J38" s="275" t="s">
        <v>4263</v>
      </c>
    </row>
    <row r="39" spans="1:10" ht="38.25">
      <c r="A39" s="270" t="s">
        <v>335</v>
      </c>
      <c r="B39" s="272" t="s">
        <v>962</v>
      </c>
      <c r="C39" s="272" t="s">
        <v>963</v>
      </c>
      <c r="D39" s="272"/>
      <c r="E39" s="273" t="b">
        <v>1</v>
      </c>
      <c r="F39" s="274">
        <v>2703</v>
      </c>
      <c r="G39" s="275" t="s">
        <v>412</v>
      </c>
      <c r="H39" s="275" t="s">
        <v>964</v>
      </c>
      <c r="I39" s="275" t="s">
        <v>965</v>
      </c>
      <c r="J39" s="275" t="s">
        <v>966</v>
      </c>
    </row>
    <row r="40" spans="1:10" ht="12.75">
      <c r="A40" s="270" t="s">
        <v>679</v>
      </c>
      <c r="B40" s="283" t="s">
        <v>680</v>
      </c>
      <c r="C40" s="283" t="s">
        <v>647</v>
      </c>
      <c r="D40" s="287"/>
      <c r="E40" s="278" t="b">
        <v>1</v>
      </c>
      <c r="F40" s="286">
        <v>1234</v>
      </c>
      <c r="G40" s="279" t="s">
        <v>412</v>
      </c>
      <c r="H40" s="279" t="s">
        <v>676</v>
      </c>
      <c r="I40" s="279" t="s">
        <v>677</v>
      </c>
      <c r="J40" s="279" t="s">
        <v>678</v>
      </c>
    </row>
    <row r="41" spans="1:10" ht="25.5">
      <c r="A41" s="270" t="s">
        <v>118</v>
      </c>
      <c r="B41" s="282" t="s">
        <v>527</v>
      </c>
      <c r="C41" s="272" t="s">
        <v>464</v>
      </c>
      <c r="D41" s="283" t="s">
        <v>528</v>
      </c>
      <c r="E41" s="273" t="b">
        <v>1</v>
      </c>
      <c r="F41" s="286">
        <v>1690</v>
      </c>
      <c r="G41" s="279" t="s">
        <v>412</v>
      </c>
      <c r="H41" s="279" t="s">
        <v>529</v>
      </c>
      <c r="I41" s="279" t="s">
        <v>530</v>
      </c>
      <c r="J41" s="279" t="s">
        <v>4305</v>
      </c>
    </row>
    <row r="42" spans="1:10" ht="12.75">
      <c r="A42" s="270" t="s">
        <v>189</v>
      </c>
      <c r="B42" s="283" t="s">
        <v>625</v>
      </c>
      <c r="C42" s="283" t="s">
        <v>626</v>
      </c>
      <c r="D42" s="283" t="s">
        <v>115</v>
      </c>
      <c r="E42" s="278" t="b">
        <v>1</v>
      </c>
      <c r="F42" s="286">
        <v>92</v>
      </c>
      <c r="G42" s="279" t="s">
        <v>423</v>
      </c>
      <c r="H42" s="279" t="s">
        <v>627</v>
      </c>
      <c r="I42" s="279" t="s">
        <v>628</v>
      </c>
      <c r="J42" s="279" t="s">
        <v>629</v>
      </c>
    </row>
    <row r="43" spans="1:10" ht="38.25">
      <c r="A43" s="270" t="s">
        <v>296</v>
      </c>
      <c r="B43" s="272" t="s">
        <v>888</v>
      </c>
      <c r="C43" s="272" t="s">
        <v>884</v>
      </c>
      <c r="D43" s="272" t="s">
        <v>889</v>
      </c>
      <c r="E43" s="273" t="b">
        <v>1</v>
      </c>
      <c r="F43" s="274">
        <v>1651</v>
      </c>
      <c r="G43" s="275" t="s">
        <v>412</v>
      </c>
      <c r="H43" s="275" t="s">
        <v>4264</v>
      </c>
      <c r="I43" s="275" t="s">
        <v>890</v>
      </c>
      <c r="J43" s="275" t="s">
        <v>891</v>
      </c>
    </row>
    <row r="44" spans="1:10" ht="12.75">
      <c r="A44" s="270" t="s">
        <v>337</v>
      </c>
      <c r="B44" s="283" t="s">
        <v>967</v>
      </c>
      <c r="C44" s="283" t="s">
        <v>968</v>
      </c>
      <c r="D44" s="283" t="s">
        <v>969</v>
      </c>
      <c r="E44" s="273" t="b">
        <v>0</v>
      </c>
      <c r="F44" s="278"/>
      <c r="G44" s="289" t="s">
        <v>412</v>
      </c>
      <c r="H44" s="279" t="s">
        <v>4265</v>
      </c>
      <c r="I44" s="279" t="s">
        <v>970</v>
      </c>
      <c r="J44" s="279" t="s">
        <v>971</v>
      </c>
    </row>
    <row r="45" spans="1:10" ht="25.15" customHeight="1">
      <c r="A45" s="270" t="s">
        <v>120</v>
      </c>
      <c r="B45" s="283" t="s">
        <v>531</v>
      </c>
      <c r="C45" s="283" t="s">
        <v>464</v>
      </c>
      <c r="D45" s="282"/>
      <c r="E45" s="273" t="b">
        <v>0</v>
      </c>
      <c r="F45" s="278"/>
      <c r="G45" s="279" t="s">
        <v>423</v>
      </c>
      <c r="H45" s="279" t="s">
        <v>532</v>
      </c>
      <c r="I45" s="279" t="s">
        <v>533</v>
      </c>
      <c r="J45" s="279" t="s">
        <v>534</v>
      </c>
    </row>
    <row r="46" spans="1:10" ht="51">
      <c r="A46" s="270" t="s">
        <v>298</v>
      </c>
      <c r="B46" s="272" t="s">
        <v>892</v>
      </c>
      <c r="C46" s="272" t="s">
        <v>484</v>
      </c>
      <c r="D46" s="272" t="s">
        <v>893</v>
      </c>
      <c r="E46" s="273" t="b">
        <v>0</v>
      </c>
      <c r="F46" s="278"/>
      <c r="G46" s="275" t="s">
        <v>454</v>
      </c>
      <c r="H46" s="275" t="s">
        <v>894</v>
      </c>
      <c r="I46" s="275" t="s">
        <v>895</v>
      </c>
      <c r="J46" s="275" t="s">
        <v>896</v>
      </c>
    </row>
    <row r="47" spans="1:10" ht="63.75">
      <c r="A47" s="270" t="s">
        <v>341</v>
      </c>
      <c r="B47" s="276" t="s">
        <v>972</v>
      </c>
      <c r="C47" s="283" t="s">
        <v>973</v>
      </c>
      <c r="D47" s="276" t="s">
        <v>974</v>
      </c>
      <c r="E47" s="273" t="b">
        <v>0</v>
      </c>
      <c r="F47" s="278"/>
      <c r="G47" s="289" t="s">
        <v>412</v>
      </c>
      <c r="H47" s="289" t="s">
        <v>975</v>
      </c>
      <c r="I47" s="289" t="s">
        <v>976</v>
      </c>
      <c r="J47" s="279" t="s">
        <v>891</v>
      </c>
    </row>
    <row r="48" spans="1:10" ht="12.75">
      <c r="A48" s="270" t="s">
        <v>122</v>
      </c>
      <c r="B48" s="283" t="s">
        <v>535</v>
      </c>
      <c r="C48" s="283" t="s">
        <v>536</v>
      </c>
      <c r="D48" s="283" t="s">
        <v>537</v>
      </c>
      <c r="E48" s="273" t="b">
        <v>1</v>
      </c>
      <c r="F48" s="286">
        <v>2333</v>
      </c>
      <c r="G48" s="279" t="s">
        <v>397</v>
      </c>
      <c r="H48" s="279" t="s">
        <v>538</v>
      </c>
      <c r="I48" s="279" t="s">
        <v>539</v>
      </c>
      <c r="J48" s="279" t="s">
        <v>540</v>
      </c>
    </row>
    <row r="49" spans="1:10" ht="12.75">
      <c r="A49" s="270" t="s">
        <v>82</v>
      </c>
      <c r="B49" s="299" t="s">
        <v>478</v>
      </c>
      <c r="C49" s="283" t="s">
        <v>479</v>
      </c>
      <c r="D49" s="283" t="s">
        <v>480</v>
      </c>
      <c r="E49" s="278" t="b">
        <v>0</v>
      </c>
      <c r="F49" s="286">
        <v>669</v>
      </c>
      <c r="G49" s="279" t="s">
        <v>397</v>
      </c>
      <c r="H49" s="279" t="s">
        <v>481</v>
      </c>
      <c r="I49" s="279" t="s">
        <v>83</v>
      </c>
      <c r="J49" s="279" t="s">
        <v>482</v>
      </c>
    </row>
    <row r="50" spans="1:10" ht="12.75">
      <c r="A50" s="270" t="s">
        <v>210</v>
      </c>
      <c r="B50" s="283" t="s">
        <v>211</v>
      </c>
      <c r="C50" s="283" t="s">
        <v>732</v>
      </c>
      <c r="D50" s="287"/>
      <c r="E50" s="273" t="b">
        <v>0</v>
      </c>
      <c r="F50" s="286"/>
      <c r="G50" s="279" t="s">
        <v>412</v>
      </c>
      <c r="H50" s="279" t="s">
        <v>735</v>
      </c>
      <c r="I50" s="279" t="s">
        <v>736</v>
      </c>
      <c r="J50" s="279" t="s">
        <v>737</v>
      </c>
    </row>
    <row r="51" spans="1:10" ht="12.6" customHeight="1">
      <c r="A51" s="270" t="s">
        <v>210</v>
      </c>
      <c r="B51" s="276" t="s">
        <v>211</v>
      </c>
      <c r="C51" s="283" t="s">
        <v>1042</v>
      </c>
      <c r="D51" s="272" t="s">
        <v>1043</v>
      </c>
      <c r="E51" s="273" t="b">
        <v>0</v>
      </c>
      <c r="F51" s="278"/>
      <c r="G51" s="275" t="s">
        <v>412</v>
      </c>
      <c r="H51" s="275" t="s">
        <v>1044</v>
      </c>
      <c r="I51" s="275" t="s">
        <v>1045</v>
      </c>
      <c r="J51" s="279" t="s">
        <v>1046</v>
      </c>
    </row>
    <row r="52" spans="1:10" ht="25.5">
      <c r="A52" s="261" t="s">
        <v>300</v>
      </c>
      <c r="B52" s="276" t="s">
        <v>897</v>
      </c>
      <c r="C52" s="272" t="s">
        <v>898</v>
      </c>
      <c r="D52" s="272" t="s">
        <v>899</v>
      </c>
      <c r="E52" s="273" t="b">
        <v>1</v>
      </c>
      <c r="F52" s="286">
        <v>1590</v>
      </c>
      <c r="G52" s="289" t="s">
        <v>412</v>
      </c>
      <c r="H52" s="289" t="s">
        <v>900</v>
      </c>
      <c r="I52" s="289" t="s">
        <v>901</v>
      </c>
      <c r="J52" s="289" t="s">
        <v>902</v>
      </c>
    </row>
    <row r="53" spans="1:10" ht="102">
      <c r="A53" s="270" t="s">
        <v>360</v>
      </c>
      <c r="B53" s="276" t="s">
        <v>1055</v>
      </c>
      <c r="C53" s="276" t="s">
        <v>1056</v>
      </c>
      <c r="D53" s="276"/>
      <c r="E53" s="273" t="b">
        <v>1</v>
      </c>
      <c r="F53" s="278">
        <v>672</v>
      </c>
      <c r="G53" s="289" t="s">
        <v>586</v>
      </c>
      <c r="H53" s="289" t="s">
        <v>4266</v>
      </c>
      <c r="I53" s="289" t="s">
        <v>4267</v>
      </c>
      <c r="J53" s="289" t="s">
        <v>4268</v>
      </c>
    </row>
    <row r="54" spans="1:10" ht="12.75">
      <c r="A54" s="270" t="s">
        <v>126</v>
      </c>
      <c r="B54" s="283" t="s">
        <v>541</v>
      </c>
      <c r="C54" s="283" t="s">
        <v>542</v>
      </c>
      <c r="D54" s="283" t="s">
        <v>543</v>
      </c>
      <c r="E54" s="273" t="b">
        <v>0</v>
      </c>
      <c r="F54" s="286"/>
      <c r="G54" s="300"/>
      <c r="H54" s="279" t="s">
        <v>515</v>
      </c>
      <c r="I54" s="279" t="s">
        <v>544</v>
      </c>
      <c r="J54" s="279" t="s">
        <v>545</v>
      </c>
    </row>
    <row r="55" spans="1:10" ht="12.75">
      <c r="A55" s="270" t="s">
        <v>90</v>
      </c>
      <c r="B55" s="282" t="s">
        <v>489</v>
      </c>
      <c r="C55" s="283" t="s">
        <v>490</v>
      </c>
      <c r="D55" s="283" t="s">
        <v>491</v>
      </c>
      <c r="E55" s="273" t="b">
        <v>0</v>
      </c>
      <c r="F55" s="278"/>
      <c r="G55" s="279" t="s">
        <v>412</v>
      </c>
      <c r="H55" s="279" t="s">
        <v>492</v>
      </c>
      <c r="I55" s="279" t="s">
        <v>91</v>
      </c>
      <c r="J55" s="279" t="s">
        <v>493</v>
      </c>
    </row>
    <row r="56" spans="1:10" ht="25.5">
      <c r="A56" s="270" t="s">
        <v>212</v>
      </c>
      <c r="B56" s="283" t="s">
        <v>213</v>
      </c>
      <c r="C56" s="283" t="s">
        <v>732</v>
      </c>
      <c r="D56" s="283"/>
      <c r="E56" s="273" t="b">
        <v>0</v>
      </c>
      <c r="F56" s="278"/>
      <c r="G56" s="275" t="s">
        <v>412</v>
      </c>
      <c r="H56" s="275" t="s">
        <v>4269</v>
      </c>
      <c r="I56" s="275" t="s">
        <v>1057</v>
      </c>
      <c r="J56" s="279" t="s">
        <v>4270</v>
      </c>
    </row>
    <row r="57" spans="1:10" ht="25.5">
      <c r="A57" s="270" t="s">
        <v>301</v>
      </c>
      <c r="B57" s="272" t="s">
        <v>903</v>
      </c>
      <c r="C57" s="272" t="s">
        <v>904</v>
      </c>
      <c r="D57" s="276"/>
      <c r="E57" s="273" t="b">
        <v>1</v>
      </c>
      <c r="F57" s="274">
        <v>3325</v>
      </c>
      <c r="G57" s="275" t="s">
        <v>905</v>
      </c>
      <c r="H57" s="275" t="s">
        <v>906</v>
      </c>
      <c r="I57" s="275" t="s">
        <v>907</v>
      </c>
      <c r="J57" s="275" t="s">
        <v>908</v>
      </c>
    </row>
    <row r="58" spans="1:10" ht="12.75">
      <c r="A58" s="270" t="s">
        <v>129</v>
      </c>
      <c r="B58" s="283" t="s">
        <v>700</v>
      </c>
      <c r="C58" s="283" t="s">
        <v>701</v>
      </c>
      <c r="D58" s="283" t="s">
        <v>702</v>
      </c>
      <c r="E58" s="278" t="b">
        <v>1</v>
      </c>
      <c r="F58" s="286">
        <v>1783</v>
      </c>
      <c r="G58" s="279" t="s">
        <v>397</v>
      </c>
      <c r="H58" s="279" t="s">
        <v>703</v>
      </c>
      <c r="I58" s="279" t="s">
        <v>130</v>
      </c>
      <c r="J58" s="279" t="s">
        <v>704</v>
      </c>
    </row>
    <row r="59" spans="1:10" ht="12.75">
      <c r="A59" s="270" t="s">
        <v>10</v>
      </c>
      <c r="B59" s="283" t="s">
        <v>567</v>
      </c>
      <c r="C59" s="283" t="s">
        <v>568</v>
      </c>
      <c r="D59" s="283" t="s">
        <v>569</v>
      </c>
      <c r="E59" s="273" t="b">
        <v>1</v>
      </c>
      <c r="F59" s="286">
        <v>2172</v>
      </c>
      <c r="G59" s="279" t="s">
        <v>397</v>
      </c>
      <c r="H59" s="279" t="s">
        <v>570</v>
      </c>
      <c r="I59" s="279" t="s">
        <v>11</v>
      </c>
      <c r="J59" s="279" t="s">
        <v>571</v>
      </c>
    </row>
    <row r="60" spans="1:10" ht="12.75">
      <c r="A60" s="270" t="s">
        <v>194</v>
      </c>
      <c r="B60" s="283" t="s">
        <v>195</v>
      </c>
      <c r="C60" s="283" t="s">
        <v>647</v>
      </c>
      <c r="D60" s="287"/>
      <c r="E60" s="273" t="b">
        <v>0</v>
      </c>
      <c r="F60" s="286"/>
      <c r="G60" s="279" t="s">
        <v>397</v>
      </c>
      <c r="H60" s="279" t="s">
        <v>4271</v>
      </c>
      <c r="I60" s="279" t="s">
        <v>681</v>
      </c>
      <c r="J60" s="279" t="s">
        <v>682</v>
      </c>
    </row>
    <row r="61" spans="1:10" ht="12.75">
      <c r="A61" s="270" t="s">
        <v>196</v>
      </c>
      <c r="B61" s="287" t="s">
        <v>197</v>
      </c>
      <c r="C61" s="283" t="s">
        <v>647</v>
      </c>
      <c r="D61" s="287"/>
      <c r="E61" s="273" t="b">
        <v>0</v>
      </c>
      <c r="F61" s="286"/>
      <c r="G61" s="279" t="s">
        <v>397</v>
      </c>
      <c r="H61" s="301" t="s">
        <v>4272</v>
      </c>
      <c r="I61" s="279" t="s">
        <v>683</v>
      </c>
      <c r="J61" s="279" t="s">
        <v>4273</v>
      </c>
    </row>
    <row r="62" spans="1:10" ht="13.15" customHeight="1">
      <c r="A62" s="270" t="s">
        <v>133</v>
      </c>
      <c r="B62" s="283" t="s">
        <v>705</v>
      </c>
      <c r="C62" s="283" t="s">
        <v>706</v>
      </c>
      <c r="D62" s="283" t="s">
        <v>707</v>
      </c>
      <c r="E62" s="273" t="b">
        <v>0</v>
      </c>
      <c r="F62" s="286"/>
      <c r="G62" s="279" t="s">
        <v>412</v>
      </c>
      <c r="H62" s="279" t="s">
        <v>708</v>
      </c>
      <c r="I62" s="279" t="s">
        <v>134</v>
      </c>
      <c r="J62" s="279" t="s">
        <v>709</v>
      </c>
    </row>
    <row r="63" spans="1:10" ht="12.75">
      <c r="A63" s="270" t="s">
        <v>17</v>
      </c>
      <c r="B63" s="283" t="s">
        <v>581</v>
      </c>
      <c r="C63" s="283" t="s">
        <v>458</v>
      </c>
      <c r="D63" s="283"/>
      <c r="E63" s="273" t="b">
        <v>0</v>
      </c>
      <c r="F63" s="278"/>
      <c r="G63" s="279" t="s">
        <v>405</v>
      </c>
      <c r="H63" s="279" t="s">
        <v>582</v>
      </c>
      <c r="I63" s="279" t="s">
        <v>581</v>
      </c>
      <c r="J63" s="279" t="s">
        <v>583</v>
      </c>
    </row>
    <row r="64" spans="1:10" ht="12.75">
      <c r="A64" s="270" t="s">
        <v>214</v>
      </c>
      <c r="B64" s="283" t="s">
        <v>215</v>
      </c>
      <c r="C64" s="283" t="s">
        <v>1062</v>
      </c>
      <c r="D64" s="283" t="s">
        <v>115</v>
      </c>
      <c r="E64" s="273" t="b">
        <v>0</v>
      </c>
      <c r="F64" s="278"/>
      <c r="G64" s="275" t="s">
        <v>412</v>
      </c>
      <c r="H64" s="275" t="s">
        <v>1063</v>
      </c>
      <c r="I64" s="275" t="s">
        <v>1064</v>
      </c>
      <c r="J64" s="279" t="s">
        <v>1065</v>
      </c>
    </row>
    <row r="65" spans="1:10" ht="38.25">
      <c r="A65" s="270" t="s">
        <v>315</v>
      </c>
      <c r="B65" s="272" t="s">
        <v>927</v>
      </c>
      <c r="C65" s="272" t="s">
        <v>928</v>
      </c>
      <c r="D65" s="272" t="s">
        <v>929</v>
      </c>
      <c r="E65" s="273" t="b">
        <v>0</v>
      </c>
      <c r="F65" s="278"/>
      <c r="G65" s="275" t="s">
        <v>397</v>
      </c>
      <c r="H65" s="275" t="s">
        <v>930</v>
      </c>
      <c r="I65" s="275" t="s">
        <v>931</v>
      </c>
      <c r="J65" s="275" t="s">
        <v>932</v>
      </c>
    </row>
    <row r="66" spans="1:10" ht="38.25">
      <c r="A66" s="270" t="s">
        <v>45</v>
      </c>
      <c r="B66" s="302" t="s">
        <v>4274</v>
      </c>
      <c r="C66" s="272" t="s">
        <v>400</v>
      </c>
      <c r="D66" s="283" t="s">
        <v>115</v>
      </c>
      <c r="E66" s="278" t="b">
        <v>0</v>
      </c>
      <c r="F66" s="274"/>
      <c r="G66" s="275" t="s">
        <v>397</v>
      </c>
      <c r="H66" s="303" t="s">
        <v>4275</v>
      </c>
      <c r="I66" s="275" t="s">
        <v>401</v>
      </c>
      <c r="J66" s="303" t="s">
        <v>4276</v>
      </c>
    </row>
    <row r="67" spans="1:10" ht="25.5">
      <c r="A67" s="270" t="s">
        <v>135</v>
      </c>
      <c r="B67" s="283" t="s">
        <v>546</v>
      </c>
      <c r="C67" s="272" t="s">
        <v>400</v>
      </c>
      <c r="D67" s="272" t="s">
        <v>547</v>
      </c>
      <c r="E67" s="273" t="b">
        <v>0</v>
      </c>
      <c r="F67" s="278"/>
      <c r="G67" s="279" t="s">
        <v>412</v>
      </c>
      <c r="H67" s="275" t="s">
        <v>548</v>
      </c>
      <c r="I67" s="279" t="s">
        <v>549</v>
      </c>
      <c r="J67" s="279" t="s">
        <v>550</v>
      </c>
    </row>
    <row r="68" spans="1:10" ht="25.5">
      <c r="A68" s="270" t="s">
        <v>135</v>
      </c>
      <c r="B68" s="283" t="s">
        <v>551</v>
      </c>
      <c r="C68" s="283" t="s">
        <v>542</v>
      </c>
      <c r="D68" s="272" t="s">
        <v>552</v>
      </c>
      <c r="E68" s="273" t="b">
        <v>0</v>
      </c>
      <c r="F68" s="278"/>
      <c r="G68" s="279" t="s">
        <v>412</v>
      </c>
      <c r="H68" s="275" t="s">
        <v>548</v>
      </c>
      <c r="I68" s="279" t="s">
        <v>549</v>
      </c>
      <c r="J68" s="279" t="s">
        <v>550</v>
      </c>
    </row>
    <row r="69" spans="1:10" ht="12.75">
      <c r="A69" s="270" t="s">
        <v>157</v>
      </c>
      <c r="B69" s="283" t="s">
        <v>584</v>
      </c>
      <c r="C69" s="283" t="s">
        <v>585</v>
      </c>
      <c r="D69" s="283"/>
      <c r="E69" s="273" t="b">
        <v>0</v>
      </c>
      <c r="F69" s="278"/>
      <c r="G69" s="279" t="s">
        <v>586</v>
      </c>
      <c r="H69" s="279" t="s">
        <v>587</v>
      </c>
      <c r="I69" s="279" t="s">
        <v>158</v>
      </c>
      <c r="J69" s="279" t="s">
        <v>588</v>
      </c>
    </row>
    <row r="70" spans="1:10" ht="12.75">
      <c r="A70" s="297" t="s">
        <v>216</v>
      </c>
      <c r="B70" s="283" t="s">
        <v>1104</v>
      </c>
      <c r="C70" s="283" t="s">
        <v>1105</v>
      </c>
      <c r="D70" s="287"/>
      <c r="E70" s="278" t="b">
        <v>1</v>
      </c>
      <c r="F70" s="286">
        <v>1027</v>
      </c>
      <c r="G70" s="279" t="s">
        <v>412</v>
      </c>
      <c r="H70" s="279" t="s">
        <v>1106</v>
      </c>
      <c r="I70" s="279" t="s">
        <v>1107</v>
      </c>
      <c r="J70" s="279" t="s">
        <v>1108</v>
      </c>
    </row>
    <row r="71" spans="1:10" ht="38.25">
      <c r="A71" s="270" t="s">
        <v>323</v>
      </c>
      <c r="B71" s="272" t="s">
        <v>942</v>
      </c>
      <c r="C71" s="272" t="s">
        <v>772</v>
      </c>
      <c r="D71" s="276" t="s">
        <v>943</v>
      </c>
      <c r="E71" s="273" t="b">
        <v>0</v>
      </c>
      <c r="F71" s="278"/>
      <c r="G71" s="275" t="s">
        <v>412</v>
      </c>
      <c r="H71" s="275" t="s">
        <v>4264</v>
      </c>
      <c r="I71" s="275" t="s">
        <v>944</v>
      </c>
      <c r="J71" s="275" t="s">
        <v>4277</v>
      </c>
    </row>
    <row r="72" spans="1:10" ht="12.75">
      <c r="A72" s="270" t="s">
        <v>143</v>
      </c>
      <c r="B72" s="283" t="s">
        <v>558</v>
      </c>
      <c r="C72" s="283" t="s">
        <v>559</v>
      </c>
      <c r="D72" s="283" t="s">
        <v>560</v>
      </c>
      <c r="E72" s="273" t="b">
        <v>0</v>
      </c>
      <c r="F72" s="286"/>
      <c r="G72" s="279" t="s">
        <v>412</v>
      </c>
      <c r="H72" s="279" t="s">
        <v>4278</v>
      </c>
      <c r="I72" s="279" t="s">
        <v>561</v>
      </c>
      <c r="J72" s="279" t="s">
        <v>4279</v>
      </c>
    </row>
    <row r="73" spans="1:10" ht="38.25">
      <c r="A73" s="270" t="s">
        <v>167</v>
      </c>
      <c r="B73" s="272" t="s">
        <v>606</v>
      </c>
      <c r="C73" s="272" t="s">
        <v>400</v>
      </c>
      <c r="D73" s="283" t="s">
        <v>607</v>
      </c>
      <c r="E73" s="278" t="b">
        <v>1</v>
      </c>
      <c r="F73" s="274">
        <v>1121</v>
      </c>
      <c r="G73" s="275" t="s">
        <v>397</v>
      </c>
      <c r="H73" s="275" t="s">
        <v>608</v>
      </c>
      <c r="I73" s="275" t="s">
        <v>609</v>
      </c>
      <c r="J73" s="275" t="s">
        <v>610</v>
      </c>
    </row>
    <row r="74" spans="1:10" ht="25.15" customHeight="1">
      <c r="A74" s="270" t="s">
        <v>59</v>
      </c>
      <c r="B74" s="276" t="s">
        <v>427</v>
      </c>
      <c r="C74" s="283" t="s">
        <v>428</v>
      </c>
      <c r="D74" s="276" t="s">
        <v>115</v>
      </c>
      <c r="E74" s="273" t="b">
        <v>1</v>
      </c>
      <c r="F74" s="274">
        <v>440</v>
      </c>
      <c r="G74" s="289" t="s">
        <v>429</v>
      </c>
      <c r="H74" s="289" t="s">
        <v>430</v>
      </c>
      <c r="I74" s="289" t="s">
        <v>60</v>
      </c>
      <c r="J74" s="279" t="s">
        <v>431</v>
      </c>
    </row>
    <row r="75" spans="1:10" ht="12.75">
      <c r="A75" s="270" t="s">
        <v>171</v>
      </c>
      <c r="B75" s="283" t="s">
        <v>611</v>
      </c>
      <c r="C75" s="283" t="s">
        <v>612</v>
      </c>
      <c r="D75" s="283" t="s">
        <v>613</v>
      </c>
      <c r="E75" s="278" t="b">
        <v>1</v>
      </c>
      <c r="F75" s="286">
        <v>35</v>
      </c>
      <c r="G75" s="279" t="s">
        <v>412</v>
      </c>
      <c r="H75" s="279" t="s">
        <v>614</v>
      </c>
      <c r="I75" s="279" t="s">
        <v>615</v>
      </c>
      <c r="J75" s="279" t="s">
        <v>616</v>
      </c>
    </row>
    <row r="76" spans="1:10" ht="38.25">
      <c r="A76" s="270" t="s">
        <v>234</v>
      </c>
      <c r="B76" s="281" t="s">
        <v>720</v>
      </c>
      <c r="C76" s="272" t="s">
        <v>721</v>
      </c>
      <c r="D76" s="281" t="s">
        <v>722</v>
      </c>
      <c r="E76" s="273" t="b">
        <v>0</v>
      </c>
      <c r="F76" s="278"/>
      <c r="G76" s="275" t="s">
        <v>397</v>
      </c>
      <c r="H76" s="275" t="s">
        <v>723</v>
      </c>
      <c r="I76" s="275" t="s">
        <v>724</v>
      </c>
      <c r="J76" s="275" t="s">
        <v>725</v>
      </c>
    </row>
    <row r="77" spans="1:10" ht="25.5">
      <c r="A77" s="270" t="s">
        <v>262</v>
      </c>
      <c r="B77" s="272" t="s">
        <v>803</v>
      </c>
      <c r="C77" s="272" t="s">
        <v>739</v>
      </c>
      <c r="D77" s="272" t="s">
        <v>804</v>
      </c>
      <c r="E77" s="273" t="b">
        <v>1</v>
      </c>
      <c r="F77" s="274">
        <v>527</v>
      </c>
      <c r="G77" s="275" t="s">
        <v>397</v>
      </c>
      <c r="H77" s="275" t="s">
        <v>805</v>
      </c>
      <c r="I77" s="275" t="s">
        <v>806</v>
      </c>
      <c r="J77" s="275" t="s">
        <v>807</v>
      </c>
    </row>
    <row r="78" spans="1:10" ht="127.5">
      <c r="A78" s="270" t="s">
        <v>264</v>
      </c>
      <c r="B78" s="276" t="s">
        <v>808</v>
      </c>
      <c r="C78" s="283" t="s">
        <v>732</v>
      </c>
      <c r="D78" s="276" t="s">
        <v>809</v>
      </c>
      <c r="E78" s="285" t="b">
        <v>1</v>
      </c>
      <c r="F78" s="292">
        <v>2380</v>
      </c>
      <c r="G78" s="289" t="s">
        <v>412</v>
      </c>
      <c r="H78" s="289" t="s">
        <v>810</v>
      </c>
      <c r="I78" s="289" t="s">
        <v>811</v>
      </c>
      <c r="J78" s="279" t="s">
        <v>812</v>
      </c>
    </row>
    <row r="79" spans="1:10" ht="12.75">
      <c r="A79" s="270" t="s">
        <v>376</v>
      </c>
      <c r="B79" s="283" t="s">
        <v>377</v>
      </c>
      <c r="C79" s="295" t="s">
        <v>951</v>
      </c>
      <c r="D79" s="283" t="s">
        <v>1114</v>
      </c>
      <c r="E79" s="273" t="b">
        <v>0</v>
      </c>
      <c r="F79" s="286"/>
      <c r="G79" s="279" t="s">
        <v>1115</v>
      </c>
      <c r="H79" s="279" t="s">
        <v>4280</v>
      </c>
      <c r="I79" s="279" t="s">
        <v>1116</v>
      </c>
      <c r="J79" s="279" t="s">
        <v>4281</v>
      </c>
    </row>
    <row r="80" spans="1:10" ht="12.75">
      <c r="A80" s="270" t="s">
        <v>366</v>
      </c>
      <c r="B80" s="283" t="s">
        <v>1080</v>
      </c>
      <c r="C80" s="283" t="s">
        <v>1081</v>
      </c>
      <c r="D80" s="304" t="s">
        <v>1082</v>
      </c>
      <c r="E80" s="278" t="b">
        <v>1</v>
      </c>
      <c r="F80" s="286">
        <v>2996</v>
      </c>
      <c r="G80" s="279" t="s">
        <v>412</v>
      </c>
      <c r="H80" s="293" t="s">
        <v>4282</v>
      </c>
      <c r="I80" s="279" t="s">
        <v>4283</v>
      </c>
      <c r="J80" s="279" t="s">
        <v>4284</v>
      </c>
    </row>
    <row r="81" spans="1:10" ht="12.75">
      <c r="A81" s="270" t="s">
        <v>139</v>
      </c>
      <c r="B81" s="283" t="s">
        <v>553</v>
      </c>
      <c r="C81" s="283" t="s">
        <v>464</v>
      </c>
      <c r="D81" s="283" t="s">
        <v>554</v>
      </c>
      <c r="E81" s="273" t="b">
        <v>0</v>
      </c>
      <c r="F81" s="278"/>
      <c r="G81" s="279" t="s">
        <v>454</v>
      </c>
      <c r="H81" s="279" t="s">
        <v>555</v>
      </c>
      <c r="I81" s="279" t="s">
        <v>556</v>
      </c>
      <c r="J81" s="279" t="s">
        <v>557</v>
      </c>
    </row>
    <row r="82" spans="1:10" ht="12.75">
      <c r="A82" s="270" t="s">
        <v>19</v>
      </c>
      <c r="B82" s="283" t="s">
        <v>20</v>
      </c>
      <c r="C82" s="283" t="s">
        <v>589</v>
      </c>
      <c r="D82" s="283"/>
      <c r="E82" s="273" t="b">
        <v>0</v>
      </c>
      <c r="F82" s="278"/>
      <c r="G82" s="279" t="s">
        <v>412</v>
      </c>
      <c r="H82" s="279" t="s">
        <v>590</v>
      </c>
      <c r="I82" s="279" t="s">
        <v>591</v>
      </c>
      <c r="J82" s="279" t="s">
        <v>592</v>
      </c>
    </row>
    <row r="83" spans="1:10" ht="37.700000000000003" customHeight="1">
      <c r="A83" s="305" t="s">
        <v>47</v>
      </c>
      <c r="B83" s="283" t="s">
        <v>693</v>
      </c>
      <c r="C83" s="283" t="s">
        <v>694</v>
      </c>
      <c r="D83" s="283" t="s">
        <v>695</v>
      </c>
      <c r="E83" s="273" t="b">
        <v>0</v>
      </c>
      <c r="F83" s="286"/>
      <c r="G83" s="279" t="s">
        <v>412</v>
      </c>
      <c r="H83" s="279" t="s">
        <v>696</v>
      </c>
      <c r="I83" s="279" t="s">
        <v>697</v>
      </c>
      <c r="J83" s="279" t="s">
        <v>698</v>
      </c>
    </row>
    <row r="84" spans="1:10" ht="12.75">
      <c r="A84" s="270" t="s">
        <v>217</v>
      </c>
      <c r="B84" s="283" t="s">
        <v>878</v>
      </c>
      <c r="C84" s="283" t="s">
        <v>879</v>
      </c>
      <c r="D84" s="283" t="s">
        <v>880</v>
      </c>
      <c r="E84" s="273" t="b">
        <v>0</v>
      </c>
      <c r="F84" s="278"/>
      <c r="G84" s="279" t="s">
        <v>412</v>
      </c>
      <c r="H84" s="279" t="s">
        <v>881</v>
      </c>
      <c r="I84" s="279" t="s">
        <v>218</v>
      </c>
      <c r="J84" s="279" t="s">
        <v>882</v>
      </c>
    </row>
    <row r="85" spans="1:10" ht="12.75">
      <c r="A85" s="270" t="s">
        <v>331</v>
      </c>
      <c r="B85" s="283" t="s">
        <v>954</v>
      </c>
      <c r="C85" s="281" t="s">
        <v>955</v>
      </c>
      <c r="D85" s="283" t="s">
        <v>956</v>
      </c>
      <c r="E85" s="273" t="b">
        <v>0</v>
      </c>
      <c r="F85" s="278"/>
      <c r="G85" s="275" t="s">
        <v>412</v>
      </c>
      <c r="H85" s="279" t="s">
        <v>848</v>
      </c>
      <c r="I85" s="279" t="s">
        <v>957</v>
      </c>
      <c r="J85" s="279" t="s">
        <v>958</v>
      </c>
    </row>
    <row r="86" spans="1:10" ht="25.5">
      <c r="A86" s="270" t="s">
        <v>51</v>
      </c>
      <c r="B86" s="306" t="s">
        <v>402</v>
      </c>
      <c r="C86" s="283" t="s">
        <v>403</v>
      </c>
      <c r="D86" s="307" t="s">
        <v>404</v>
      </c>
      <c r="E86" s="278" t="b">
        <v>1</v>
      </c>
      <c r="F86" s="274">
        <v>386</v>
      </c>
      <c r="G86" s="275" t="s">
        <v>405</v>
      </c>
      <c r="H86" s="275" t="s">
        <v>406</v>
      </c>
      <c r="I86" s="275" t="s">
        <v>407</v>
      </c>
      <c r="J86" s="279" t="s">
        <v>408</v>
      </c>
    </row>
    <row r="87" spans="1:10" ht="12.75">
      <c r="A87" s="270" t="s">
        <v>145</v>
      </c>
      <c r="B87" s="283" t="s">
        <v>562</v>
      </c>
      <c r="C87" s="283" t="s">
        <v>542</v>
      </c>
      <c r="D87" s="283" t="s">
        <v>563</v>
      </c>
      <c r="E87" s="273" t="b">
        <v>1</v>
      </c>
      <c r="F87" s="286">
        <v>2252</v>
      </c>
      <c r="G87" s="279" t="s">
        <v>454</v>
      </c>
      <c r="H87" s="279" t="s">
        <v>564</v>
      </c>
      <c r="I87" s="279" t="s">
        <v>565</v>
      </c>
      <c r="J87" s="279" t="s">
        <v>566</v>
      </c>
    </row>
    <row r="88" spans="1:10" ht="12.75">
      <c r="A88" s="270" t="s">
        <v>160</v>
      </c>
      <c r="B88" s="283" t="s">
        <v>593</v>
      </c>
      <c r="C88" s="283" t="s">
        <v>452</v>
      </c>
      <c r="D88" s="283" t="s">
        <v>594</v>
      </c>
      <c r="E88" s="273" t="b">
        <v>1</v>
      </c>
      <c r="F88" s="286">
        <v>887</v>
      </c>
      <c r="G88" s="279" t="s">
        <v>595</v>
      </c>
      <c r="H88" s="279" t="s">
        <v>582</v>
      </c>
      <c r="I88" s="279" t="s">
        <v>593</v>
      </c>
      <c r="J88" s="279" t="s">
        <v>596</v>
      </c>
    </row>
    <row r="89" spans="1:10" ht="12.75">
      <c r="A89" s="270" t="s">
        <v>333</v>
      </c>
      <c r="B89" s="283" t="s">
        <v>959</v>
      </c>
      <c r="C89" s="281" t="s">
        <v>955</v>
      </c>
      <c r="D89" s="283" t="s">
        <v>115</v>
      </c>
      <c r="E89" s="273" t="b">
        <v>0</v>
      </c>
      <c r="F89" s="278"/>
      <c r="G89" s="275" t="s">
        <v>412</v>
      </c>
      <c r="H89" s="279" t="s">
        <v>848</v>
      </c>
      <c r="I89" s="279" t="s">
        <v>960</v>
      </c>
      <c r="J89" s="279" t="s">
        <v>961</v>
      </c>
    </row>
    <row r="90" spans="1:10" ht="25.5">
      <c r="A90" s="308" t="s">
        <v>53</v>
      </c>
      <c r="B90" s="306" t="s">
        <v>409</v>
      </c>
      <c r="C90" s="272" t="s">
        <v>410</v>
      </c>
      <c r="D90" s="309" t="s">
        <v>411</v>
      </c>
      <c r="E90" s="278" t="b">
        <v>1</v>
      </c>
      <c r="F90" s="274">
        <v>1524</v>
      </c>
      <c r="G90" s="275" t="s">
        <v>412</v>
      </c>
      <c r="H90" s="275" t="s">
        <v>406</v>
      </c>
      <c r="I90" s="275" t="s">
        <v>413</v>
      </c>
      <c r="J90" s="279" t="s">
        <v>414</v>
      </c>
    </row>
    <row r="91" spans="1:10" ht="12.75">
      <c r="A91" s="270" t="s">
        <v>13</v>
      </c>
      <c r="B91" s="283" t="s">
        <v>572</v>
      </c>
      <c r="C91" s="283" t="s">
        <v>464</v>
      </c>
      <c r="D91" s="283" t="s">
        <v>573</v>
      </c>
      <c r="E91" s="273" t="b">
        <v>0</v>
      </c>
      <c r="F91" s="278"/>
      <c r="G91" s="279" t="s">
        <v>412</v>
      </c>
      <c r="H91" s="279" t="s">
        <v>574</v>
      </c>
      <c r="I91" s="279" t="s">
        <v>575</v>
      </c>
      <c r="J91" s="279" t="s">
        <v>576</v>
      </c>
    </row>
    <row r="92" spans="1:10" ht="12.75">
      <c r="A92" s="270" t="s">
        <v>684</v>
      </c>
      <c r="B92" s="283" t="s">
        <v>685</v>
      </c>
      <c r="C92" s="283" t="s">
        <v>686</v>
      </c>
      <c r="D92" s="283"/>
      <c r="E92" s="278" t="b">
        <v>1</v>
      </c>
      <c r="F92" s="286">
        <v>647</v>
      </c>
      <c r="G92" s="279" t="s">
        <v>412</v>
      </c>
      <c r="H92" s="279" t="s">
        <v>687</v>
      </c>
      <c r="I92" s="279" t="s">
        <v>688</v>
      </c>
      <c r="J92" s="279" t="s">
        <v>689</v>
      </c>
    </row>
    <row r="93" spans="1:10" ht="12.75">
      <c r="A93" s="270" t="s">
        <v>364</v>
      </c>
      <c r="B93" s="283" t="s">
        <v>1076</v>
      </c>
      <c r="C93" s="283" t="s">
        <v>1077</v>
      </c>
      <c r="D93" s="283" t="s">
        <v>365</v>
      </c>
      <c r="E93" s="273" t="b">
        <v>0</v>
      </c>
      <c r="F93" s="286"/>
      <c r="G93" s="279" t="s">
        <v>412</v>
      </c>
      <c r="H93" s="279" t="s">
        <v>4285</v>
      </c>
      <c r="I93" s="279" t="s">
        <v>1078</v>
      </c>
      <c r="J93" s="279" t="s">
        <v>1079</v>
      </c>
    </row>
    <row r="94" spans="1:10" ht="12.75">
      <c r="A94" s="270" t="s">
        <v>149</v>
      </c>
      <c r="B94" s="283" t="s">
        <v>577</v>
      </c>
      <c r="C94" s="283" t="s">
        <v>400</v>
      </c>
      <c r="D94" s="283" t="s">
        <v>578</v>
      </c>
      <c r="E94" s="273" t="b">
        <v>0</v>
      </c>
      <c r="F94" s="278"/>
      <c r="G94" s="279" t="s">
        <v>454</v>
      </c>
      <c r="H94" s="279" t="s">
        <v>579</v>
      </c>
      <c r="I94" s="279" t="s">
        <v>580</v>
      </c>
      <c r="J94" s="293" t="s">
        <v>4286</v>
      </c>
    </row>
    <row r="95" spans="1:10" ht="12.75">
      <c r="A95" s="270" t="s">
        <v>55</v>
      </c>
      <c r="B95" s="283" t="s">
        <v>415</v>
      </c>
      <c r="C95" s="283" t="s">
        <v>416</v>
      </c>
      <c r="D95" s="283" t="s">
        <v>417</v>
      </c>
      <c r="E95" s="278" t="b">
        <v>1</v>
      </c>
      <c r="F95" s="274">
        <v>2265</v>
      </c>
      <c r="G95" s="275" t="s">
        <v>412</v>
      </c>
      <c r="H95" s="275" t="s">
        <v>418</v>
      </c>
      <c r="I95" s="275" t="s">
        <v>56</v>
      </c>
      <c r="J95" s="279" t="s">
        <v>419</v>
      </c>
    </row>
    <row r="96" spans="1:10" ht="26.25" customHeight="1">
      <c r="A96" s="270" t="s">
        <v>153</v>
      </c>
      <c r="B96" s="283" t="s">
        <v>1071</v>
      </c>
      <c r="C96" s="283" t="s">
        <v>1072</v>
      </c>
      <c r="D96" s="283" t="s">
        <v>1073</v>
      </c>
      <c r="E96" s="273" t="b">
        <v>0</v>
      </c>
      <c r="F96" s="286"/>
      <c r="G96" s="279" t="s">
        <v>397</v>
      </c>
      <c r="H96" s="279" t="s">
        <v>430</v>
      </c>
      <c r="I96" s="279" t="s">
        <v>1074</v>
      </c>
      <c r="J96" s="279" t="s">
        <v>1075</v>
      </c>
    </row>
    <row r="97" spans="1:10" ht="12.75">
      <c r="A97" s="270" t="s">
        <v>25</v>
      </c>
      <c r="B97" s="283" t="s">
        <v>731</v>
      </c>
      <c r="C97" s="283" t="s">
        <v>732</v>
      </c>
      <c r="D97" s="287"/>
      <c r="E97" s="278" t="b">
        <v>1</v>
      </c>
      <c r="F97" s="286">
        <v>2948</v>
      </c>
      <c r="G97" s="279" t="s">
        <v>397</v>
      </c>
      <c r="H97" s="275" t="s">
        <v>733</v>
      </c>
      <c r="I97" s="275" t="s">
        <v>26</v>
      </c>
      <c r="J97" s="275" t="s">
        <v>734</v>
      </c>
    </row>
    <row r="98" spans="1:10" ht="12.75">
      <c r="A98" s="270" t="s">
        <v>25</v>
      </c>
      <c r="B98" s="283" t="s">
        <v>731</v>
      </c>
      <c r="C98" s="283" t="s">
        <v>732</v>
      </c>
      <c r="D98" s="283" t="s">
        <v>115</v>
      </c>
      <c r="E98" s="273" t="b">
        <v>0</v>
      </c>
      <c r="F98" s="278"/>
      <c r="G98" s="279" t="s">
        <v>397</v>
      </c>
      <c r="H98" s="279" t="s">
        <v>733</v>
      </c>
      <c r="I98" s="279" t="s">
        <v>26</v>
      </c>
      <c r="J98" s="279" t="s">
        <v>734</v>
      </c>
    </row>
    <row r="99" spans="1:10" ht="102">
      <c r="A99" s="270" t="s">
        <v>57</v>
      </c>
      <c r="B99" s="306" t="s">
        <v>420</v>
      </c>
      <c r="C99" s="283" t="s">
        <v>421</v>
      </c>
      <c r="D99" s="306" t="s">
        <v>422</v>
      </c>
      <c r="E99" s="273" t="b">
        <v>0</v>
      </c>
      <c r="F99" s="274"/>
      <c r="G99" s="275" t="s">
        <v>423</v>
      </c>
      <c r="H99" s="275" t="s">
        <v>424</v>
      </c>
      <c r="I99" s="275" t="s">
        <v>425</v>
      </c>
      <c r="J99" s="279" t="s">
        <v>426</v>
      </c>
    </row>
    <row r="100" spans="1:10" ht="12.75">
      <c r="A100" s="270" t="s">
        <v>221</v>
      </c>
      <c r="B100" s="283" t="s">
        <v>1066</v>
      </c>
      <c r="C100" s="283" t="s">
        <v>1067</v>
      </c>
      <c r="D100" s="283" t="s">
        <v>115</v>
      </c>
      <c r="E100" s="273" t="b">
        <v>1</v>
      </c>
      <c r="F100" s="286">
        <v>2</v>
      </c>
      <c r="G100" s="279" t="s">
        <v>1068</v>
      </c>
      <c r="H100" s="279" t="s">
        <v>1069</v>
      </c>
      <c r="I100" s="279" t="s">
        <v>1070</v>
      </c>
      <c r="J100" s="279" t="s">
        <v>4287</v>
      </c>
    </row>
    <row r="101" spans="1:10" ht="12.75">
      <c r="A101" s="270" t="s">
        <v>223</v>
      </c>
      <c r="B101" s="283" t="s">
        <v>1058</v>
      </c>
      <c r="C101" s="283" t="s">
        <v>1059</v>
      </c>
      <c r="D101" s="283" t="s">
        <v>1060</v>
      </c>
      <c r="E101" s="273" t="b">
        <v>0</v>
      </c>
      <c r="F101" s="278"/>
      <c r="G101" s="279" t="s">
        <v>412</v>
      </c>
      <c r="H101" s="279" t="s">
        <v>881</v>
      </c>
      <c r="I101" s="279" t="s">
        <v>224</v>
      </c>
      <c r="J101" s="279" t="s">
        <v>1061</v>
      </c>
    </row>
    <row r="102" spans="1:10" ht="12.75">
      <c r="A102" s="270" t="s">
        <v>225</v>
      </c>
      <c r="B102" s="283" t="s">
        <v>226</v>
      </c>
      <c r="C102" s="283" t="s">
        <v>1029</v>
      </c>
      <c r="D102" s="304" t="s">
        <v>1030</v>
      </c>
      <c r="E102" s="278" t="b">
        <v>1</v>
      </c>
      <c r="F102" s="278">
        <v>922</v>
      </c>
      <c r="G102" s="279" t="s">
        <v>595</v>
      </c>
      <c r="H102" s="279" t="s">
        <v>1031</v>
      </c>
      <c r="I102" s="279" t="s">
        <v>1032</v>
      </c>
      <c r="J102" s="279" t="s">
        <v>1033</v>
      </c>
    </row>
    <row r="103" spans="1:10" ht="12.75">
      <c r="A103" s="270" t="s">
        <v>227</v>
      </c>
      <c r="B103" s="283" t="s">
        <v>228</v>
      </c>
      <c r="C103" s="283" t="s">
        <v>1034</v>
      </c>
      <c r="D103" s="283" t="s">
        <v>1035</v>
      </c>
      <c r="E103" s="273" t="b">
        <v>0</v>
      </c>
      <c r="F103" s="278"/>
      <c r="G103" s="279" t="s">
        <v>397</v>
      </c>
      <c r="H103" s="279" t="s">
        <v>1036</v>
      </c>
      <c r="I103" s="279" t="s">
        <v>228</v>
      </c>
      <c r="J103" s="279" t="s">
        <v>1037</v>
      </c>
    </row>
    <row r="104" spans="1:10" ht="12.75">
      <c r="A104" s="270" t="s">
        <v>27</v>
      </c>
      <c r="B104" s="283" t="s">
        <v>655</v>
      </c>
      <c r="C104" s="283" t="s">
        <v>464</v>
      </c>
      <c r="D104" s="283" t="s">
        <v>656</v>
      </c>
      <c r="E104" s="278" t="b">
        <v>1</v>
      </c>
      <c r="F104" s="286">
        <v>1002</v>
      </c>
      <c r="G104" s="279" t="s">
        <v>454</v>
      </c>
      <c r="H104" s="279" t="s">
        <v>657</v>
      </c>
      <c r="I104" s="279" t="s">
        <v>658</v>
      </c>
      <c r="J104" s="279" t="s">
        <v>659</v>
      </c>
    </row>
    <row r="105" spans="1:10" ht="12.75">
      <c r="A105" s="270" t="s">
        <v>162</v>
      </c>
      <c r="B105" s="283" t="s">
        <v>597</v>
      </c>
      <c r="C105" s="283" t="s">
        <v>421</v>
      </c>
      <c r="D105" s="283" t="s">
        <v>598</v>
      </c>
      <c r="E105" s="278" t="b">
        <v>1</v>
      </c>
      <c r="F105" s="286">
        <v>2779</v>
      </c>
      <c r="G105" s="279" t="s">
        <v>412</v>
      </c>
      <c r="H105" s="279" t="s">
        <v>4288</v>
      </c>
      <c r="I105" s="279" t="s">
        <v>599</v>
      </c>
      <c r="J105" s="279" t="s">
        <v>4289</v>
      </c>
    </row>
    <row r="106" spans="1:10" ht="25.5">
      <c r="A106" s="270" t="s">
        <v>177</v>
      </c>
      <c r="B106" s="276" t="s">
        <v>178</v>
      </c>
      <c r="C106" s="283" t="s">
        <v>400</v>
      </c>
      <c r="D106" s="307" t="s">
        <v>621</v>
      </c>
      <c r="E106" s="278" t="b">
        <v>1</v>
      </c>
      <c r="F106" s="274">
        <v>1453</v>
      </c>
      <c r="G106" s="279" t="s">
        <v>412</v>
      </c>
      <c r="H106" s="275" t="s">
        <v>622</v>
      </c>
      <c r="I106" s="275" t="s">
        <v>623</v>
      </c>
      <c r="J106" s="275" t="s">
        <v>624</v>
      </c>
    </row>
    <row r="107" spans="1:10" ht="12.6" customHeight="1">
      <c r="A107" s="270" t="s">
        <v>74</v>
      </c>
      <c r="B107" s="276" t="s">
        <v>469</v>
      </c>
      <c r="C107" s="283" t="s">
        <v>464</v>
      </c>
      <c r="D107" s="276" t="s">
        <v>470</v>
      </c>
      <c r="E107" s="273" t="b">
        <v>0</v>
      </c>
      <c r="F107" s="278"/>
      <c r="G107" s="289" t="s">
        <v>412</v>
      </c>
      <c r="H107" s="289" t="s">
        <v>4306</v>
      </c>
      <c r="I107" s="289" t="s">
        <v>471</v>
      </c>
      <c r="J107" s="279" t="s">
        <v>472</v>
      </c>
    </row>
    <row r="108" spans="1:10" ht="75.2" customHeight="1">
      <c r="A108" s="261" t="s">
        <v>61</v>
      </c>
      <c r="B108" s="276" t="s">
        <v>432</v>
      </c>
      <c r="C108" s="272" t="s">
        <v>433</v>
      </c>
      <c r="D108" s="276" t="s">
        <v>115</v>
      </c>
      <c r="E108" s="273" t="b">
        <v>0</v>
      </c>
      <c r="F108" s="278"/>
      <c r="G108" s="289" t="s">
        <v>405</v>
      </c>
      <c r="H108" s="289" t="s">
        <v>434</v>
      </c>
      <c r="I108" s="289" t="s">
        <v>435</v>
      </c>
      <c r="J108" s="275" t="s">
        <v>436</v>
      </c>
    </row>
    <row r="109" spans="1:10" ht="50.85" customHeight="1">
      <c r="A109" s="270" t="s">
        <v>175</v>
      </c>
      <c r="B109" s="276" t="s">
        <v>617</v>
      </c>
      <c r="C109" s="283" t="s">
        <v>618</v>
      </c>
      <c r="D109" s="283" t="s">
        <v>115</v>
      </c>
      <c r="E109" s="273" t="b">
        <v>0</v>
      </c>
      <c r="F109" s="286"/>
      <c r="G109" s="279" t="s">
        <v>595</v>
      </c>
      <c r="H109" s="275" t="s">
        <v>619</v>
      </c>
      <c r="I109" s="275" t="s">
        <v>617</v>
      </c>
      <c r="J109" s="279" t="s">
        <v>620</v>
      </c>
    </row>
    <row r="110" spans="1:10" ht="25.5">
      <c r="A110" s="270" t="s">
        <v>270</v>
      </c>
      <c r="B110" s="276" t="s">
        <v>818</v>
      </c>
      <c r="C110" s="283" t="s">
        <v>819</v>
      </c>
      <c r="D110" s="276" t="s">
        <v>820</v>
      </c>
      <c r="E110" s="285" t="b">
        <v>0</v>
      </c>
      <c r="F110" s="278"/>
      <c r="G110" s="289" t="s">
        <v>397</v>
      </c>
      <c r="H110" s="289" t="s">
        <v>821</v>
      </c>
      <c r="I110" s="289" t="s">
        <v>822</v>
      </c>
      <c r="J110" s="279" t="s">
        <v>823</v>
      </c>
    </row>
    <row r="111" spans="1:10" ht="89.25">
      <c r="A111" s="270" t="s">
        <v>235</v>
      </c>
      <c r="B111" s="272" t="s">
        <v>726</v>
      </c>
      <c r="C111" s="272" t="s">
        <v>727</v>
      </c>
      <c r="D111" s="276" t="s">
        <v>4290</v>
      </c>
      <c r="E111" s="273" t="b">
        <v>1</v>
      </c>
      <c r="F111" s="274">
        <v>2695</v>
      </c>
      <c r="G111" s="275" t="s">
        <v>412</v>
      </c>
      <c r="H111" s="275" t="s">
        <v>728</v>
      </c>
      <c r="I111" s="275" t="s">
        <v>729</v>
      </c>
      <c r="J111" s="275" t="s">
        <v>730</v>
      </c>
    </row>
    <row r="112" spans="1:10" ht="12.75">
      <c r="A112" s="270" t="s">
        <v>1117</v>
      </c>
      <c r="B112" s="283" t="s">
        <v>378</v>
      </c>
      <c r="C112" s="283" t="s">
        <v>1118</v>
      </c>
      <c r="D112" s="283" t="s">
        <v>1119</v>
      </c>
      <c r="E112" s="273" t="b">
        <v>0</v>
      </c>
      <c r="F112" s="286"/>
      <c r="G112" s="279" t="s">
        <v>1115</v>
      </c>
      <c r="H112" s="279" t="s">
        <v>4291</v>
      </c>
      <c r="I112" s="279" t="s">
        <v>1120</v>
      </c>
      <c r="J112" s="279" t="s">
        <v>4292</v>
      </c>
    </row>
    <row r="113" spans="1:10" ht="12.75">
      <c r="A113" s="270" t="s">
        <v>368</v>
      </c>
      <c r="B113" s="283" t="s">
        <v>1083</v>
      </c>
      <c r="C113" s="283" t="s">
        <v>1084</v>
      </c>
      <c r="D113" s="283" t="s">
        <v>1085</v>
      </c>
      <c r="E113" s="278" t="b">
        <v>1</v>
      </c>
      <c r="F113" s="286">
        <v>2719</v>
      </c>
      <c r="G113" s="279" t="s">
        <v>412</v>
      </c>
      <c r="H113" s="279" t="s">
        <v>4293</v>
      </c>
      <c r="I113" s="279" t="s">
        <v>1086</v>
      </c>
      <c r="J113" s="279" t="s">
        <v>1087</v>
      </c>
    </row>
    <row r="114" spans="1:10" ht="51">
      <c r="A114" s="270" t="s">
        <v>641</v>
      </c>
      <c r="B114" s="306" t="s">
        <v>642</v>
      </c>
      <c r="C114" s="272" t="s">
        <v>643</v>
      </c>
      <c r="D114" s="287"/>
      <c r="E114" s="273" t="b">
        <v>0</v>
      </c>
      <c r="F114" s="286"/>
      <c r="G114" s="275" t="s">
        <v>397</v>
      </c>
      <c r="H114" s="275" t="s">
        <v>644</v>
      </c>
      <c r="I114" s="275" t="s">
        <v>645</v>
      </c>
      <c r="J114" s="279" t="s">
        <v>646</v>
      </c>
    </row>
    <row r="115" spans="1:10" ht="25.15" customHeight="1">
      <c r="A115" s="261" t="s">
        <v>6</v>
      </c>
      <c r="B115" s="276" t="s">
        <v>437</v>
      </c>
      <c r="C115" s="283" t="s">
        <v>400</v>
      </c>
      <c r="D115" s="276" t="s">
        <v>438</v>
      </c>
      <c r="E115" s="273" t="b">
        <v>0</v>
      </c>
      <c r="F115" s="278"/>
      <c r="G115" s="289" t="s">
        <v>429</v>
      </c>
      <c r="H115" s="289" t="s">
        <v>439</v>
      </c>
      <c r="I115" s="289" t="s">
        <v>440</v>
      </c>
      <c r="J115" s="279" t="s">
        <v>441</v>
      </c>
    </row>
    <row r="116" spans="1:10" ht="51">
      <c r="A116" s="270" t="s">
        <v>242</v>
      </c>
      <c r="B116" s="283" t="s">
        <v>759</v>
      </c>
      <c r="C116" s="283" t="s">
        <v>760</v>
      </c>
      <c r="D116" s="283" t="s">
        <v>761</v>
      </c>
      <c r="E116" s="273" t="b">
        <v>0</v>
      </c>
      <c r="F116" s="278"/>
      <c r="G116" s="275" t="s">
        <v>397</v>
      </c>
      <c r="H116" s="275" t="s">
        <v>762</v>
      </c>
      <c r="I116" s="275" t="s">
        <v>763</v>
      </c>
      <c r="J116" s="275" t="s">
        <v>4294</v>
      </c>
    </row>
    <row r="117" spans="1:10" ht="25.5">
      <c r="A117" s="270" t="s">
        <v>279</v>
      </c>
      <c r="B117" s="272" t="s">
        <v>845</v>
      </c>
      <c r="C117" s="272" t="s">
        <v>846</v>
      </c>
      <c r="D117" s="283" t="s">
        <v>847</v>
      </c>
      <c r="E117" s="273" t="b">
        <v>0</v>
      </c>
      <c r="F117" s="278"/>
      <c r="G117" s="275" t="s">
        <v>412</v>
      </c>
      <c r="H117" s="275" t="s">
        <v>848</v>
      </c>
      <c r="I117" s="275" t="s">
        <v>849</v>
      </c>
      <c r="J117" s="275" t="s">
        <v>850</v>
      </c>
    </row>
    <row r="118" spans="1:10" ht="38.25">
      <c r="A118" s="270" t="s">
        <v>268</v>
      </c>
      <c r="B118" s="276" t="s">
        <v>813</v>
      </c>
      <c r="C118" s="283" t="s">
        <v>814</v>
      </c>
      <c r="D118" s="276"/>
      <c r="E118" s="273" t="b">
        <v>0</v>
      </c>
      <c r="F118" s="292"/>
      <c r="G118" s="289" t="s">
        <v>454</v>
      </c>
      <c r="H118" s="289" t="s">
        <v>815</v>
      </c>
      <c r="I118" s="289" t="s">
        <v>816</v>
      </c>
      <c r="J118" s="279" t="s">
        <v>817</v>
      </c>
    </row>
    <row r="119" spans="1:10" ht="12.75">
      <c r="A119" s="270" t="s">
        <v>1121</v>
      </c>
      <c r="B119" s="283" t="s">
        <v>43</v>
      </c>
      <c r="C119" s="283" t="s">
        <v>1122</v>
      </c>
      <c r="D119" s="287"/>
      <c r="E119" s="273" t="b">
        <v>0</v>
      </c>
      <c r="F119" s="286"/>
      <c r="G119" s="279" t="s">
        <v>405</v>
      </c>
      <c r="H119" s="279" t="s">
        <v>1123</v>
      </c>
      <c r="I119" s="279" t="s">
        <v>1124</v>
      </c>
      <c r="J119" s="279" t="s">
        <v>1125</v>
      </c>
    </row>
    <row r="120" spans="1:10" ht="12.75">
      <c r="A120" s="270" t="s">
        <v>370</v>
      </c>
      <c r="B120" s="283" t="s">
        <v>1088</v>
      </c>
      <c r="C120" s="283" t="s">
        <v>1089</v>
      </c>
      <c r="D120" s="287"/>
      <c r="E120" s="273" t="b">
        <v>0</v>
      </c>
      <c r="F120" s="286"/>
      <c r="G120" s="279" t="s">
        <v>405</v>
      </c>
      <c r="H120" s="279" t="s">
        <v>1090</v>
      </c>
      <c r="I120" s="279" t="s">
        <v>1091</v>
      </c>
      <c r="J120" s="279" t="s">
        <v>1092</v>
      </c>
    </row>
    <row r="121" spans="1:10" ht="12.75">
      <c r="A121" s="270" t="s">
        <v>191</v>
      </c>
      <c r="B121" s="283" t="s">
        <v>192</v>
      </c>
      <c r="C121" s="283" t="s">
        <v>647</v>
      </c>
      <c r="D121" s="287"/>
      <c r="E121" s="278" t="b">
        <v>1</v>
      </c>
      <c r="F121" s="274">
        <v>2264</v>
      </c>
      <c r="G121" s="279" t="s">
        <v>412</v>
      </c>
      <c r="H121" s="275" t="s">
        <v>418</v>
      </c>
      <c r="I121" s="275" t="s">
        <v>648</v>
      </c>
      <c r="J121" s="279" t="s">
        <v>649</v>
      </c>
    </row>
    <row r="122" spans="1:10" ht="37.700000000000003" customHeight="1">
      <c r="A122" s="261" t="s">
        <v>78</v>
      </c>
      <c r="B122" s="276" t="s">
        <v>473</v>
      </c>
      <c r="C122" s="272" t="s">
        <v>464</v>
      </c>
      <c r="D122" s="272" t="s">
        <v>474</v>
      </c>
      <c r="E122" s="273" t="b">
        <v>1</v>
      </c>
      <c r="F122" s="274">
        <v>292</v>
      </c>
      <c r="G122" s="279" t="s">
        <v>405</v>
      </c>
      <c r="H122" s="279" t="s">
        <v>475</v>
      </c>
      <c r="I122" s="279" t="s">
        <v>476</v>
      </c>
      <c r="J122" s="275" t="s">
        <v>477</v>
      </c>
    </row>
    <row r="123" spans="1:10" ht="12.75">
      <c r="A123" s="270" t="s">
        <v>63</v>
      </c>
      <c r="B123" s="283" t="s">
        <v>442</v>
      </c>
      <c r="C123" s="283" t="s">
        <v>443</v>
      </c>
      <c r="D123" s="283" t="s">
        <v>444</v>
      </c>
      <c r="E123" s="273" t="b">
        <v>0</v>
      </c>
      <c r="F123" s="278"/>
      <c r="G123" s="279" t="s">
        <v>397</v>
      </c>
      <c r="H123" s="279" t="s">
        <v>445</v>
      </c>
      <c r="I123" s="279" t="s">
        <v>446</v>
      </c>
      <c r="J123" s="279" t="s">
        <v>447</v>
      </c>
    </row>
    <row r="124" spans="1:10" ht="30" customHeight="1">
      <c r="A124" s="297" t="s">
        <v>181</v>
      </c>
      <c r="B124" s="283" t="s">
        <v>630</v>
      </c>
      <c r="C124" s="283" t="s">
        <v>464</v>
      </c>
      <c r="D124" s="283" t="s">
        <v>631</v>
      </c>
      <c r="E124" s="278" t="b">
        <v>1</v>
      </c>
      <c r="F124" s="286">
        <v>1157</v>
      </c>
      <c r="G124" s="279" t="s">
        <v>412</v>
      </c>
      <c r="H124" s="279" t="s">
        <v>632</v>
      </c>
      <c r="I124" s="279" t="s">
        <v>633</v>
      </c>
      <c r="J124" s="279" t="s">
        <v>634</v>
      </c>
    </row>
    <row r="125" spans="1:10" ht="38.25" customHeight="1">
      <c r="A125" s="270" t="s">
        <v>198</v>
      </c>
      <c r="B125" s="283" t="s">
        <v>650</v>
      </c>
      <c r="C125" s="283" t="s">
        <v>651</v>
      </c>
      <c r="D125" s="287"/>
      <c r="E125" s="278" t="b">
        <v>1</v>
      </c>
      <c r="F125" s="286">
        <v>618</v>
      </c>
      <c r="G125" s="279" t="s">
        <v>412</v>
      </c>
      <c r="H125" s="279" t="s">
        <v>652</v>
      </c>
      <c r="I125" s="279" t="s">
        <v>653</v>
      </c>
      <c r="J125" s="279" t="s">
        <v>654</v>
      </c>
    </row>
    <row r="126" spans="1:10" ht="51">
      <c r="A126" s="270" t="s">
        <v>710</v>
      </c>
      <c r="B126" s="272" t="s">
        <v>199</v>
      </c>
      <c r="C126" s="272" t="s">
        <v>711</v>
      </c>
      <c r="D126" s="272"/>
      <c r="E126" s="278" t="b">
        <v>1</v>
      </c>
      <c r="F126" s="286">
        <v>618</v>
      </c>
      <c r="G126" s="279" t="s">
        <v>595</v>
      </c>
      <c r="H126" s="275" t="s">
        <v>712</v>
      </c>
      <c r="I126" s="275" t="s">
        <v>713</v>
      </c>
      <c r="J126" s="275" t="s">
        <v>714</v>
      </c>
    </row>
    <row r="127" spans="1:10" ht="76.5">
      <c r="A127" s="270" t="s">
        <v>244</v>
      </c>
      <c r="B127" s="272" t="s">
        <v>764</v>
      </c>
      <c r="C127" s="272" t="s">
        <v>765</v>
      </c>
      <c r="D127" s="272" t="s">
        <v>766</v>
      </c>
      <c r="E127" s="273" t="b">
        <v>0</v>
      </c>
      <c r="F127" s="278"/>
      <c r="G127" s="275" t="s">
        <v>412</v>
      </c>
      <c r="H127" s="275" t="s">
        <v>4295</v>
      </c>
      <c r="I127" s="275" t="s">
        <v>767</v>
      </c>
      <c r="J127" s="275" t="s">
        <v>4296</v>
      </c>
    </row>
    <row r="128" spans="1:10" ht="25.5">
      <c r="A128" s="270" t="s">
        <v>282</v>
      </c>
      <c r="B128" s="276" t="s">
        <v>851</v>
      </c>
      <c r="C128" s="283" t="s">
        <v>825</v>
      </c>
      <c r="D128" s="276" t="s">
        <v>852</v>
      </c>
      <c r="E128" s="273" t="b">
        <v>0</v>
      </c>
      <c r="F128" s="278"/>
      <c r="G128" s="289" t="s">
        <v>412</v>
      </c>
      <c r="H128" s="289" t="s">
        <v>652</v>
      </c>
      <c r="I128" s="289" t="s">
        <v>283</v>
      </c>
      <c r="J128" s="279" t="s">
        <v>853</v>
      </c>
    </row>
    <row r="129" spans="1:10" ht="38.25">
      <c r="A129" s="270" t="s">
        <v>276</v>
      </c>
      <c r="B129" s="276" t="s">
        <v>836</v>
      </c>
      <c r="C129" s="276" t="s">
        <v>837</v>
      </c>
      <c r="D129" s="276" t="s">
        <v>838</v>
      </c>
      <c r="E129" s="273" t="b">
        <v>1</v>
      </c>
      <c r="F129" s="286">
        <v>581</v>
      </c>
      <c r="G129" s="289" t="s">
        <v>405</v>
      </c>
      <c r="H129" s="289" t="s">
        <v>839</v>
      </c>
      <c r="I129" s="289" t="s">
        <v>840</v>
      </c>
      <c r="J129" s="289" t="s">
        <v>841</v>
      </c>
    </row>
    <row r="130" spans="1:10" ht="38.25">
      <c r="A130" s="270" t="s">
        <v>276</v>
      </c>
      <c r="B130" s="276" t="s">
        <v>842</v>
      </c>
      <c r="C130" s="276" t="s">
        <v>843</v>
      </c>
      <c r="D130" s="276" t="s">
        <v>844</v>
      </c>
      <c r="E130" s="273" t="b">
        <v>1</v>
      </c>
      <c r="F130" s="274">
        <v>828</v>
      </c>
      <c r="G130" s="289" t="s">
        <v>716</v>
      </c>
      <c r="H130" s="289" t="s">
        <v>839</v>
      </c>
      <c r="I130" s="289" t="s">
        <v>840</v>
      </c>
      <c r="J130" s="289" t="s">
        <v>841</v>
      </c>
    </row>
    <row r="131" spans="1:10" ht="12.75">
      <c r="A131" s="270" t="s">
        <v>371</v>
      </c>
      <c r="B131" s="283" t="s">
        <v>1093</v>
      </c>
      <c r="C131" s="283" t="s">
        <v>536</v>
      </c>
      <c r="D131" s="283" t="s">
        <v>1094</v>
      </c>
      <c r="E131" s="278" t="b">
        <v>1</v>
      </c>
      <c r="F131" s="286">
        <v>2500</v>
      </c>
      <c r="G131" s="279" t="s">
        <v>405</v>
      </c>
      <c r="H131" s="279" t="s">
        <v>4297</v>
      </c>
      <c r="I131" s="279" t="s">
        <v>1095</v>
      </c>
      <c r="J131" s="279" t="s">
        <v>4298</v>
      </c>
    </row>
    <row r="132" spans="1:10" ht="25.5">
      <c r="A132" s="270" t="s">
        <v>239</v>
      </c>
      <c r="B132" s="276" t="s">
        <v>738</v>
      </c>
      <c r="C132" s="276" t="s">
        <v>739</v>
      </c>
      <c r="D132" s="276" t="s">
        <v>740</v>
      </c>
      <c r="E132" s="273" t="b">
        <v>0</v>
      </c>
      <c r="F132" s="278"/>
      <c r="G132" s="289" t="s">
        <v>412</v>
      </c>
      <c r="H132" s="289" t="s">
        <v>652</v>
      </c>
      <c r="I132" s="289" t="s">
        <v>741</v>
      </c>
      <c r="J132" s="289" t="s">
        <v>742</v>
      </c>
    </row>
    <row r="133" spans="1:10" ht="25.5">
      <c r="A133" s="270" t="s">
        <v>34</v>
      </c>
      <c r="B133" s="310" t="s">
        <v>743</v>
      </c>
      <c r="C133" s="283" t="s">
        <v>744</v>
      </c>
      <c r="D133" s="310" t="s">
        <v>745</v>
      </c>
      <c r="E133" s="273" t="b">
        <v>1</v>
      </c>
      <c r="F133" s="286">
        <v>1642</v>
      </c>
      <c r="G133" s="289" t="s">
        <v>412</v>
      </c>
      <c r="H133" s="289" t="s">
        <v>746</v>
      </c>
      <c r="I133" s="289" t="s">
        <v>747</v>
      </c>
      <c r="J133" s="279" t="s">
        <v>748</v>
      </c>
    </row>
    <row r="134" spans="1:10" ht="13.15" customHeight="1">
      <c r="A134" s="270" t="s">
        <v>36</v>
      </c>
      <c r="B134" s="272" t="s">
        <v>749</v>
      </c>
      <c r="C134" s="272" t="s">
        <v>750</v>
      </c>
      <c r="D134" s="283" t="s">
        <v>751</v>
      </c>
      <c r="E134" s="273" t="b">
        <v>1</v>
      </c>
      <c r="F134" s="274">
        <v>3053</v>
      </c>
      <c r="G134" s="275" t="s">
        <v>412</v>
      </c>
      <c r="H134" s="300" t="s">
        <v>752</v>
      </c>
      <c r="I134" s="275" t="s">
        <v>753</v>
      </c>
      <c r="J134" s="275" t="s">
        <v>754</v>
      </c>
    </row>
    <row r="135" spans="1:10" ht="13.15" customHeight="1">
      <c r="A135" s="270" t="s">
        <v>240</v>
      </c>
      <c r="B135" s="272" t="s">
        <v>755</v>
      </c>
      <c r="C135" s="272" t="s">
        <v>756</v>
      </c>
      <c r="D135" s="276" t="s">
        <v>757</v>
      </c>
      <c r="E135" s="273" t="b">
        <v>0</v>
      </c>
      <c r="F135" s="278"/>
      <c r="G135" s="275" t="s">
        <v>412</v>
      </c>
      <c r="H135" s="275" t="s">
        <v>4299</v>
      </c>
      <c r="I135" s="275" t="s">
        <v>758</v>
      </c>
      <c r="J135" s="275" t="s">
        <v>4300</v>
      </c>
    </row>
    <row r="136" spans="1:10" ht="12.75">
      <c r="A136" s="270" t="s">
        <v>31</v>
      </c>
      <c r="B136" s="283" t="s">
        <v>660</v>
      </c>
      <c r="C136" s="283" t="s">
        <v>661</v>
      </c>
      <c r="D136" s="283" t="s">
        <v>662</v>
      </c>
      <c r="E136" s="273" t="b">
        <v>0</v>
      </c>
      <c r="F136" s="286"/>
      <c r="G136" s="279" t="s">
        <v>454</v>
      </c>
      <c r="H136" s="279" t="s">
        <v>663</v>
      </c>
      <c r="I136" s="279" t="s">
        <v>664</v>
      </c>
      <c r="J136" s="279" t="s">
        <v>665</v>
      </c>
    </row>
    <row r="137" spans="1:10" ht="12.6" customHeight="1">
      <c r="A137" s="270" t="s">
        <v>86</v>
      </c>
      <c r="B137" s="283" t="s">
        <v>483</v>
      </c>
      <c r="C137" s="283" t="s">
        <v>484</v>
      </c>
      <c r="D137" s="283" t="s">
        <v>485</v>
      </c>
      <c r="E137" s="273" t="b">
        <v>0</v>
      </c>
      <c r="F137" s="278"/>
      <c r="G137" s="279" t="s">
        <v>405</v>
      </c>
      <c r="H137" s="279" t="s">
        <v>486</v>
      </c>
      <c r="I137" s="279" t="s">
        <v>487</v>
      </c>
      <c r="J137" s="279" t="s">
        <v>488</v>
      </c>
    </row>
    <row r="138" spans="1:10" ht="12.75">
      <c r="A138" s="270" t="s">
        <v>65</v>
      </c>
      <c r="B138" s="283" t="s">
        <v>690</v>
      </c>
      <c r="C138" s="283" t="s">
        <v>400</v>
      </c>
      <c r="D138" s="287"/>
      <c r="E138" s="278" t="b">
        <v>1</v>
      </c>
      <c r="F138" s="286"/>
      <c r="G138" s="279" t="s">
        <v>412</v>
      </c>
      <c r="H138" s="279" t="s">
        <v>691</v>
      </c>
      <c r="I138" s="279" t="s">
        <v>692</v>
      </c>
      <c r="J138" s="279" t="s">
        <v>4301</v>
      </c>
    </row>
    <row r="139" spans="1:10" ht="15" customHeight="1">
      <c r="A139" s="297" t="s">
        <v>185</v>
      </c>
      <c r="B139" s="283" t="s">
        <v>635</v>
      </c>
      <c r="C139" s="283" t="s">
        <v>636</v>
      </c>
      <c r="D139" s="283" t="s">
        <v>637</v>
      </c>
      <c r="E139" s="278" t="b">
        <v>1</v>
      </c>
      <c r="F139" s="286">
        <v>1243</v>
      </c>
      <c r="G139" s="279" t="s">
        <v>397</v>
      </c>
      <c r="H139" s="279" t="s">
        <v>638</v>
      </c>
      <c r="I139" s="279" t="s">
        <v>639</v>
      </c>
      <c r="J139" s="279" t="s">
        <v>640</v>
      </c>
    </row>
    <row r="140" spans="1:10" ht="12.75">
      <c r="A140" s="270" t="s">
        <v>246</v>
      </c>
      <c r="B140" s="276" t="s">
        <v>768</v>
      </c>
      <c r="C140" s="283" t="s">
        <v>769</v>
      </c>
      <c r="D140" s="276" t="s">
        <v>115</v>
      </c>
      <c r="E140" s="296" t="b">
        <v>1</v>
      </c>
      <c r="F140" s="292">
        <v>1596</v>
      </c>
      <c r="G140" s="289" t="s">
        <v>412</v>
      </c>
      <c r="H140" s="289" t="s">
        <v>652</v>
      </c>
      <c r="I140" s="289" t="s">
        <v>770</v>
      </c>
      <c r="J140" s="279" t="s">
        <v>247</v>
      </c>
    </row>
    <row r="141" spans="1:10" ht="12.75">
      <c r="A141" s="270" t="s">
        <v>305</v>
      </c>
      <c r="B141" s="283" t="s">
        <v>909</v>
      </c>
      <c r="C141" s="283" t="s">
        <v>739</v>
      </c>
      <c r="D141" s="283" t="s">
        <v>910</v>
      </c>
      <c r="E141" s="278" t="b">
        <v>1</v>
      </c>
      <c r="F141" s="292">
        <v>1353</v>
      </c>
      <c r="G141" s="279" t="s">
        <v>454</v>
      </c>
      <c r="H141" s="279" t="s">
        <v>911</v>
      </c>
      <c r="I141" s="279" t="s">
        <v>912</v>
      </c>
      <c r="J141" s="293" t="s">
        <v>4302</v>
      </c>
    </row>
    <row r="142" spans="1:10" ht="25.5">
      <c r="A142" s="270" t="s">
        <v>286</v>
      </c>
      <c r="B142" s="276" t="s">
        <v>858</v>
      </c>
      <c r="C142" s="283" t="s">
        <v>859</v>
      </c>
      <c r="D142" s="276" t="s">
        <v>860</v>
      </c>
      <c r="E142" s="278" t="b">
        <v>0</v>
      </c>
      <c r="F142" s="278"/>
      <c r="G142" s="289" t="s">
        <v>397</v>
      </c>
      <c r="H142" s="289" t="s">
        <v>861</v>
      </c>
      <c r="I142" s="289" t="s">
        <v>862</v>
      </c>
      <c r="J142" s="289" t="s">
        <v>863</v>
      </c>
    </row>
    <row r="143" spans="1:10" ht="38.25" customHeight="1">
      <c r="A143" s="270" t="s">
        <v>379</v>
      </c>
      <c r="B143" s="311" t="s">
        <v>380</v>
      </c>
      <c r="C143" s="283" t="s">
        <v>1126</v>
      </c>
      <c r="D143" s="283" t="s">
        <v>115</v>
      </c>
      <c r="E143" s="273" t="b">
        <v>0</v>
      </c>
      <c r="F143" s="286"/>
      <c r="G143" s="279" t="s">
        <v>412</v>
      </c>
      <c r="H143" s="279" t="s">
        <v>861</v>
      </c>
      <c r="I143" s="279" t="s">
        <v>1127</v>
      </c>
      <c r="J143" s="275" t="s">
        <v>1128</v>
      </c>
    </row>
    <row r="144" spans="1:10" ht="25.5">
      <c r="A144" s="270" t="s">
        <v>164</v>
      </c>
      <c r="B144" s="306" t="s">
        <v>165</v>
      </c>
      <c r="C144" s="283" t="s">
        <v>600</v>
      </c>
      <c r="D144" s="276" t="s">
        <v>601</v>
      </c>
      <c r="E144" s="278" t="b">
        <v>1</v>
      </c>
      <c r="F144" s="274">
        <v>197</v>
      </c>
      <c r="G144" s="275" t="s">
        <v>602</v>
      </c>
      <c r="H144" s="275" t="s">
        <v>603</v>
      </c>
      <c r="I144" s="275" t="s">
        <v>604</v>
      </c>
      <c r="J144" s="279" t="s">
        <v>605</v>
      </c>
    </row>
    <row r="145" spans="1:10" ht="25.15" customHeight="1">
      <c r="A145" s="261" t="s">
        <v>94</v>
      </c>
      <c r="B145" s="276" t="s">
        <v>494</v>
      </c>
      <c r="C145" s="283" t="s">
        <v>495</v>
      </c>
      <c r="D145" s="276" t="s">
        <v>496</v>
      </c>
      <c r="E145" s="273"/>
      <c r="F145" s="278"/>
      <c r="G145" s="289" t="s">
        <v>397</v>
      </c>
      <c r="H145" s="289" t="s">
        <v>497</v>
      </c>
      <c r="I145" s="289" t="s">
        <v>498</v>
      </c>
      <c r="J145" s="279" t="s">
        <v>499</v>
      </c>
    </row>
    <row r="146" spans="1:10" ht="87.6" customHeight="1">
      <c r="A146" s="261" t="s">
        <v>67</v>
      </c>
      <c r="B146" s="276" t="s">
        <v>448</v>
      </c>
      <c r="C146" s="283" t="s">
        <v>400</v>
      </c>
      <c r="D146" s="276" t="s">
        <v>449</v>
      </c>
      <c r="E146" s="296" t="b">
        <v>0</v>
      </c>
      <c r="F146" s="278"/>
      <c r="G146" s="289" t="s">
        <v>397</v>
      </c>
      <c r="H146" s="289" t="s">
        <v>4307</v>
      </c>
      <c r="I146" s="289" t="s">
        <v>450</v>
      </c>
      <c r="J146" s="279" t="s">
        <v>4303</v>
      </c>
    </row>
    <row r="147" spans="1:10" ht="25.5">
      <c r="A147" s="270" t="s">
        <v>200</v>
      </c>
      <c r="B147" s="283" t="s">
        <v>1038</v>
      </c>
      <c r="C147" s="283" t="s">
        <v>1039</v>
      </c>
      <c r="D147" s="283" t="s">
        <v>115</v>
      </c>
      <c r="E147" s="273" t="b">
        <v>1</v>
      </c>
      <c r="F147" s="274">
        <v>604</v>
      </c>
      <c r="G147" s="275" t="s">
        <v>792</v>
      </c>
      <c r="H147" s="275" t="s">
        <v>1040</v>
      </c>
      <c r="I147" s="275" t="s">
        <v>201</v>
      </c>
      <c r="J147" s="279" t="s">
        <v>1041</v>
      </c>
    </row>
    <row r="148" spans="1:10" ht="38.25">
      <c r="A148" s="270" t="s">
        <v>256</v>
      </c>
      <c r="B148" s="272" t="s">
        <v>782</v>
      </c>
      <c r="C148" s="283" t="s">
        <v>783</v>
      </c>
      <c r="D148" s="272" t="s">
        <v>784</v>
      </c>
      <c r="E148" s="273" t="b">
        <v>0</v>
      </c>
      <c r="F148" s="278"/>
      <c r="G148" s="275" t="s">
        <v>454</v>
      </c>
      <c r="H148" s="275" t="s">
        <v>785</v>
      </c>
      <c r="I148" s="279" t="s">
        <v>786</v>
      </c>
      <c r="J148" s="279" t="s">
        <v>787</v>
      </c>
    </row>
    <row r="149" spans="1:10" ht="89.25">
      <c r="A149" s="270" t="s">
        <v>256</v>
      </c>
      <c r="B149" s="272" t="s">
        <v>788</v>
      </c>
      <c r="C149" s="283" t="s">
        <v>783</v>
      </c>
      <c r="D149" s="272" t="s">
        <v>789</v>
      </c>
      <c r="E149" s="273" t="b">
        <v>0</v>
      </c>
      <c r="F149" s="278"/>
      <c r="G149" s="275" t="s">
        <v>405</v>
      </c>
      <c r="H149" s="275" t="s">
        <v>785</v>
      </c>
      <c r="I149" s="279" t="s">
        <v>786</v>
      </c>
      <c r="J149" s="279" t="s">
        <v>787</v>
      </c>
    </row>
    <row r="150" spans="1:10" ht="38.25">
      <c r="A150" s="270" t="s">
        <v>256</v>
      </c>
      <c r="B150" s="272" t="s">
        <v>790</v>
      </c>
      <c r="C150" s="272" t="s">
        <v>783</v>
      </c>
      <c r="D150" s="272" t="s">
        <v>791</v>
      </c>
      <c r="E150" s="273" t="b">
        <v>0</v>
      </c>
      <c r="F150" s="278"/>
      <c r="G150" s="275" t="s">
        <v>792</v>
      </c>
      <c r="H150" s="275" t="s">
        <v>785</v>
      </c>
      <c r="I150" s="279" t="s">
        <v>786</v>
      </c>
      <c r="J150" s="279" t="s">
        <v>787</v>
      </c>
    </row>
    <row r="151" spans="1:10" ht="76.5">
      <c r="A151" s="270" t="s">
        <v>306</v>
      </c>
      <c r="B151" s="272" t="s">
        <v>913</v>
      </c>
      <c r="C151" s="283"/>
      <c r="D151" s="272" t="s">
        <v>914</v>
      </c>
      <c r="E151" s="273" t="b">
        <v>0</v>
      </c>
      <c r="F151" s="278"/>
      <c r="G151" s="275" t="s">
        <v>412</v>
      </c>
      <c r="H151" s="275" t="s">
        <v>4265</v>
      </c>
      <c r="I151" s="275" t="s">
        <v>915</v>
      </c>
      <c r="J151" s="275" t="s">
        <v>916</v>
      </c>
    </row>
    <row r="152" spans="1:10" ht="38.25">
      <c r="A152" s="270" t="s">
        <v>290</v>
      </c>
      <c r="B152" s="272" t="s">
        <v>864</v>
      </c>
      <c r="C152" s="272" t="s">
        <v>855</v>
      </c>
      <c r="D152" s="276"/>
      <c r="E152" s="273" t="b">
        <v>1</v>
      </c>
      <c r="F152" s="274">
        <v>927</v>
      </c>
      <c r="G152" s="275" t="s">
        <v>412</v>
      </c>
      <c r="H152" s="275" t="s">
        <v>865</v>
      </c>
      <c r="I152" s="275" t="s">
        <v>866</v>
      </c>
      <c r="J152" s="275" t="s">
        <v>867</v>
      </c>
    </row>
    <row r="153" spans="1:10" ht="12.75">
      <c r="A153" s="270" t="s">
        <v>381</v>
      </c>
      <c r="B153" s="304" t="s">
        <v>1129</v>
      </c>
      <c r="C153" s="295" t="s">
        <v>1059</v>
      </c>
      <c r="D153" s="283" t="s">
        <v>115</v>
      </c>
      <c r="E153" s="273" t="b">
        <v>0</v>
      </c>
      <c r="F153" s="286"/>
      <c r="G153" s="279" t="s">
        <v>412</v>
      </c>
      <c r="H153" s="284" t="s">
        <v>1130</v>
      </c>
      <c r="I153" s="284" t="s">
        <v>1131</v>
      </c>
      <c r="J153" s="279" t="s">
        <v>1132</v>
      </c>
    </row>
    <row r="154" spans="1:10" ht="12.6" customHeight="1">
      <c r="A154" s="270" t="s">
        <v>32</v>
      </c>
      <c r="B154" s="306" t="s">
        <v>670</v>
      </c>
      <c r="C154" s="283" t="s">
        <v>400</v>
      </c>
      <c r="D154" s="287"/>
      <c r="E154" s="273" t="b">
        <v>0</v>
      </c>
      <c r="F154" s="286"/>
      <c r="G154" s="275" t="s">
        <v>423</v>
      </c>
      <c r="H154" s="275" t="s">
        <v>671</v>
      </c>
      <c r="I154" s="275" t="s">
        <v>33</v>
      </c>
      <c r="J154" s="279" t="s">
        <v>672</v>
      </c>
    </row>
    <row r="155" spans="1:10" ht="12.6" customHeight="1">
      <c r="A155" s="261" t="s">
        <v>98</v>
      </c>
      <c r="B155" s="283" t="s">
        <v>500</v>
      </c>
      <c r="C155" s="283" t="s">
        <v>501</v>
      </c>
      <c r="D155" s="283"/>
      <c r="E155" s="273" t="b">
        <v>0</v>
      </c>
      <c r="F155" s="278"/>
      <c r="G155" s="289" t="s">
        <v>397</v>
      </c>
      <c r="H155" s="289" t="s">
        <v>502</v>
      </c>
      <c r="I155" s="289" t="s">
        <v>503</v>
      </c>
      <c r="J155" s="289" t="s">
        <v>504</v>
      </c>
    </row>
    <row r="156" spans="1:10" ht="12.6" customHeight="1">
      <c r="A156" s="261" t="s">
        <v>68</v>
      </c>
      <c r="B156" s="276" t="s">
        <v>451</v>
      </c>
      <c r="C156" s="283" t="s">
        <v>452</v>
      </c>
      <c r="D156" s="276" t="s">
        <v>453</v>
      </c>
      <c r="E156" s="296" t="b">
        <v>1</v>
      </c>
      <c r="F156" s="274">
        <v>2152</v>
      </c>
      <c r="G156" s="289" t="s">
        <v>454</v>
      </c>
      <c r="H156" s="289" t="s">
        <v>4308</v>
      </c>
      <c r="I156" s="289" t="s">
        <v>455</v>
      </c>
      <c r="J156" s="289" t="s">
        <v>456</v>
      </c>
    </row>
    <row r="157" spans="1:10" ht="38.25">
      <c r="A157" s="270" t="s">
        <v>202</v>
      </c>
      <c r="B157" s="276" t="s">
        <v>868</v>
      </c>
      <c r="C157" s="283" t="s">
        <v>869</v>
      </c>
      <c r="D157" s="276" t="s">
        <v>870</v>
      </c>
      <c r="E157" s="273" t="b">
        <v>0</v>
      </c>
      <c r="F157" s="278"/>
      <c r="G157" s="275" t="s">
        <v>412</v>
      </c>
      <c r="H157" s="275" t="s">
        <v>871</v>
      </c>
      <c r="I157" s="275" t="s">
        <v>872</v>
      </c>
      <c r="J157" s="279" t="s">
        <v>873</v>
      </c>
    </row>
    <row r="158" spans="1:10" ht="76.5">
      <c r="A158" s="270" t="s">
        <v>260</v>
      </c>
      <c r="B158" s="272" t="s">
        <v>793</v>
      </c>
      <c r="C158" s="272" t="s">
        <v>783</v>
      </c>
      <c r="D158" s="276" t="s">
        <v>794</v>
      </c>
      <c r="E158" s="273" t="b">
        <v>0</v>
      </c>
      <c r="F158" s="278"/>
      <c r="G158" s="275" t="s">
        <v>454</v>
      </c>
      <c r="H158" s="275" t="s">
        <v>795</v>
      </c>
      <c r="I158" s="275" t="s">
        <v>796</v>
      </c>
      <c r="J158" s="275" t="s">
        <v>797</v>
      </c>
    </row>
    <row r="159" spans="1:10" ht="51">
      <c r="A159" s="270" t="s">
        <v>294</v>
      </c>
      <c r="B159" s="272" t="s">
        <v>883</v>
      </c>
      <c r="C159" s="272" t="s">
        <v>884</v>
      </c>
      <c r="D159" s="272" t="s">
        <v>885</v>
      </c>
      <c r="E159" s="273" t="b">
        <v>1</v>
      </c>
      <c r="F159" s="274">
        <v>1025</v>
      </c>
      <c r="G159" s="275" t="s">
        <v>412</v>
      </c>
      <c r="H159" s="275" t="s">
        <v>886</v>
      </c>
      <c r="I159" s="275" t="s">
        <v>295</v>
      </c>
      <c r="J159" s="275" t="s">
        <v>887</v>
      </c>
    </row>
    <row r="160" spans="1:10" ht="25.5">
      <c r="A160" s="270" t="s">
        <v>382</v>
      </c>
      <c r="B160" s="304" t="s">
        <v>383</v>
      </c>
      <c r="C160" s="295" t="s">
        <v>1133</v>
      </c>
      <c r="D160" s="283" t="s">
        <v>115</v>
      </c>
      <c r="E160" s="278" t="b">
        <v>1</v>
      </c>
      <c r="F160" s="286">
        <v>1717</v>
      </c>
      <c r="G160" s="279" t="s">
        <v>412</v>
      </c>
      <c r="H160" s="312" t="s">
        <v>1134</v>
      </c>
      <c r="I160" s="313" t="s">
        <v>1135</v>
      </c>
      <c r="J160" s="312" t="s">
        <v>1136</v>
      </c>
    </row>
    <row r="161" spans="1:10" ht="12.6" customHeight="1">
      <c r="A161" s="261" t="s">
        <v>101</v>
      </c>
      <c r="B161" s="276" t="s">
        <v>513</v>
      </c>
      <c r="C161" s="283" t="s">
        <v>484</v>
      </c>
      <c r="D161" s="276" t="s">
        <v>514</v>
      </c>
      <c r="E161" s="273" t="b">
        <v>0</v>
      </c>
      <c r="F161" s="278"/>
      <c r="G161" s="289" t="s">
        <v>397</v>
      </c>
      <c r="H161" s="289" t="s">
        <v>515</v>
      </c>
      <c r="I161" s="289" t="s">
        <v>516</v>
      </c>
      <c r="J161" s="279" t="s">
        <v>517</v>
      </c>
    </row>
    <row r="162" spans="1:10" ht="12.75">
      <c r="A162" s="270" t="s">
        <v>8</v>
      </c>
      <c r="B162" s="283" t="s">
        <v>457</v>
      </c>
      <c r="C162" s="283" t="s">
        <v>458</v>
      </c>
      <c r="D162" s="283"/>
      <c r="E162" s="273" t="b">
        <v>0</v>
      </c>
      <c r="F162" s="278"/>
      <c r="G162" s="279" t="s">
        <v>405</v>
      </c>
      <c r="H162" s="279" t="s">
        <v>457</v>
      </c>
      <c r="I162" s="289" t="s">
        <v>457</v>
      </c>
      <c r="J162" s="289"/>
    </row>
    <row r="163" spans="1:10" ht="12.75">
      <c r="A163" s="270" t="s">
        <v>8</v>
      </c>
      <c r="B163" s="283" t="s">
        <v>617</v>
      </c>
      <c r="C163" s="283" t="s">
        <v>699</v>
      </c>
      <c r="D163" s="287"/>
      <c r="E163" s="273" t="b">
        <v>0</v>
      </c>
      <c r="F163" s="286"/>
      <c r="G163" s="279" t="s">
        <v>397</v>
      </c>
      <c r="H163" s="279" t="s">
        <v>457</v>
      </c>
      <c r="I163" s="279" t="s">
        <v>457</v>
      </c>
      <c r="J163" s="279" t="s">
        <v>457</v>
      </c>
    </row>
    <row r="164" spans="1:10" ht="12.6" customHeight="1">
      <c r="A164" s="270" t="s">
        <v>204</v>
      </c>
      <c r="B164" s="276" t="s">
        <v>205</v>
      </c>
      <c r="C164" s="283" t="s">
        <v>874</v>
      </c>
      <c r="D164" s="276" t="s">
        <v>115</v>
      </c>
      <c r="E164" s="273" t="b">
        <v>1</v>
      </c>
      <c r="F164" s="274">
        <v>1403</v>
      </c>
      <c r="G164" s="275" t="s">
        <v>412</v>
      </c>
      <c r="H164" s="275" t="s">
        <v>906</v>
      </c>
      <c r="I164" s="275" t="s">
        <v>1027</v>
      </c>
      <c r="J164" s="279" t="s">
        <v>1028</v>
      </c>
    </row>
    <row r="165" spans="1:10" ht="38.25">
      <c r="A165" s="270" t="s">
        <v>261</v>
      </c>
      <c r="B165" s="272" t="s">
        <v>798</v>
      </c>
      <c r="C165" s="272" t="s">
        <v>783</v>
      </c>
      <c r="D165" s="276" t="s">
        <v>799</v>
      </c>
      <c r="E165" s="273" t="b">
        <v>0</v>
      </c>
      <c r="F165" s="278"/>
      <c r="G165" s="275" t="s">
        <v>454</v>
      </c>
      <c r="H165" s="275" t="s">
        <v>800</v>
      </c>
      <c r="I165" s="275" t="s">
        <v>801</v>
      </c>
      <c r="J165" s="275" t="s">
        <v>802</v>
      </c>
    </row>
    <row r="166" spans="1:10" ht="25.15" customHeight="1">
      <c r="A166" s="270" t="s">
        <v>308</v>
      </c>
      <c r="B166" s="272" t="s">
        <v>917</v>
      </c>
      <c r="C166" s="314" t="s">
        <v>918</v>
      </c>
      <c r="D166" s="272" t="s">
        <v>919</v>
      </c>
      <c r="E166" s="273" t="b">
        <v>1</v>
      </c>
      <c r="F166" s="274">
        <v>2886</v>
      </c>
      <c r="G166" s="275" t="s">
        <v>412</v>
      </c>
      <c r="H166" s="275" t="s">
        <v>4269</v>
      </c>
      <c r="I166" s="275" t="s">
        <v>920</v>
      </c>
      <c r="J166" s="279" t="s">
        <v>921</v>
      </c>
    </row>
    <row r="167" spans="1:10" ht="38.25">
      <c r="A167" s="270" t="s">
        <v>317</v>
      </c>
      <c r="B167" s="281" t="s">
        <v>933</v>
      </c>
      <c r="C167" s="272" t="s">
        <v>783</v>
      </c>
      <c r="D167" s="272" t="s">
        <v>934</v>
      </c>
      <c r="E167" s="273" t="b">
        <v>1</v>
      </c>
      <c r="F167" s="274">
        <v>224</v>
      </c>
      <c r="G167" s="275" t="s">
        <v>595</v>
      </c>
      <c r="H167" s="275" t="s">
        <v>935</v>
      </c>
      <c r="I167" s="275" t="s">
        <v>318</v>
      </c>
      <c r="J167" s="275" t="s">
        <v>936</v>
      </c>
    </row>
    <row r="168" spans="1:10" ht="12.75">
      <c r="A168" s="270" t="s">
        <v>384</v>
      </c>
      <c r="B168" s="304" t="s">
        <v>385</v>
      </c>
      <c r="C168" s="295" t="s">
        <v>1137</v>
      </c>
      <c r="D168" s="283" t="s">
        <v>115</v>
      </c>
      <c r="E168" s="273" t="b">
        <v>0</v>
      </c>
      <c r="F168" s="286"/>
      <c r="G168" s="279" t="s">
        <v>412</v>
      </c>
      <c r="H168" s="279" t="s">
        <v>1138</v>
      </c>
      <c r="I168" s="279" t="s">
        <v>1139</v>
      </c>
      <c r="J168" s="279" t="s">
        <v>1140</v>
      </c>
    </row>
  </sheetData>
  <autoFilter ref="A1:J168" xr:uid="{00000000-0001-0000-0100-000000000000}"/>
  <dataValidations count="6">
    <dataValidation type="decimal" allowBlank="1" showDropDown="1" sqref="F74:F168 F2:F72" xr:uid="{00000000-0002-0000-0100-000000000000}">
      <formula1>1</formula1>
      <formula2>3598</formula2>
    </dataValidation>
    <dataValidation type="list" allowBlank="1" showInputMessage="1" prompt="Click and enter a value from the list of items" sqref="G105" xr:uid="{00000000-0002-0000-0100-000001000000}">
      <formula1>"Argument,Coordinator,Praedicative Expression,Discourse Particle,Government,Matrix Predicate,Modifier,Nominal Quantifier,Object,Subject,Subordinator,Verb Predicate"</formula1>
    </dataValidation>
    <dataValidation type="decimal" allowBlank="1" showDropDown="1" sqref="F73" xr:uid="{00000000-0002-0000-0100-000002000000}">
      <formula1>1</formula1>
      <formula2>3000</formula2>
    </dataValidation>
    <dataValidation type="list" allowBlank="1" showInputMessage="1" prompt="см. инструкцию к Russian Constructicon" sqref="G99:G101 G139:G151" xr:uid="{00000000-0002-0000-0100-000003000000}">
      <formula1>"Argument,Coordinator,Praedicative Expression,Discourse Particle,Government,Matrix Predicate,Modifier,Nominal Quantifier,Object,Subject,Subordinator,Verb Predicate"</formula1>
    </dataValidation>
    <dataValidation type="list" allowBlank="1" showInputMessage="1" prompt="см. инструкцию к Russian Constructicon" sqref="G11" xr:uid="{00000000-0002-0000-0100-000004000000}">
      <formula1>"Argument,Coordinator,Praedicative Expression,Discourse Particle,Government,Matrix Predicate,Modifier,Nominal Quantifier,Object,Subject,Subordinator,Verb Predicate,Parenthetical"</formula1>
    </dataValidation>
    <dataValidation type="list" allowBlank="1" showInputMessage="1" prompt="Нажмите здесь и введите значение из списка." sqref="G102:G104 G106:G138 G152:G168 G2:G10 G12:G98" xr:uid="{00000000-0002-0000-0100-000005000000}">
      <formula1>"Argument,Coordinator,Praedicative Expression,Discourse Particle,Government,Matrix Predicate,Modifier,Nominal Quantifier,Object,Subject,Subordinator,Verb Predicate,Parenthetical"</formula1>
    </dataValidation>
  </dataValidations>
  <hyperlinks>
    <hyperlink ref="B2" r:id="rId1" xr:uid="{00000000-0004-0000-0100-000000000000}"/>
    <hyperlink ref="B66" r:id="rId2" xr:uid="{00000000-0004-0000-0100-000001000000}"/>
    <hyperlink ref="H66" r:id="rId3" xr:uid="{00000000-0004-0000-0100-000002000000}"/>
    <hyperlink ref="J66" r:id="rId4" xr:uid="{00000000-0004-0000-0100-000003000000}"/>
    <hyperlink ref="H29" r:id="rId5" xr:uid="{00000000-0004-0000-0100-000004000000}"/>
    <hyperlink ref="J94" r:id="rId6" xr:uid="{00000000-0004-0000-0100-000005000000}"/>
    <hyperlink ref="H61" r:id="rId7" xr:uid="{00000000-0004-0000-0100-000006000000}"/>
    <hyperlink ref="J141" r:id="rId8" xr:uid="{00000000-0004-0000-0100-000007000000}"/>
    <hyperlink ref="H13" r:id="rId9" xr:uid="{00000000-0004-0000-0100-000008000000}"/>
    <hyperlink ref="J13" r:id="rId10" xr:uid="{00000000-0004-0000-0100-000009000000}"/>
    <hyperlink ref="D31" r:id="rId11" xr:uid="{00000000-0004-0000-0100-00000A000000}"/>
    <hyperlink ref="J31" r:id="rId12" xr:uid="{00000000-0004-0000-0100-00000B000000}"/>
    <hyperlink ref="H80" r:id="rId13" xr:uid="{00000000-0004-0000-0100-00000C000000}"/>
    <hyperlink ref="H17" r:id="rId14" xr:uid="{00000000-0004-0000-0100-00000D000000}"/>
  </hyperlinks>
  <pageMargins left="0.7" right="0.7" top="0.75" bottom="0.75" header="0.3" footer="0.3"/>
  <pageSetup paperSize="9" orientation="portrait" r:id="rId15"/>
  <legacyDrawing r:id="rId16"/>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L1854"/>
  <sheetViews>
    <sheetView tabSelected="1" zoomScale="85" zoomScaleNormal="85" workbookViewId="0">
      <pane ySplit="1" topLeftCell="A2" activePane="bottomLeft" state="frozen"/>
      <selection pane="bottomLeft" activeCell="D19" sqref="D19"/>
    </sheetView>
  </sheetViews>
  <sheetFormatPr defaultColWidth="12.7109375" defaultRowHeight="15.95" customHeight="1"/>
  <cols>
    <col min="1" max="1" width="8.42578125" customWidth="1"/>
    <col min="2" max="2" width="9" customWidth="1"/>
    <col min="3" max="3" width="8.85546875" customWidth="1"/>
    <col min="4" max="4" width="29.7109375" customWidth="1"/>
    <col min="5" max="5" width="13.140625" customWidth="1"/>
    <col min="6" max="6" width="18.140625" customWidth="1"/>
    <col min="7" max="7" width="19.42578125" customWidth="1"/>
    <col min="8" max="8" width="13.85546875" customWidth="1"/>
    <col min="9" max="9" width="9.28515625" customWidth="1"/>
    <col min="11" max="11" width="9.140625" customWidth="1"/>
    <col min="12" max="12" width="27.85546875" customWidth="1"/>
  </cols>
  <sheetData>
    <row r="1" spans="1:12" ht="12.75">
      <c r="A1" s="52" t="s">
        <v>0</v>
      </c>
      <c r="B1" s="28" t="s">
        <v>1141</v>
      </c>
      <c r="C1" s="53" t="s">
        <v>1142</v>
      </c>
      <c r="D1" s="320" t="s">
        <v>4312</v>
      </c>
      <c r="E1" s="54" t="s">
        <v>1143</v>
      </c>
      <c r="F1" s="54" t="s">
        <v>1144</v>
      </c>
      <c r="G1" s="54" t="s">
        <v>1145</v>
      </c>
      <c r="H1" s="55" t="s">
        <v>1146</v>
      </c>
      <c r="I1" s="56" t="s">
        <v>1147</v>
      </c>
      <c r="J1" s="57" t="s">
        <v>1148</v>
      </c>
      <c r="K1" s="56" t="s">
        <v>1149</v>
      </c>
      <c r="L1" s="57" t="s">
        <v>1150</v>
      </c>
    </row>
    <row r="2" spans="1:12" ht="12.75">
      <c r="A2" s="41">
        <v>1</v>
      </c>
      <c r="B2" s="41">
        <v>1</v>
      </c>
      <c r="C2" s="41"/>
      <c r="D2" s="42" t="s">
        <v>1151</v>
      </c>
      <c r="E2" s="58" t="s">
        <v>1153</v>
      </c>
      <c r="F2" s="58" t="s">
        <v>1153</v>
      </c>
      <c r="G2" s="58" t="s">
        <v>1154</v>
      </c>
      <c r="H2" s="59" t="s">
        <v>1155</v>
      </c>
      <c r="I2" s="60">
        <v>1832</v>
      </c>
      <c r="J2" s="61" t="s">
        <v>1156</v>
      </c>
      <c r="K2" s="60">
        <v>1886</v>
      </c>
      <c r="L2" s="62" t="s">
        <v>1157</v>
      </c>
    </row>
    <row r="3" spans="1:12" ht="12.75">
      <c r="A3" s="41">
        <v>1</v>
      </c>
      <c r="B3" s="41">
        <v>2</v>
      </c>
      <c r="C3" s="41">
        <f>B2</f>
        <v>1</v>
      </c>
      <c r="D3" s="42" t="s">
        <v>44</v>
      </c>
      <c r="E3" s="58" t="s">
        <v>1158</v>
      </c>
      <c r="F3" s="58" t="s">
        <v>1159</v>
      </c>
      <c r="G3" s="58" t="s">
        <v>1160</v>
      </c>
      <c r="H3" s="59" t="s">
        <v>1161</v>
      </c>
      <c r="I3" s="60">
        <v>1829</v>
      </c>
      <c r="J3" s="63" t="s">
        <v>1162</v>
      </c>
      <c r="K3" s="60">
        <v>2019</v>
      </c>
      <c r="L3" s="62" t="s">
        <v>1163</v>
      </c>
    </row>
    <row r="4" spans="1:12" ht="12.75">
      <c r="A4" s="41">
        <v>1</v>
      </c>
      <c r="B4" s="41">
        <v>3</v>
      </c>
      <c r="C4" s="41">
        <f>B2</f>
        <v>1</v>
      </c>
      <c r="D4" s="42" t="s">
        <v>1164</v>
      </c>
      <c r="E4" s="58" t="s">
        <v>1158</v>
      </c>
      <c r="F4" s="58" t="s">
        <v>1159</v>
      </c>
      <c r="G4" s="64" t="s">
        <v>1165</v>
      </c>
      <c r="H4" s="59" t="s">
        <v>1166</v>
      </c>
      <c r="I4" s="60">
        <v>1829</v>
      </c>
      <c r="J4" s="63" t="s">
        <v>1162</v>
      </c>
      <c r="K4" s="60">
        <v>1984</v>
      </c>
      <c r="L4" s="62" t="s">
        <v>1167</v>
      </c>
    </row>
    <row r="5" spans="1:12" ht="12.75">
      <c r="A5" s="41">
        <v>1</v>
      </c>
      <c r="B5" s="41">
        <v>4</v>
      </c>
      <c r="C5" s="41">
        <f>B2</f>
        <v>1</v>
      </c>
      <c r="D5" s="19" t="s">
        <v>1168</v>
      </c>
      <c r="E5" s="58" t="s">
        <v>1152</v>
      </c>
      <c r="F5" s="58" t="s">
        <v>1169</v>
      </c>
      <c r="G5" s="58" t="s">
        <v>1170</v>
      </c>
      <c r="H5" s="59" t="s">
        <v>1171</v>
      </c>
      <c r="I5" s="60">
        <v>1829</v>
      </c>
      <c r="J5" s="63" t="s">
        <v>1162</v>
      </c>
      <c r="K5" s="60">
        <v>2019</v>
      </c>
      <c r="L5" s="62" t="s">
        <v>1163</v>
      </c>
    </row>
    <row r="6" spans="1:12" ht="12.75">
      <c r="A6" s="41">
        <v>1</v>
      </c>
      <c r="B6" s="41">
        <v>5</v>
      </c>
      <c r="C6" s="41" t="str">
        <f>CONCATENATE(B3, ", ", B4, ", ",B5)</f>
        <v>2, 3, 4</v>
      </c>
      <c r="D6" s="19" t="s">
        <v>1172</v>
      </c>
      <c r="E6" s="58" t="s">
        <v>1158</v>
      </c>
      <c r="F6" s="58" t="s">
        <v>1173</v>
      </c>
      <c r="G6" s="58" t="s">
        <v>1174</v>
      </c>
      <c r="H6" s="59" t="s">
        <v>1175</v>
      </c>
      <c r="I6" s="60">
        <v>1831</v>
      </c>
      <c r="J6" s="65" t="s">
        <v>1176</v>
      </c>
      <c r="K6" s="60">
        <v>2019</v>
      </c>
      <c r="L6" s="62" t="s">
        <v>1163</v>
      </c>
    </row>
    <row r="7" spans="1:12" ht="12.75">
      <c r="A7" s="41">
        <v>1</v>
      </c>
      <c r="B7" s="41">
        <v>6</v>
      </c>
      <c r="C7" s="41" t="str">
        <f>CONCATENATE(B3, ", ", B4, ", ", B5)</f>
        <v>2, 3, 4</v>
      </c>
      <c r="D7" s="19" t="s">
        <v>1172</v>
      </c>
      <c r="E7" s="58" t="s">
        <v>1158</v>
      </c>
      <c r="F7" s="58" t="s">
        <v>1173</v>
      </c>
      <c r="G7" s="58" t="s">
        <v>1177</v>
      </c>
      <c r="H7" s="59" t="s">
        <v>1178</v>
      </c>
      <c r="I7" s="60">
        <v>1831</v>
      </c>
      <c r="J7" s="65" t="s">
        <v>1176</v>
      </c>
      <c r="K7" s="60">
        <v>1984</v>
      </c>
      <c r="L7" s="66" t="s">
        <v>1179</v>
      </c>
    </row>
    <row r="8" spans="1:12" ht="12.75">
      <c r="A8" s="41">
        <v>1</v>
      </c>
      <c r="B8" s="41">
        <v>7</v>
      </c>
      <c r="C8" s="41">
        <f>B7</f>
        <v>6</v>
      </c>
      <c r="D8" s="19" t="s">
        <v>1180</v>
      </c>
      <c r="E8" s="58" t="s">
        <v>1158</v>
      </c>
      <c r="F8" s="58" t="s">
        <v>1173</v>
      </c>
      <c r="G8" s="58" t="s">
        <v>1177</v>
      </c>
      <c r="H8" s="59" t="s">
        <v>1181</v>
      </c>
      <c r="I8" s="60">
        <v>1853</v>
      </c>
      <c r="J8" s="65" t="s">
        <v>1182</v>
      </c>
      <c r="K8" s="60">
        <v>2019</v>
      </c>
      <c r="L8" s="62" t="s">
        <v>1163</v>
      </c>
    </row>
    <row r="9" spans="1:12" ht="25.5">
      <c r="A9" s="41">
        <v>1</v>
      </c>
      <c r="B9" s="41">
        <v>8</v>
      </c>
      <c r="C9" s="41" t="str">
        <f>CONCATENATE(B3, ", ", B4, ", ", B5)</f>
        <v>2, 3, 4</v>
      </c>
      <c r="D9" s="42" t="s">
        <v>44</v>
      </c>
      <c r="E9" s="58" t="s">
        <v>1158</v>
      </c>
      <c r="F9" s="58" t="s">
        <v>1159</v>
      </c>
      <c r="G9" s="317" t="s">
        <v>4309</v>
      </c>
      <c r="H9" s="59" t="s">
        <v>1184</v>
      </c>
      <c r="I9" s="60">
        <v>1857</v>
      </c>
      <c r="J9" s="63" t="s">
        <v>1185</v>
      </c>
      <c r="K9" s="60">
        <v>2019</v>
      </c>
      <c r="L9" s="62" t="s">
        <v>1163</v>
      </c>
    </row>
    <row r="10" spans="1:12" ht="12.75">
      <c r="A10" s="198">
        <v>8</v>
      </c>
      <c r="B10" s="41">
        <v>662</v>
      </c>
      <c r="C10" s="198"/>
      <c r="D10" s="191" t="s">
        <v>345</v>
      </c>
      <c r="E10" s="58" t="s">
        <v>1153</v>
      </c>
      <c r="F10" s="181" t="s">
        <v>1153</v>
      </c>
      <c r="G10" s="225" t="s">
        <v>1186</v>
      </c>
      <c r="H10" s="225" t="s">
        <v>3304</v>
      </c>
      <c r="I10" s="60" t="s">
        <v>3064</v>
      </c>
      <c r="J10" s="63" t="s">
        <v>3305</v>
      </c>
      <c r="K10" s="190">
        <v>2010</v>
      </c>
      <c r="L10" s="225" t="s">
        <v>3306</v>
      </c>
    </row>
    <row r="11" spans="1:12" ht="12.75">
      <c r="A11" s="198">
        <v>8</v>
      </c>
      <c r="B11" s="41">
        <v>663</v>
      </c>
      <c r="C11" s="198">
        <f>B10</f>
        <v>662</v>
      </c>
      <c r="D11" s="191" t="s">
        <v>3307</v>
      </c>
      <c r="E11" s="58" t="s">
        <v>1158</v>
      </c>
      <c r="F11" s="181" t="s">
        <v>1173</v>
      </c>
      <c r="G11" s="209" t="s">
        <v>1174</v>
      </c>
      <c r="H11" s="225" t="s">
        <v>3308</v>
      </c>
      <c r="I11" s="60">
        <v>1830</v>
      </c>
      <c r="J11" s="63" t="s">
        <v>3309</v>
      </c>
      <c r="K11" s="190">
        <v>2015</v>
      </c>
      <c r="L11" s="225" t="s">
        <v>3310</v>
      </c>
    </row>
    <row r="12" spans="1:12" ht="12.75">
      <c r="A12" s="198">
        <v>8</v>
      </c>
      <c r="B12" s="41">
        <v>664</v>
      </c>
      <c r="C12" s="198">
        <f>B10</f>
        <v>662</v>
      </c>
      <c r="D12" s="191" t="s">
        <v>3311</v>
      </c>
      <c r="E12" s="58" t="s">
        <v>1158</v>
      </c>
      <c r="F12" s="181" t="s">
        <v>1159</v>
      </c>
      <c r="G12" s="209" t="s">
        <v>1165</v>
      </c>
      <c r="H12" s="225" t="s">
        <v>3312</v>
      </c>
      <c r="I12" s="60">
        <v>1829</v>
      </c>
      <c r="J12" s="181" t="s">
        <v>3313</v>
      </c>
      <c r="K12" s="190">
        <v>2017</v>
      </c>
      <c r="L12" s="225" t="s">
        <v>3314</v>
      </c>
    </row>
    <row r="13" spans="1:12" ht="13.15" customHeight="1">
      <c r="A13" s="198">
        <v>8</v>
      </c>
      <c r="B13" s="41">
        <v>665</v>
      </c>
      <c r="C13" s="198" t="str">
        <f>CONCATENATE(B12,", ",B11)</f>
        <v>664, 663</v>
      </c>
      <c r="D13" s="191" t="s">
        <v>3311</v>
      </c>
      <c r="E13" s="58" t="s">
        <v>1152</v>
      </c>
      <c r="F13" s="209" t="s">
        <v>1169</v>
      </c>
      <c r="G13" s="225" t="s">
        <v>1367</v>
      </c>
      <c r="H13" s="225" t="s">
        <v>3315</v>
      </c>
      <c r="I13" s="60">
        <v>1857</v>
      </c>
      <c r="J13" s="63" t="s">
        <v>3316</v>
      </c>
      <c r="K13" s="190">
        <v>1982</v>
      </c>
      <c r="L13" s="225" t="s">
        <v>3317</v>
      </c>
    </row>
    <row r="14" spans="1:12" ht="12.75">
      <c r="A14" s="198">
        <v>10</v>
      </c>
      <c r="B14" s="41">
        <v>666</v>
      </c>
      <c r="C14" s="198"/>
      <c r="D14" s="120" t="s">
        <v>346</v>
      </c>
      <c r="E14" s="58" t="s">
        <v>1153</v>
      </c>
      <c r="F14" s="181" t="s">
        <v>1153</v>
      </c>
      <c r="G14" s="181" t="s">
        <v>1154</v>
      </c>
      <c r="H14" s="225" t="s">
        <v>3318</v>
      </c>
      <c r="I14" s="190" t="s">
        <v>3319</v>
      </c>
      <c r="J14" s="104" t="s">
        <v>3320</v>
      </c>
      <c r="K14" s="190">
        <v>2018</v>
      </c>
      <c r="L14" s="104" t="s">
        <v>3321</v>
      </c>
    </row>
    <row r="15" spans="1:12" ht="12.75">
      <c r="A15" s="198">
        <v>10</v>
      </c>
      <c r="B15" s="41">
        <v>667</v>
      </c>
      <c r="C15" s="198">
        <f>B14</f>
        <v>666</v>
      </c>
      <c r="D15" s="120" t="s">
        <v>346</v>
      </c>
      <c r="E15" s="58" t="s">
        <v>1152</v>
      </c>
      <c r="F15" s="181" t="s">
        <v>1169</v>
      </c>
      <c r="G15" s="181" t="s">
        <v>1170</v>
      </c>
      <c r="H15" s="225" t="s">
        <v>3322</v>
      </c>
      <c r="I15" s="165">
        <v>1869</v>
      </c>
      <c r="J15" s="181" t="s">
        <v>3323</v>
      </c>
      <c r="K15" s="193">
        <v>2017</v>
      </c>
      <c r="L15" s="225" t="s">
        <v>3324</v>
      </c>
    </row>
    <row r="16" spans="1:12" ht="12.75">
      <c r="A16" s="198">
        <v>10</v>
      </c>
      <c r="B16" s="41">
        <v>668</v>
      </c>
      <c r="C16" s="198">
        <f>B15</f>
        <v>667</v>
      </c>
      <c r="D16" s="120" t="s">
        <v>3325</v>
      </c>
      <c r="E16" s="58" t="s">
        <v>1152</v>
      </c>
      <c r="F16" s="181" t="s">
        <v>1214</v>
      </c>
      <c r="G16" s="181" t="s">
        <v>1239</v>
      </c>
      <c r="H16" s="225" t="s">
        <v>3326</v>
      </c>
      <c r="I16" s="193">
        <v>1891</v>
      </c>
      <c r="J16" s="225" t="s">
        <v>3327</v>
      </c>
      <c r="K16" s="193">
        <v>2015</v>
      </c>
      <c r="L16" s="225" t="s">
        <v>3328</v>
      </c>
    </row>
    <row r="17" spans="1:12" ht="12.75">
      <c r="A17" s="198">
        <v>12</v>
      </c>
      <c r="B17" s="41">
        <v>671</v>
      </c>
      <c r="C17" s="198"/>
      <c r="D17" s="191" t="s">
        <v>3329</v>
      </c>
      <c r="E17" s="107" t="s">
        <v>1153</v>
      </c>
      <c r="F17" s="181" t="s">
        <v>1153</v>
      </c>
      <c r="G17" s="181" t="s">
        <v>1186</v>
      </c>
      <c r="H17" s="225" t="s">
        <v>3330</v>
      </c>
      <c r="I17" s="60">
        <v>1864</v>
      </c>
      <c r="J17" s="63" t="s">
        <v>3331</v>
      </c>
      <c r="K17" s="190">
        <v>2022</v>
      </c>
      <c r="L17" s="225" t="s">
        <v>3332</v>
      </c>
    </row>
    <row r="18" spans="1:12" ht="12.75">
      <c r="A18" s="180">
        <v>12</v>
      </c>
      <c r="B18" s="41">
        <v>672</v>
      </c>
      <c r="C18" s="198">
        <f>B17</f>
        <v>671</v>
      </c>
      <c r="D18" s="191" t="s">
        <v>3333</v>
      </c>
      <c r="E18" s="107" t="s">
        <v>1158</v>
      </c>
      <c r="F18" s="58" t="s">
        <v>1173</v>
      </c>
      <c r="G18" s="209" t="s">
        <v>1282</v>
      </c>
      <c r="H18" s="59" t="s">
        <v>3334</v>
      </c>
      <c r="I18" s="60">
        <v>1891</v>
      </c>
      <c r="J18" s="69" t="s">
        <v>3335</v>
      </c>
      <c r="K18" s="190" t="s">
        <v>3336</v>
      </c>
      <c r="L18" s="225" t="s">
        <v>3337</v>
      </c>
    </row>
    <row r="19" spans="1:12" ht="12.75">
      <c r="A19" s="180">
        <v>12</v>
      </c>
      <c r="B19" s="41">
        <v>673</v>
      </c>
      <c r="C19" s="198">
        <f>B17</f>
        <v>671</v>
      </c>
      <c r="D19" s="246" t="s">
        <v>3338</v>
      </c>
      <c r="E19" s="225" t="s">
        <v>1158</v>
      </c>
      <c r="F19" s="58" t="s">
        <v>1173</v>
      </c>
      <c r="G19" s="181" t="s">
        <v>1878</v>
      </c>
      <c r="H19" s="59" t="s">
        <v>3339</v>
      </c>
      <c r="I19" s="60" t="s">
        <v>3340</v>
      </c>
      <c r="J19" s="69" t="s">
        <v>3341</v>
      </c>
      <c r="K19" s="190">
        <v>2001</v>
      </c>
      <c r="L19" s="225" t="s">
        <v>3342</v>
      </c>
    </row>
    <row r="20" spans="1:12" ht="12.75">
      <c r="A20" s="180">
        <v>12</v>
      </c>
      <c r="B20" s="41">
        <v>674</v>
      </c>
      <c r="C20" s="198">
        <f>B17</f>
        <v>671</v>
      </c>
      <c r="D20" s="246" t="s">
        <v>349</v>
      </c>
      <c r="E20" s="107" t="s">
        <v>1152</v>
      </c>
      <c r="F20" s="107" t="s">
        <v>1173</v>
      </c>
      <c r="G20" s="318" t="s">
        <v>4310</v>
      </c>
      <c r="H20" s="107" t="s">
        <v>3343</v>
      </c>
      <c r="I20" s="124" t="s">
        <v>3344</v>
      </c>
      <c r="J20" s="107" t="s">
        <v>3345</v>
      </c>
      <c r="K20" s="190">
        <v>2014</v>
      </c>
      <c r="L20" s="225" t="s">
        <v>3346</v>
      </c>
    </row>
    <row r="21" spans="1:12" ht="12.75">
      <c r="A21" s="180">
        <v>16</v>
      </c>
      <c r="B21" s="41">
        <v>680</v>
      </c>
      <c r="C21" s="41"/>
      <c r="D21" s="191" t="s">
        <v>3347</v>
      </c>
      <c r="E21" s="58" t="s">
        <v>1153</v>
      </c>
      <c r="F21" s="58" t="s">
        <v>1153</v>
      </c>
      <c r="G21" s="181" t="s">
        <v>1186</v>
      </c>
      <c r="H21" s="225" t="s">
        <v>3348</v>
      </c>
      <c r="I21" s="72">
        <v>1821</v>
      </c>
      <c r="J21" s="225" t="s">
        <v>3349</v>
      </c>
      <c r="K21" s="72">
        <v>2013</v>
      </c>
      <c r="L21" s="260" t="s">
        <v>3350</v>
      </c>
    </row>
    <row r="22" spans="1:12" ht="25.7" customHeight="1">
      <c r="A22" s="180">
        <v>16</v>
      </c>
      <c r="B22" s="41">
        <v>681</v>
      </c>
      <c r="C22" s="41">
        <f>B21</f>
        <v>680</v>
      </c>
      <c r="D22" s="191" t="s">
        <v>3351</v>
      </c>
      <c r="E22" s="58" t="s">
        <v>1158</v>
      </c>
      <c r="F22" s="107" t="s">
        <v>1159</v>
      </c>
      <c r="G22" s="317" t="s">
        <v>4309</v>
      </c>
      <c r="H22" s="59" t="s">
        <v>3352</v>
      </c>
      <c r="I22" s="257">
        <v>1829</v>
      </c>
      <c r="J22" s="225" t="s">
        <v>3353</v>
      </c>
      <c r="K22" s="72">
        <v>2013</v>
      </c>
      <c r="L22" s="225" t="s">
        <v>3354</v>
      </c>
    </row>
    <row r="23" spans="1:12" ht="20.25" customHeight="1">
      <c r="A23" s="180">
        <v>16</v>
      </c>
      <c r="B23" s="41">
        <v>682</v>
      </c>
      <c r="C23" s="198" t="str">
        <f>CONCATENATE(B21,", ",B22)</f>
        <v>680, 681</v>
      </c>
      <c r="D23" s="191" t="s">
        <v>3355</v>
      </c>
      <c r="E23" s="58" t="s">
        <v>1158</v>
      </c>
      <c r="F23" s="58" t="s">
        <v>1159</v>
      </c>
      <c r="G23" s="58" t="s">
        <v>1165</v>
      </c>
      <c r="H23" s="59" t="s">
        <v>3356</v>
      </c>
      <c r="I23" s="60">
        <v>1829</v>
      </c>
      <c r="J23" s="225" t="s">
        <v>3353</v>
      </c>
      <c r="K23" s="124">
        <v>2013</v>
      </c>
      <c r="L23" s="225" t="s">
        <v>3357</v>
      </c>
    </row>
    <row r="24" spans="1:12" ht="20.25" customHeight="1">
      <c r="A24" s="180">
        <v>16</v>
      </c>
      <c r="B24" s="41">
        <v>683</v>
      </c>
      <c r="C24" s="41">
        <f>B22</f>
        <v>681</v>
      </c>
      <c r="D24" s="188" t="s">
        <v>3358</v>
      </c>
      <c r="E24" s="58" t="s">
        <v>1152</v>
      </c>
      <c r="F24" s="58" t="s">
        <v>1169</v>
      </c>
      <c r="G24" s="58" t="s">
        <v>1297</v>
      </c>
      <c r="H24" s="59" t="s">
        <v>3359</v>
      </c>
      <c r="I24" s="124">
        <v>1829</v>
      </c>
      <c r="J24" s="225" t="s">
        <v>3353</v>
      </c>
      <c r="K24" s="124" t="s">
        <v>3360</v>
      </c>
      <c r="L24" s="225" t="s">
        <v>3361</v>
      </c>
    </row>
    <row r="25" spans="1:12" ht="20.25" customHeight="1">
      <c r="A25" s="180">
        <v>16</v>
      </c>
      <c r="B25" s="41">
        <v>684</v>
      </c>
      <c r="C25" s="182" t="str">
        <f>CONCATENATE(B21,", ",B22,", ",B23)</f>
        <v>680, 681, 682</v>
      </c>
      <c r="D25" s="191" t="s">
        <v>3362</v>
      </c>
      <c r="E25" s="107" t="s">
        <v>1158</v>
      </c>
      <c r="F25" s="107" t="s">
        <v>1173</v>
      </c>
      <c r="G25" s="107" t="s">
        <v>1371</v>
      </c>
      <c r="H25" s="107" t="s">
        <v>3363</v>
      </c>
      <c r="I25" s="124" t="s">
        <v>3364</v>
      </c>
      <c r="J25" s="77" t="s">
        <v>3365</v>
      </c>
      <c r="K25" s="124">
        <v>1921</v>
      </c>
      <c r="L25" s="77" t="s">
        <v>3366</v>
      </c>
    </row>
    <row r="26" spans="1:12" ht="12.6" customHeight="1">
      <c r="A26" s="180">
        <v>17</v>
      </c>
      <c r="B26" s="41">
        <v>685</v>
      </c>
      <c r="C26" s="92"/>
      <c r="D26" s="202" t="s">
        <v>3367</v>
      </c>
      <c r="E26" s="107" t="s">
        <v>1153</v>
      </c>
      <c r="F26" s="107" t="s">
        <v>1153</v>
      </c>
      <c r="G26" s="107" t="s">
        <v>1154</v>
      </c>
      <c r="H26" s="107" t="s">
        <v>3368</v>
      </c>
      <c r="I26" s="124">
        <v>1769</v>
      </c>
      <c r="J26" s="77" t="s">
        <v>3369</v>
      </c>
      <c r="K26" s="78">
        <v>1891</v>
      </c>
      <c r="L26" s="77" t="s">
        <v>3370</v>
      </c>
    </row>
    <row r="27" spans="1:12" ht="12.75">
      <c r="A27" s="23">
        <v>17</v>
      </c>
      <c r="B27" s="41">
        <v>686</v>
      </c>
      <c r="C27" s="23">
        <f>B26</f>
        <v>685</v>
      </c>
      <c r="D27" s="22" t="s">
        <v>3371</v>
      </c>
      <c r="E27" s="107" t="s">
        <v>1158</v>
      </c>
      <c r="F27" s="107" t="s">
        <v>1214</v>
      </c>
      <c r="G27" s="107" t="s">
        <v>1392</v>
      </c>
      <c r="H27" s="107" t="s">
        <v>3372</v>
      </c>
      <c r="I27" s="124">
        <v>1789</v>
      </c>
      <c r="J27" s="107" t="s">
        <v>3373</v>
      </c>
      <c r="K27" s="78">
        <v>2022</v>
      </c>
      <c r="L27" s="77" t="s">
        <v>3374</v>
      </c>
    </row>
    <row r="28" spans="1:12" ht="12.75">
      <c r="A28" s="23">
        <v>17</v>
      </c>
      <c r="B28" s="41">
        <v>687</v>
      </c>
      <c r="C28" s="23">
        <f>B27</f>
        <v>686</v>
      </c>
      <c r="D28" s="191" t="s">
        <v>3375</v>
      </c>
      <c r="E28" s="107" t="s">
        <v>1152</v>
      </c>
      <c r="F28" s="107" t="s">
        <v>1169</v>
      </c>
      <c r="G28" s="107" t="s">
        <v>1170</v>
      </c>
      <c r="H28" s="107" t="s">
        <v>3376</v>
      </c>
      <c r="I28" s="124">
        <v>1835</v>
      </c>
      <c r="J28" s="246" t="s">
        <v>3377</v>
      </c>
      <c r="K28" s="78">
        <v>2019</v>
      </c>
      <c r="L28" s="77" t="s">
        <v>3378</v>
      </c>
    </row>
    <row r="29" spans="1:12" ht="12.75">
      <c r="A29" s="180">
        <v>17</v>
      </c>
      <c r="B29" s="41">
        <v>688</v>
      </c>
      <c r="C29" s="23">
        <f>B28</f>
        <v>687</v>
      </c>
      <c r="D29" s="191" t="s">
        <v>3375</v>
      </c>
      <c r="E29" s="107" t="s">
        <v>1152</v>
      </c>
      <c r="F29" s="107" t="s">
        <v>1169</v>
      </c>
      <c r="G29" s="209" t="s">
        <v>1297</v>
      </c>
      <c r="H29" s="107" t="s">
        <v>3379</v>
      </c>
      <c r="I29" s="124">
        <v>1877</v>
      </c>
      <c r="J29" s="107" t="s">
        <v>3380</v>
      </c>
      <c r="K29" s="76">
        <v>2003</v>
      </c>
      <c r="L29" s="77" t="s">
        <v>3381</v>
      </c>
    </row>
    <row r="30" spans="1:12" ht="12.6" customHeight="1">
      <c r="A30" s="182">
        <v>20</v>
      </c>
      <c r="B30" s="41">
        <v>706</v>
      </c>
      <c r="C30" s="92"/>
      <c r="D30" s="202" t="s">
        <v>3382</v>
      </c>
      <c r="E30" s="107" t="s">
        <v>1153</v>
      </c>
      <c r="F30" s="79" t="s">
        <v>1153</v>
      </c>
      <c r="G30" s="107" t="s">
        <v>1154</v>
      </c>
      <c r="H30" s="107" t="s">
        <v>2781</v>
      </c>
      <c r="I30" s="124">
        <v>1859</v>
      </c>
      <c r="J30" s="77" t="s">
        <v>3383</v>
      </c>
      <c r="K30" s="76">
        <v>2015</v>
      </c>
      <c r="L30" s="77" t="s">
        <v>3384</v>
      </c>
    </row>
    <row r="31" spans="1:12" ht="12.6" customHeight="1">
      <c r="A31" s="182">
        <v>20</v>
      </c>
      <c r="B31" s="41">
        <v>707</v>
      </c>
      <c r="C31" s="92">
        <f>B30</f>
        <v>706</v>
      </c>
      <c r="D31" s="202" t="s">
        <v>3385</v>
      </c>
      <c r="E31" s="107" t="s">
        <v>1152</v>
      </c>
      <c r="F31" s="79" t="s">
        <v>1169</v>
      </c>
      <c r="G31" s="107" t="s">
        <v>1202</v>
      </c>
      <c r="H31" s="107" t="s">
        <v>3386</v>
      </c>
      <c r="I31" s="124">
        <v>1851</v>
      </c>
      <c r="J31" s="77" t="s">
        <v>3387</v>
      </c>
      <c r="K31" s="76">
        <v>2013</v>
      </c>
      <c r="L31" s="77" t="s">
        <v>3388</v>
      </c>
    </row>
    <row r="32" spans="1:12" ht="12.6" customHeight="1">
      <c r="A32" s="182">
        <v>20</v>
      </c>
      <c r="B32" s="41">
        <v>708</v>
      </c>
      <c r="C32" s="11">
        <f>B31</f>
        <v>707</v>
      </c>
      <c r="D32" s="202" t="s">
        <v>3385</v>
      </c>
      <c r="E32" s="107" t="s">
        <v>1152</v>
      </c>
      <c r="F32" s="107" t="s">
        <v>1169</v>
      </c>
      <c r="G32" s="107" t="s">
        <v>1170</v>
      </c>
      <c r="H32" s="107" t="s">
        <v>3389</v>
      </c>
      <c r="I32" s="124">
        <v>1904</v>
      </c>
      <c r="J32" s="225" t="s">
        <v>3390</v>
      </c>
      <c r="K32" s="193">
        <v>2016</v>
      </c>
      <c r="L32" s="77" t="s">
        <v>3391</v>
      </c>
    </row>
    <row r="33" spans="1:12" ht="12.75">
      <c r="A33" s="180">
        <v>21</v>
      </c>
      <c r="B33" s="41">
        <v>710</v>
      </c>
      <c r="C33" s="11"/>
      <c r="D33" s="191" t="s">
        <v>3392</v>
      </c>
      <c r="E33" s="29" t="s">
        <v>1153</v>
      </c>
      <c r="F33" s="191" t="s">
        <v>1153</v>
      </c>
      <c r="G33" s="191" t="s">
        <v>1154</v>
      </c>
      <c r="H33" s="191" t="s">
        <v>3393</v>
      </c>
      <c r="I33" s="188">
        <v>1685</v>
      </c>
      <c r="J33" s="246" t="s">
        <v>3394</v>
      </c>
      <c r="K33" s="28">
        <v>2018</v>
      </c>
      <c r="L33" s="246" t="s">
        <v>3395</v>
      </c>
    </row>
    <row r="34" spans="1:12" ht="12.75">
      <c r="A34" s="180">
        <v>21</v>
      </c>
      <c r="B34" s="41">
        <v>711</v>
      </c>
      <c r="C34" s="11">
        <f>B33</f>
        <v>710</v>
      </c>
      <c r="D34" s="188" t="s">
        <v>3392</v>
      </c>
      <c r="E34" s="107" t="s">
        <v>1152</v>
      </c>
      <c r="F34" s="107" t="s">
        <v>1169</v>
      </c>
      <c r="G34" s="107" t="s">
        <v>1367</v>
      </c>
      <c r="H34" s="107" t="s">
        <v>3396</v>
      </c>
      <c r="I34" s="207">
        <v>1750</v>
      </c>
      <c r="J34" s="225" t="s">
        <v>3397</v>
      </c>
      <c r="K34" s="193">
        <v>2019</v>
      </c>
      <c r="L34" s="225" t="s">
        <v>3398</v>
      </c>
    </row>
    <row r="35" spans="1:12" ht="12.75">
      <c r="A35" s="180">
        <v>21</v>
      </c>
      <c r="B35" s="41">
        <v>712</v>
      </c>
      <c r="C35" s="11">
        <f>B34</f>
        <v>711</v>
      </c>
      <c r="D35" s="188" t="s">
        <v>3399</v>
      </c>
      <c r="E35" s="107" t="s">
        <v>1158</v>
      </c>
      <c r="F35" s="107" t="s">
        <v>1159</v>
      </c>
      <c r="G35" s="107" t="s">
        <v>1165</v>
      </c>
      <c r="H35" s="107" t="s">
        <v>3400</v>
      </c>
      <c r="I35" s="165">
        <v>1817</v>
      </c>
      <c r="J35" s="225" t="s">
        <v>3401</v>
      </c>
      <c r="K35" s="193">
        <v>2016</v>
      </c>
      <c r="L35" s="225" t="s">
        <v>3402</v>
      </c>
    </row>
    <row r="36" spans="1:12" ht="12.75">
      <c r="A36" s="182">
        <v>22</v>
      </c>
      <c r="B36" s="41">
        <v>713</v>
      </c>
      <c r="C36" s="11"/>
      <c r="D36" s="191" t="s">
        <v>3403</v>
      </c>
      <c r="E36" s="107" t="s">
        <v>1153</v>
      </c>
      <c r="F36" s="107" t="s">
        <v>1153</v>
      </c>
      <c r="G36" s="107" t="s">
        <v>1154</v>
      </c>
      <c r="H36" s="107" t="s">
        <v>3404</v>
      </c>
      <c r="I36" s="193">
        <v>1833</v>
      </c>
      <c r="J36" s="225" t="s">
        <v>3405</v>
      </c>
      <c r="K36" s="124">
        <v>2014</v>
      </c>
      <c r="L36" s="225" t="s">
        <v>3406</v>
      </c>
    </row>
    <row r="37" spans="1:12" ht="12.75">
      <c r="A37" s="182">
        <v>22</v>
      </c>
      <c r="B37" s="41">
        <v>714</v>
      </c>
      <c r="C37" s="11">
        <f>B36</f>
        <v>713</v>
      </c>
      <c r="D37" s="191" t="s">
        <v>3407</v>
      </c>
      <c r="E37" s="107" t="s">
        <v>1152</v>
      </c>
      <c r="F37" s="107" t="s">
        <v>1169</v>
      </c>
      <c r="G37" s="107" t="s">
        <v>1170</v>
      </c>
      <c r="H37" s="107" t="s">
        <v>3408</v>
      </c>
      <c r="I37" s="124">
        <v>1845</v>
      </c>
      <c r="J37" s="225" t="s">
        <v>3409</v>
      </c>
      <c r="K37" s="124">
        <v>2017</v>
      </c>
      <c r="L37" s="225" t="s">
        <v>3410</v>
      </c>
    </row>
    <row r="38" spans="1:12" ht="12.75">
      <c r="A38" s="182">
        <v>22</v>
      </c>
      <c r="B38" s="41">
        <v>715</v>
      </c>
      <c r="C38" s="11">
        <f>B37</f>
        <v>714</v>
      </c>
      <c r="D38" s="191" t="s">
        <v>3411</v>
      </c>
      <c r="E38" s="107" t="s">
        <v>1158</v>
      </c>
      <c r="F38" s="107" t="s">
        <v>1159</v>
      </c>
      <c r="G38" s="107" t="s">
        <v>1395</v>
      </c>
      <c r="H38" s="107" t="s">
        <v>3412</v>
      </c>
      <c r="I38" s="124" t="s">
        <v>1224</v>
      </c>
      <c r="J38" s="225" t="s">
        <v>3413</v>
      </c>
      <c r="K38" s="124">
        <v>2013</v>
      </c>
      <c r="L38" s="225" t="s">
        <v>3414</v>
      </c>
    </row>
    <row r="39" spans="1:12" ht="13.15" customHeight="1">
      <c r="A39" s="182">
        <v>22</v>
      </c>
      <c r="B39" s="41">
        <v>716</v>
      </c>
      <c r="C39" s="182">
        <f>B37</f>
        <v>714</v>
      </c>
      <c r="D39" s="191" t="s">
        <v>3415</v>
      </c>
      <c r="E39" s="107" t="s">
        <v>1158</v>
      </c>
      <c r="F39" s="107" t="s">
        <v>1159</v>
      </c>
      <c r="G39" s="107" t="s">
        <v>1395</v>
      </c>
      <c r="H39" s="59" t="s">
        <v>3416</v>
      </c>
      <c r="I39" s="124" t="s">
        <v>1409</v>
      </c>
      <c r="J39" s="225" t="s">
        <v>3417</v>
      </c>
      <c r="K39" s="60">
        <v>2005</v>
      </c>
      <c r="L39" s="225" t="s">
        <v>3418</v>
      </c>
    </row>
    <row r="40" spans="1:12" ht="13.15" customHeight="1">
      <c r="A40" s="182">
        <v>22</v>
      </c>
      <c r="B40" s="41">
        <v>717</v>
      </c>
      <c r="C40" s="182" t="str">
        <f>CONCATENATE(B37, ", ", B38, ", ", B39)</f>
        <v>714, 715, 716</v>
      </c>
      <c r="D40" s="191" t="s">
        <v>3419</v>
      </c>
      <c r="E40" s="107" t="s">
        <v>1158</v>
      </c>
      <c r="F40" s="107" t="s">
        <v>1173</v>
      </c>
      <c r="G40" s="107" t="s">
        <v>1174</v>
      </c>
      <c r="H40" s="107" t="s">
        <v>3420</v>
      </c>
      <c r="I40" s="60" t="s">
        <v>1224</v>
      </c>
      <c r="J40" s="225" t="s">
        <v>3413</v>
      </c>
      <c r="K40" s="124">
        <v>2016</v>
      </c>
      <c r="L40" s="225" t="s">
        <v>3421</v>
      </c>
    </row>
    <row r="41" spans="1:12" ht="13.15" customHeight="1">
      <c r="A41" s="182">
        <v>22</v>
      </c>
      <c r="B41" s="41">
        <v>718</v>
      </c>
      <c r="C41" s="182">
        <f>B40</f>
        <v>717</v>
      </c>
      <c r="D41" s="315" t="s">
        <v>3422</v>
      </c>
      <c r="E41" s="107" t="s">
        <v>1158</v>
      </c>
      <c r="F41" s="107" t="s">
        <v>1173</v>
      </c>
      <c r="G41" s="107" t="s">
        <v>1371</v>
      </c>
      <c r="H41" s="107" t="s">
        <v>3423</v>
      </c>
      <c r="I41" s="60">
        <v>1877</v>
      </c>
      <c r="J41" s="225" t="s">
        <v>3424</v>
      </c>
      <c r="K41" s="124" t="s">
        <v>3425</v>
      </c>
      <c r="L41" s="225" t="s">
        <v>3426</v>
      </c>
    </row>
    <row r="42" spans="1:12" ht="13.15" customHeight="1">
      <c r="A42" s="198">
        <v>22</v>
      </c>
      <c r="B42" s="41">
        <v>719</v>
      </c>
      <c r="C42" s="198">
        <f>B41</f>
        <v>718</v>
      </c>
      <c r="D42" s="246" t="s">
        <v>3427</v>
      </c>
      <c r="E42" s="107" t="s">
        <v>1158</v>
      </c>
      <c r="F42" s="107" t="s">
        <v>1159</v>
      </c>
      <c r="G42" s="107" t="s">
        <v>1395</v>
      </c>
      <c r="H42" s="107" t="s">
        <v>3428</v>
      </c>
      <c r="I42" s="124">
        <v>1877</v>
      </c>
      <c r="J42" s="225" t="s">
        <v>3424</v>
      </c>
      <c r="K42" s="124">
        <v>2013</v>
      </c>
      <c r="L42" s="225" t="s">
        <v>3429</v>
      </c>
    </row>
    <row r="43" spans="1:12" ht="13.15" customHeight="1">
      <c r="A43" s="198">
        <v>22</v>
      </c>
      <c r="B43" s="41">
        <v>720</v>
      </c>
      <c r="C43" s="198">
        <f>B42</f>
        <v>719</v>
      </c>
      <c r="D43" s="246" t="s">
        <v>3430</v>
      </c>
      <c r="E43" s="107" t="s">
        <v>1158</v>
      </c>
      <c r="F43" s="107" t="s">
        <v>1159</v>
      </c>
      <c r="G43" s="107" t="s">
        <v>1395</v>
      </c>
      <c r="H43" s="107" t="s">
        <v>3431</v>
      </c>
      <c r="I43" s="124" t="s">
        <v>3432</v>
      </c>
      <c r="J43" s="225" t="s">
        <v>3433</v>
      </c>
      <c r="K43" s="124">
        <v>2003</v>
      </c>
      <c r="L43" s="225" t="s">
        <v>3434</v>
      </c>
    </row>
    <row r="44" spans="1:12" ht="13.15" customHeight="1">
      <c r="A44" s="198">
        <v>22</v>
      </c>
      <c r="B44" s="41">
        <v>721</v>
      </c>
      <c r="C44" s="198">
        <f>B43</f>
        <v>720</v>
      </c>
      <c r="D44" s="246" t="s">
        <v>3435</v>
      </c>
      <c r="E44" s="107" t="s">
        <v>1158</v>
      </c>
      <c r="F44" s="225" t="s">
        <v>1173</v>
      </c>
      <c r="G44" s="107" t="s">
        <v>1437</v>
      </c>
      <c r="H44" s="107" t="s">
        <v>3436</v>
      </c>
      <c r="I44" s="124">
        <v>1918</v>
      </c>
      <c r="J44" s="225" t="s">
        <v>3437</v>
      </c>
      <c r="K44" s="124">
        <v>1969</v>
      </c>
      <c r="L44" s="225" t="s">
        <v>3438</v>
      </c>
    </row>
    <row r="45" spans="1:12" ht="13.15" customHeight="1">
      <c r="A45" s="83">
        <v>23</v>
      </c>
      <c r="B45" s="41">
        <v>727</v>
      </c>
      <c r="C45" s="182"/>
      <c r="D45" s="191" t="s">
        <v>3453</v>
      </c>
      <c r="E45" s="107" t="s">
        <v>1153</v>
      </c>
      <c r="F45" s="67" t="s">
        <v>1153</v>
      </c>
      <c r="G45" s="107" t="s">
        <v>1154</v>
      </c>
      <c r="H45" s="107" t="s">
        <v>3454</v>
      </c>
      <c r="I45" s="124">
        <v>1965</v>
      </c>
      <c r="J45" s="225" t="s">
        <v>3455</v>
      </c>
      <c r="K45" s="193">
        <v>2000</v>
      </c>
      <c r="L45" s="225" t="s">
        <v>3456</v>
      </c>
    </row>
    <row r="46" spans="1:12" ht="13.15" customHeight="1">
      <c r="A46" s="83">
        <v>23</v>
      </c>
      <c r="B46" s="41">
        <v>728</v>
      </c>
      <c r="C46" s="182">
        <f>B45</f>
        <v>727</v>
      </c>
      <c r="D46" s="191" t="s">
        <v>3457</v>
      </c>
      <c r="E46" s="107" t="s">
        <v>1152</v>
      </c>
      <c r="F46" s="67" t="s">
        <v>1169</v>
      </c>
      <c r="G46" s="107" t="s">
        <v>1170</v>
      </c>
      <c r="H46" s="107" t="s">
        <v>3458</v>
      </c>
      <c r="I46" s="207" t="s">
        <v>3459</v>
      </c>
      <c r="J46" s="225" t="s">
        <v>3460</v>
      </c>
      <c r="K46" s="193">
        <v>2019</v>
      </c>
      <c r="L46" s="225" t="s">
        <v>3461</v>
      </c>
    </row>
    <row r="47" spans="1:12" ht="23.45" customHeight="1">
      <c r="A47" s="83">
        <v>23</v>
      </c>
      <c r="B47" s="41">
        <v>729</v>
      </c>
      <c r="C47" s="182">
        <f>B45</f>
        <v>727</v>
      </c>
      <c r="D47" s="191" t="s">
        <v>3457</v>
      </c>
      <c r="E47" s="107" t="s">
        <v>1158</v>
      </c>
      <c r="F47" s="67" t="s">
        <v>1159</v>
      </c>
      <c r="G47" s="107" t="s">
        <v>1160</v>
      </c>
      <c r="H47" s="107" t="s">
        <v>3462</v>
      </c>
      <c r="I47" s="207" t="s">
        <v>3459</v>
      </c>
      <c r="J47" s="225" t="s">
        <v>3460</v>
      </c>
      <c r="K47" s="193">
        <v>2019</v>
      </c>
      <c r="L47" s="225" t="s">
        <v>3461</v>
      </c>
    </row>
    <row r="48" spans="1:12" ht="13.5" customHeight="1">
      <c r="A48" s="180">
        <v>23</v>
      </c>
      <c r="B48" s="41">
        <v>730</v>
      </c>
      <c r="C48" s="198" t="str">
        <f>CONCATENATE(B46, ", ", B47)</f>
        <v>728, 729</v>
      </c>
      <c r="D48" s="191" t="s">
        <v>3463</v>
      </c>
      <c r="E48" s="58" t="s">
        <v>1158</v>
      </c>
      <c r="F48" s="181" t="s">
        <v>1173</v>
      </c>
      <c r="G48" s="58" t="s">
        <v>1371</v>
      </c>
      <c r="H48" s="59" t="s">
        <v>3464</v>
      </c>
      <c r="I48" s="207" t="s">
        <v>3465</v>
      </c>
      <c r="J48" s="225" t="s">
        <v>3466</v>
      </c>
      <c r="K48" s="207" t="s">
        <v>3465</v>
      </c>
      <c r="L48" s="225" t="s">
        <v>3466</v>
      </c>
    </row>
    <row r="49" spans="1:12" ht="13.15" customHeight="1">
      <c r="A49" s="180">
        <v>23</v>
      </c>
      <c r="B49" s="41">
        <v>731</v>
      </c>
      <c r="C49" s="198">
        <f>B48</f>
        <v>730</v>
      </c>
      <c r="D49" s="188" t="s">
        <v>356</v>
      </c>
      <c r="E49" s="107" t="s">
        <v>1152</v>
      </c>
      <c r="F49" s="67" t="s">
        <v>1169</v>
      </c>
      <c r="G49" s="107" t="s">
        <v>1297</v>
      </c>
      <c r="H49" s="225" t="s">
        <v>3467</v>
      </c>
      <c r="I49" s="89">
        <v>2001</v>
      </c>
      <c r="J49" s="86" t="s">
        <v>3468</v>
      </c>
      <c r="K49" s="165">
        <v>2015</v>
      </c>
      <c r="L49" s="181" t="s">
        <v>3469</v>
      </c>
    </row>
    <row r="50" spans="1:12" ht="13.15" customHeight="1">
      <c r="A50" s="198">
        <v>24</v>
      </c>
      <c r="B50" s="41">
        <v>732</v>
      </c>
      <c r="C50" s="198"/>
      <c r="D50" s="191" t="s">
        <v>357</v>
      </c>
      <c r="E50" s="107" t="s">
        <v>1153</v>
      </c>
      <c r="F50" s="67" t="s">
        <v>1153</v>
      </c>
      <c r="G50" s="67" t="s">
        <v>1154</v>
      </c>
      <c r="H50" s="225" t="s">
        <v>3470</v>
      </c>
      <c r="I50" s="89">
        <v>1847</v>
      </c>
      <c r="J50" s="86" t="s">
        <v>3471</v>
      </c>
      <c r="K50" s="95">
        <v>2011</v>
      </c>
      <c r="L50" s="181" t="s">
        <v>3472</v>
      </c>
    </row>
    <row r="51" spans="1:12" ht="25.7" customHeight="1">
      <c r="A51" s="198">
        <v>24</v>
      </c>
      <c r="B51" s="41">
        <v>733</v>
      </c>
      <c r="C51" s="198">
        <f>B50</f>
        <v>732</v>
      </c>
      <c r="D51" s="191" t="s">
        <v>3473</v>
      </c>
      <c r="E51" s="107" t="s">
        <v>1158</v>
      </c>
      <c r="F51" s="67" t="s">
        <v>1159</v>
      </c>
      <c r="G51" s="181" t="s">
        <v>1165</v>
      </c>
      <c r="H51" s="225" t="s">
        <v>3474</v>
      </c>
      <c r="I51" s="89">
        <v>1876</v>
      </c>
      <c r="J51" s="86" t="s">
        <v>3475</v>
      </c>
      <c r="K51" s="89">
        <v>2020</v>
      </c>
      <c r="L51" s="88" t="s">
        <v>3476</v>
      </c>
    </row>
    <row r="52" spans="1:12" ht="25.7" customHeight="1">
      <c r="A52" s="198">
        <v>24</v>
      </c>
      <c r="B52" s="41">
        <v>734</v>
      </c>
      <c r="C52" s="198">
        <f>B50</f>
        <v>732</v>
      </c>
      <c r="D52" s="191" t="s">
        <v>3473</v>
      </c>
      <c r="E52" s="58" t="s">
        <v>1152</v>
      </c>
      <c r="F52" s="181" t="s">
        <v>1169</v>
      </c>
      <c r="G52" s="181" t="s">
        <v>1170</v>
      </c>
      <c r="H52" s="225" t="s">
        <v>3477</v>
      </c>
      <c r="I52" s="165">
        <v>1891</v>
      </c>
      <c r="J52" s="181" t="s">
        <v>3478</v>
      </c>
      <c r="K52" s="165">
        <v>2020</v>
      </c>
      <c r="L52" s="181" t="s">
        <v>3476</v>
      </c>
    </row>
    <row r="53" spans="1:12" ht="12.75">
      <c r="A53" s="198">
        <v>24</v>
      </c>
      <c r="B53" s="41">
        <v>735</v>
      </c>
      <c r="C53" s="23">
        <f>B51</f>
        <v>733</v>
      </c>
      <c r="D53" s="246" t="s">
        <v>3479</v>
      </c>
      <c r="E53" s="58" t="s">
        <v>1158</v>
      </c>
      <c r="F53" s="181" t="s">
        <v>1159</v>
      </c>
      <c r="G53" s="181" t="s">
        <v>1395</v>
      </c>
      <c r="H53" s="181" t="s">
        <v>3480</v>
      </c>
      <c r="I53" s="165">
        <v>1941</v>
      </c>
      <c r="J53" s="181" t="s">
        <v>3481</v>
      </c>
      <c r="K53" s="165">
        <v>2020</v>
      </c>
      <c r="L53" s="181" t="s">
        <v>3482</v>
      </c>
    </row>
    <row r="54" spans="1:12" ht="13.15" customHeight="1">
      <c r="A54" s="180">
        <v>25</v>
      </c>
      <c r="B54" s="41">
        <v>722</v>
      </c>
      <c r="C54" s="182"/>
      <c r="D54" s="191" t="s">
        <v>359</v>
      </c>
      <c r="E54" s="107" t="s">
        <v>1153</v>
      </c>
      <c r="F54" s="181" t="s">
        <v>1153</v>
      </c>
      <c r="G54" s="181" t="s">
        <v>1154</v>
      </c>
      <c r="H54" s="107" t="s">
        <v>3439</v>
      </c>
      <c r="I54" s="124">
        <v>1835</v>
      </c>
      <c r="J54" s="77" t="s">
        <v>3440</v>
      </c>
      <c r="K54" s="193">
        <v>2014</v>
      </c>
      <c r="L54" s="77" t="s">
        <v>3441</v>
      </c>
    </row>
    <row r="55" spans="1:12" ht="22.5" customHeight="1">
      <c r="A55" s="180">
        <v>25</v>
      </c>
      <c r="B55" s="41">
        <v>723</v>
      </c>
      <c r="C55" s="182">
        <f>B54</f>
        <v>722</v>
      </c>
      <c r="D55" s="191" t="s">
        <v>3442</v>
      </c>
      <c r="E55" s="107" t="s">
        <v>1152</v>
      </c>
      <c r="F55" s="181" t="s">
        <v>1169</v>
      </c>
      <c r="G55" s="107" t="s">
        <v>1170</v>
      </c>
      <c r="H55" s="107" t="s">
        <v>3443</v>
      </c>
      <c r="I55" s="124">
        <v>1842</v>
      </c>
      <c r="J55" s="225" t="s">
        <v>3444</v>
      </c>
      <c r="K55" s="193">
        <v>2008</v>
      </c>
      <c r="L55" s="225" t="s">
        <v>3445</v>
      </c>
    </row>
    <row r="56" spans="1:12" ht="22.5" customHeight="1">
      <c r="A56" s="180">
        <v>25</v>
      </c>
      <c r="B56" s="41">
        <v>724</v>
      </c>
      <c r="C56" s="182">
        <f>B54</f>
        <v>722</v>
      </c>
      <c r="D56" s="191" t="s">
        <v>3442</v>
      </c>
      <c r="E56" s="107" t="s">
        <v>1158</v>
      </c>
      <c r="F56" s="181" t="s">
        <v>1173</v>
      </c>
      <c r="G56" s="107" t="s">
        <v>1174</v>
      </c>
      <c r="H56" s="107" t="s">
        <v>3446</v>
      </c>
      <c r="I56" s="124">
        <v>1842</v>
      </c>
      <c r="J56" s="225" t="s">
        <v>3444</v>
      </c>
      <c r="K56" s="193">
        <v>2008</v>
      </c>
      <c r="L56" s="225" t="s">
        <v>3445</v>
      </c>
    </row>
    <row r="57" spans="1:12" ht="13.15" customHeight="1">
      <c r="A57" s="180">
        <v>25</v>
      </c>
      <c r="B57" s="41">
        <v>725</v>
      </c>
      <c r="C57" s="182" t="str">
        <f>CONCATENATE(B55, ", ", B56)</f>
        <v>723, 724</v>
      </c>
      <c r="D57" s="191" t="s">
        <v>3447</v>
      </c>
      <c r="E57" s="107" t="s">
        <v>1152</v>
      </c>
      <c r="F57" s="181" t="s">
        <v>1169</v>
      </c>
      <c r="G57" s="107" t="s">
        <v>1297</v>
      </c>
      <c r="H57" s="107" t="s">
        <v>3448</v>
      </c>
      <c r="I57" s="124">
        <v>1835</v>
      </c>
      <c r="J57" s="225" t="s">
        <v>3449</v>
      </c>
      <c r="K57" s="193" t="s">
        <v>1332</v>
      </c>
      <c r="L57" s="225" t="s">
        <v>3450</v>
      </c>
    </row>
    <row r="58" spans="1:12" ht="13.15" customHeight="1">
      <c r="A58" s="180">
        <v>25</v>
      </c>
      <c r="B58" s="41">
        <v>726</v>
      </c>
      <c r="C58" s="182" t="str">
        <f>CONCATENATE(B55, ", ", B56)</f>
        <v>723, 724</v>
      </c>
      <c r="D58" s="191" t="s">
        <v>3447</v>
      </c>
      <c r="E58" s="191" t="s">
        <v>1158</v>
      </c>
      <c r="F58" s="201" t="s">
        <v>1159</v>
      </c>
      <c r="G58" s="191" t="s">
        <v>1165</v>
      </c>
      <c r="H58" s="191" t="s">
        <v>3451</v>
      </c>
      <c r="I58" s="182">
        <v>1835</v>
      </c>
      <c r="J58" s="246" t="s">
        <v>3449</v>
      </c>
      <c r="K58" s="246">
        <v>1930</v>
      </c>
      <c r="L58" s="246" t="s">
        <v>3452</v>
      </c>
    </row>
    <row r="59" spans="1:12" ht="12.75">
      <c r="A59" s="182">
        <v>26</v>
      </c>
      <c r="B59" s="41">
        <v>259</v>
      </c>
      <c r="C59" s="182"/>
      <c r="D59" s="144" t="s">
        <v>229</v>
      </c>
      <c r="E59" s="107" t="s">
        <v>1153</v>
      </c>
      <c r="F59" s="107" t="s">
        <v>1153</v>
      </c>
      <c r="G59" s="74" t="s">
        <v>1186</v>
      </c>
      <c r="H59" s="107" t="s">
        <v>2046</v>
      </c>
      <c r="I59" s="124">
        <v>1814</v>
      </c>
      <c r="J59" s="107" t="s">
        <v>2047</v>
      </c>
      <c r="K59" s="124">
        <v>2019</v>
      </c>
      <c r="L59" s="107" t="s">
        <v>2048</v>
      </c>
    </row>
    <row r="60" spans="1:12" ht="13.15" customHeight="1">
      <c r="A60" s="23">
        <v>26</v>
      </c>
      <c r="B60" s="41">
        <v>260</v>
      </c>
      <c r="C60" s="23">
        <f>B59</f>
        <v>259</v>
      </c>
      <c r="D60" s="144" t="s">
        <v>229</v>
      </c>
      <c r="E60" s="107" t="s">
        <v>1152</v>
      </c>
      <c r="F60" s="107" t="s">
        <v>1190</v>
      </c>
      <c r="G60" s="225" t="s">
        <v>1232</v>
      </c>
      <c r="H60" s="75" t="s">
        <v>2049</v>
      </c>
      <c r="I60" s="105">
        <v>1829</v>
      </c>
      <c r="J60" s="77" t="s">
        <v>2050</v>
      </c>
      <c r="K60" s="193">
        <v>2012</v>
      </c>
      <c r="L60" s="77" t="s">
        <v>2051</v>
      </c>
    </row>
    <row r="61" spans="1:12" ht="12.75">
      <c r="A61" s="198">
        <v>26</v>
      </c>
      <c r="B61" s="41">
        <v>261</v>
      </c>
      <c r="C61" s="23">
        <f>B59</f>
        <v>259</v>
      </c>
      <c r="D61" s="144" t="s">
        <v>229</v>
      </c>
      <c r="E61" s="79" t="s">
        <v>1152</v>
      </c>
      <c r="F61" s="68" t="s">
        <v>1169</v>
      </c>
      <c r="G61" s="225" t="s">
        <v>1367</v>
      </c>
      <c r="H61" s="204" t="s">
        <v>2052</v>
      </c>
      <c r="I61" s="193" t="s">
        <v>2053</v>
      </c>
      <c r="J61" s="225" t="s">
        <v>2054</v>
      </c>
      <c r="K61" s="193">
        <v>2019</v>
      </c>
      <c r="L61" s="149" t="s">
        <v>2055</v>
      </c>
    </row>
    <row r="62" spans="1:12" ht="12.75">
      <c r="A62" s="198">
        <v>26</v>
      </c>
      <c r="B62" s="41">
        <v>262</v>
      </c>
      <c r="C62" s="23">
        <f>B59</f>
        <v>259</v>
      </c>
      <c r="D62" s="144" t="s">
        <v>2056</v>
      </c>
      <c r="E62" s="79" t="s">
        <v>1152</v>
      </c>
      <c r="F62" s="68" t="s">
        <v>1169</v>
      </c>
      <c r="G62" s="225" t="s">
        <v>1367</v>
      </c>
      <c r="H62" s="204" t="s">
        <v>2057</v>
      </c>
      <c r="I62" s="193">
        <v>1852</v>
      </c>
      <c r="J62" s="225" t="s">
        <v>2058</v>
      </c>
      <c r="K62" s="193">
        <v>1998</v>
      </c>
      <c r="L62" s="149" t="s">
        <v>2059</v>
      </c>
    </row>
    <row r="63" spans="1:12" ht="13.15" customHeight="1">
      <c r="A63" s="198">
        <v>27</v>
      </c>
      <c r="B63" s="41">
        <v>649</v>
      </c>
      <c r="C63" s="23"/>
      <c r="D63" s="246" t="s">
        <v>3253</v>
      </c>
      <c r="E63" s="79" t="s">
        <v>1153</v>
      </c>
      <c r="F63" s="79" t="s">
        <v>1153</v>
      </c>
      <c r="G63" s="181" t="s">
        <v>1186</v>
      </c>
      <c r="H63" s="246" t="s">
        <v>3254</v>
      </c>
      <c r="I63" s="246">
        <v>1870</v>
      </c>
      <c r="J63" s="82" t="s">
        <v>3255</v>
      </c>
      <c r="K63" s="106">
        <v>2019</v>
      </c>
      <c r="L63" s="189" t="s">
        <v>3256</v>
      </c>
    </row>
    <row r="64" spans="1:12" ht="13.15" customHeight="1">
      <c r="A64" s="198">
        <v>27</v>
      </c>
      <c r="B64" s="41">
        <v>650</v>
      </c>
      <c r="C64" s="182">
        <f>B63</f>
        <v>649</v>
      </c>
      <c r="D64" s="246" t="s">
        <v>3257</v>
      </c>
      <c r="E64" s="79" t="s">
        <v>1158</v>
      </c>
      <c r="F64" s="79" t="s">
        <v>1159</v>
      </c>
      <c r="G64" s="246" t="s">
        <v>1395</v>
      </c>
      <c r="H64" s="246" t="s">
        <v>3258</v>
      </c>
      <c r="I64" s="246">
        <v>1851</v>
      </c>
      <c r="J64" s="246" t="s">
        <v>3259</v>
      </c>
      <c r="K64" s="246">
        <v>2018</v>
      </c>
      <c r="L64" s="246" t="s">
        <v>3260</v>
      </c>
    </row>
    <row r="65" spans="1:12" ht="13.15" customHeight="1">
      <c r="A65" s="198">
        <v>27</v>
      </c>
      <c r="B65" s="41">
        <v>651</v>
      </c>
      <c r="C65" s="23" t="str">
        <f>CONCATENATE(B63,", ",B64)</f>
        <v>649, 650</v>
      </c>
      <c r="D65" s="246" t="s">
        <v>3261</v>
      </c>
      <c r="E65" s="79" t="s">
        <v>1158</v>
      </c>
      <c r="F65" s="79" t="s">
        <v>1159</v>
      </c>
      <c r="G65" s="317" t="s">
        <v>4309</v>
      </c>
      <c r="H65" s="246" t="s">
        <v>3262</v>
      </c>
      <c r="I65" s="246">
        <v>1900</v>
      </c>
      <c r="J65" s="246" t="s">
        <v>3263</v>
      </c>
      <c r="K65" s="246">
        <v>2013</v>
      </c>
      <c r="L65" s="246" t="s">
        <v>3264</v>
      </c>
    </row>
    <row r="66" spans="1:12" ht="13.15" customHeight="1">
      <c r="A66" s="198">
        <v>27</v>
      </c>
      <c r="B66" s="41">
        <v>652</v>
      </c>
      <c r="C66" s="23">
        <f>B63</f>
        <v>649</v>
      </c>
      <c r="D66" s="246" t="s">
        <v>1100</v>
      </c>
      <c r="E66" s="79" t="s">
        <v>1158</v>
      </c>
      <c r="F66" s="79" t="s">
        <v>1159</v>
      </c>
      <c r="G66" s="317" t="s">
        <v>4309</v>
      </c>
      <c r="H66" s="246" t="s">
        <v>3265</v>
      </c>
      <c r="I66" s="246">
        <v>1917</v>
      </c>
      <c r="J66" s="246" t="s">
        <v>3266</v>
      </c>
      <c r="K66" s="246">
        <v>2019</v>
      </c>
      <c r="L66" s="246" t="s">
        <v>3267</v>
      </c>
    </row>
    <row r="67" spans="1:12" ht="12.75">
      <c r="A67" s="198">
        <v>27</v>
      </c>
      <c r="B67" s="41">
        <v>653</v>
      </c>
      <c r="C67" s="9">
        <f>B66</f>
        <v>652</v>
      </c>
      <c r="D67" s="246" t="s">
        <v>3268</v>
      </c>
      <c r="E67" s="79" t="s">
        <v>1158</v>
      </c>
      <c r="F67" s="107" t="s">
        <v>1173</v>
      </c>
      <c r="G67" s="79" t="s">
        <v>1371</v>
      </c>
      <c r="H67" s="246" t="s">
        <v>3269</v>
      </c>
      <c r="I67" s="60">
        <v>1922</v>
      </c>
      <c r="J67" s="189" t="s">
        <v>3270</v>
      </c>
      <c r="K67" s="124">
        <v>2019</v>
      </c>
      <c r="L67" s="189" t="s">
        <v>3271</v>
      </c>
    </row>
    <row r="68" spans="1:12" ht="12.75">
      <c r="A68" s="198">
        <v>27</v>
      </c>
      <c r="B68" s="41">
        <v>654</v>
      </c>
      <c r="C68" s="198">
        <f>B66</f>
        <v>652</v>
      </c>
      <c r="D68" s="191" t="s">
        <v>3272</v>
      </c>
      <c r="E68" s="79" t="s">
        <v>1158</v>
      </c>
      <c r="F68" s="79" t="s">
        <v>1173</v>
      </c>
      <c r="G68" s="79" t="s">
        <v>1282</v>
      </c>
      <c r="H68" s="246" t="s">
        <v>3273</v>
      </c>
      <c r="I68" s="98">
        <v>1974</v>
      </c>
      <c r="J68" s="189" t="s">
        <v>3274</v>
      </c>
      <c r="K68" s="124">
        <v>2015</v>
      </c>
      <c r="L68" s="189" t="s">
        <v>3275</v>
      </c>
    </row>
    <row r="69" spans="1:12" ht="13.15" customHeight="1">
      <c r="A69" s="198">
        <v>27</v>
      </c>
      <c r="B69" s="41">
        <v>655</v>
      </c>
      <c r="C69" s="198">
        <f>B66</f>
        <v>652</v>
      </c>
      <c r="D69" s="191" t="s">
        <v>3276</v>
      </c>
      <c r="E69" s="107" t="s">
        <v>1158</v>
      </c>
      <c r="F69" s="107" t="s">
        <v>1173</v>
      </c>
      <c r="G69" s="107" t="s">
        <v>1282</v>
      </c>
      <c r="H69" s="246" t="s">
        <v>3277</v>
      </c>
      <c r="I69" s="124">
        <v>2008</v>
      </c>
      <c r="J69" s="189" t="s">
        <v>3278</v>
      </c>
      <c r="K69" s="124">
        <v>2017</v>
      </c>
      <c r="L69" s="189" t="s">
        <v>3279</v>
      </c>
    </row>
    <row r="70" spans="1:12" ht="13.15" customHeight="1">
      <c r="A70" s="198">
        <v>27</v>
      </c>
      <c r="B70" s="41">
        <v>656</v>
      </c>
      <c r="C70" s="198">
        <f>B66</f>
        <v>652</v>
      </c>
      <c r="D70" s="191" t="s">
        <v>3280</v>
      </c>
      <c r="E70" s="107" t="s">
        <v>1158</v>
      </c>
      <c r="F70" s="107" t="s">
        <v>1173</v>
      </c>
      <c r="G70" s="107" t="s">
        <v>1282</v>
      </c>
      <c r="H70" s="246" t="s">
        <v>3281</v>
      </c>
      <c r="I70" s="124">
        <v>1971</v>
      </c>
      <c r="J70" s="189" t="s">
        <v>3282</v>
      </c>
      <c r="K70" s="124">
        <v>2016</v>
      </c>
      <c r="L70" s="189" t="s">
        <v>3283</v>
      </c>
    </row>
    <row r="71" spans="1:12" ht="12.75">
      <c r="A71" s="198">
        <v>261</v>
      </c>
      <c r="B71" s="41">
        <v>818</v>
      </c>
      <c r="C71" s="198"/>
      <c r="D71" s="120" t="s">
        <v>1096</v>
      </c>
      <c r="E71" s="246" t="s">
        <v>1153</v>
      </c>
      <c r="F71" s="201" t="s">
        <v>1153</v>
      </c>
      <c r="G71" s="201" t="s">
        <v>1186</v>
      </c>
      <c r="H71" s="246" t="s">
        <v>3733</v>
      </c>
      <c r="I71" s="198">
        <v>1076</v>
      </c>
      <c r="J71" s="246" t="s">
        <v>3734</v>
      </c>
      <c r="K71" s="246">
        <v>1778</v>
      </c>
      <c r="L71" s="246" t="s">
        <v>3735</v>
      </c>
    </row>
    <row r="72" spans="1:12" ht="12.75">
      <c r="A72" s="198">
        <v>261</v>
      </c>
      <c r="B72" s="41">
        <v>819</v>
      </c>
      <c r="C72" s="198">
        <f>B71</f>
        <v>818</v>
      </c>
      <c r="D72" s="120" t="s">
        <v>1096</v>
      </c>
      <c r="E72" s="246" t="s">
        <v>1152</v>
      </c>
      <c r="F72" s="201" t="s">
        <v>1169</v>
      </c>
      <c r="G72" s="201" t="s">
        <v>1297</v>
      </c>
      <c r="H72" s="246" t="s">
        <v>3736</v>
      </c>
      <c r="I72" s="198" t="s">
        <v>3737</v>
      </c>
      <c r="J72" s="246" t="s">
        <v>3738</v>
      </c>
      <c r="K72" s="246">
        <v>2011</v>
      </c>
      <c r="L72" s="246" t="s">
        <v>3739</v>
      </c>
    </row>
    <row r="73" spans="1:12" ht="12.75">
      <c r="A73" s="198">
        <v>261</v>
      </c>
      <c r="B73" s="41">
        <v>820</v>
      </c>
      <c r="C73" s="198">
        <f>B71</f>
        <v>818</v>
      </c>
      <c r="D73" s="120" t="s">
        <v>1096</v>
      </c>
      <c r="E73" s="246" t="s">
        <v>1152</v>
      </c>
      <c r="F73" s="201" t="s">
        <v>1190</v>
      </c>
      <c r="G73" s="201" t="s">
        <v>1585</v>
      </c>
      <c r="H73" s="246" t="s">
        <v>3740</v>
      </c>
      <c r="I73" s="198" t="s">
        <v>3737</v>
      </c>
      <c r="J73" s="246" t="s">
        <v>3741</v>
      </c>
      <c r="K73" s="246">
        <v>2016</v>
      </c>
      <c r="L73" s="246" t="s">
        <v>3742</v>
      </c>
    </row>
    <row r="74" spans="1:12" ht="12.75">
      <c r="A74" s="198">
        <v>261</v>
      </c>
      <c r="B74" s="41">
        <v>821</v>
      </c>
      <c r="C74" s="198">
        <f>B72</f>
        <v>819</v>
      </c>
      <c r="D74" s="191" t="s">
        <v>3743</v>
      </c>
      <c r="E74" s="107" t="s">
        <v>1158</v>
      </c>
      <c r="F74" s="107" t="s">
        <v>1173</v>
      </c>
      <c r="G74" s="107" t="s">
        <v>1174</v>
      </c>
      <c r="H74" s="71" t="s">
        <v>3744</v>
      </c>
      <c r="I74" s="124">
        <v>1595</v>
      </c>
      <c r="J74" s="62" t="s">
        <v>3745</v>
      </c>
      <c r="K74" s="124">
        <v>2011</v>
      </c>
      <c r="L74" s="62" t="s">
        <v>3746</v>
      </c>
    </row>
    <row r="75" spans="1:12" ht="25.7" customHeight="1">
      <c r="A75" s="180" t="s">
        <v>112</v>
      </c>
      <c r="B75" s="41">
        <v>302</v>
      </c>
      <c r="C75" s="11"/>
      <c r="D75" s="144" t="s">
        <v>2180</v>
      </c>
      <c r="E75" s="107" t="s">
        <v>1153</v>
      </c>
      <c r="F75" s="107" t="s">
        <v>1153</v>
      </c>
      <c r="G75" s="107" t="s">
        <v>1154</v>
      </c>
      <c r="H75" s="71" t="s">
        <v>2181</v>
      </c>
      <c r="I75" s="165" t="s">
        <v>2182</v>
      </c>
      <c r="J75" s="62" t="s">
        <v>2183</v>
      </c>
      <c r="K75" s="72">
        <v>2012</v>
      </c>
      <c r="L75" s="62" t="s">
        <v>2184</v>
      </c>
    </row>
    <row r="76" spans="1:12" ht="13.15" customHeight="1">
      <c r="A76" s="180" t="s">
        <v>112</v>
      </c>
      <c r="B76" s="41">
        <v>303</v>
      </c>
      <c r="C76" s="41">
        <f>B75</f>
        <v>302</v>
      </c>
      <c r="D76" s="144" t="s">
        <v>2185</v>
      </c>
      <c r="E76" s="58" t="s">
        <v>1158</v>
      </c>
      <c r="F76" s="107" t="s">
        <v>1173</v>
      </c>
      <c r="G76" s="58" t="s">
        <v>1282</v>
      </c>
      <c r="H76" s="59" t="s">
        <v>2186</v>
      </c>
      <c r="I76" s="124">
        <v>1789</v>
      </c>
      <c r="J76" s="82" t="s">
        <v>2187</v>
      </c>
      <c r="K76" s="165">
        <v>2001</v>
      </c>
      <c r="L76" s="82" t="s">
        <v>2188</v>
      </c>
    </row>
    <row r="77" spans="1:12" ht="19.7" customHeight="1">
      <c r="A77" s="180" t="s">
        <v>112</v>
      </c>
      <c r="B77" s="41">
        <v>304</v>
      </c>
      <c r="C77" s="11">
        <f>B76</f>
        <v>303</v>
      </c>
      <c r="D77" s="144" t="s">
        <v>2189</v>
      </c>
      <c r="E77" s="79" t="s">
        <v>1158</v>
      </c>
      <c r="F77" s="107" t="s">
        <v>1173</v>
      </c>
      <c r="G77" s="107" t="s">
        <v>1174</v>
      </c>
      <c r="H77" s="68" t="s">
        <v>2190</v>
      </c>
      <c r="I77" s="124">
        <v>1800</v>
      </c>
      <c r="J77" s="82" t="s">
        <v>2191</v>
      </c>
      <c r="K77" s="165">
        <v>1869</v>
      </c>
      <c r="L77" s="82" t="s">
        <v>2192</v>
      </c>
    </row>
    <row r="78" spans="1:12" ht="19.7" customHeight="1">
      <c r="A78" s="41" t="s">
        <v>232</v>
      </c>
      <c r="B78" s="41">
        <v>369</v>
      </c>
      <c r="C78" s="11"/>
      <c r="D78" s="191" t="s">
        <v>2425</v>
      </c>
      <c r="E78" s="181" t="s">
        <v>1153</v>
      </c>
      <c r="F78" s="107" t="s">
        <v>1153</v>
      </c>
      <c r="G78" s="181" t="s">
        <v>1154</v>
      </c>
      <c r="H78" s="59" t="s">
        <v>2426</v>
      </c>
      <c r="I78" s="124" t="s">
        <v>2427</v>
      </c>
      <c r="J78" s="82" t="s">
        <v>2428</v>
      </c>
      <c r="K78" s="60">
        <v>2011</v>
      </c>
      <c r="L78" s="82" t="s">
        <v>2429</v>
      </c>
    </row>
    <row r="79" spans="1:12" ht="25.7" customHeight="1">
      <c r="A79" s="41" t="s">
        <v>232</v>
      </c>
      <c r="B79" s="41">
        <v>370</v>
      </c>
      <c r="C79" s="11">
        <f>B78</f>
        <v>369</v>
      </c>
      <c r="D79" s="191" t="s">
        <v>2425</v>
      </c>
      <c r="E79" s="181" t="s">
        <v>1152</v>
      </c>
      <c r="F79" s="107" t="s">
        <v>1169</v>
      </c>
      <c r="G79" s="107" t="s">
        <v>1170</v>
      </c>
      <c r="H79" s="59" t="s">
        <v>2430</v>
      </c>
      <c r="I79" s="124">
        <v>1074</v>
      </c>
      <c r="J79" s="181" t="s">
        <v>2431</v>
      </c>
      <c r="K79" s="60">
        <v>1788</v>
      </c>
      <c r="L79" s="82" t="s">
        <v>2432</v>
      </c>
    </row>
    <row r="80" spans="1:12" ht="13.15" customHeight="1">
      <c r="A80" s="41" t="s">
        <v>232</v>
      </c>
      <c r="B80" s="41">
        <v>371</v>
      </c>
      <c r="C80" s="11" t="str">
        <f>CONCATENATE(B79,", ",B78)</f>
        <v>370, 369</v>
      </c>
      <c r="D80" s="191" t="s">
        <v>2433</v>
      </c>
      <c r="E80" s="181" t="s">
        <v>1158</v>
      </c>
      <c r="F80" s="107" t="s">
        <v>1159</v>
      </c>
      <c r="G80" s="58" t="s">
        <v>1160</v>
      </c>
      <c r="H80" s="59" t="s">
        <v>2434</v>
      </c>
      <c r="I80" s="124" t="s">
        <v>2435</v>
      </c>
      <c r="J80" s="82" t="s">
        <v>2436</v>
      </c>
      <c r="K80" s="60">
        <v>1681</v>
      </c>
      <c r="L80" s="82" t="s">
        <v>2437</v>
      </c>
    </row>
    <row r="81" spans="1:12" ht="25.7" customHeight="1">
      <c r="A81" s="41" t="s">
        <v>232</v>
      </c>
      <c r="B81" s="41">
        <v>372</v>
      </c>
      <c r="C81" s="11">
        <f>B80</f>
        <v>371</v>
      </c>
      <c r="D81" s="191" t="s">
        <v>2438</v>
      </c>
      <c r="E81" s="181" t="s">
        <v>1158</v>
      </c>
      <c r="F81" s="107" t="s">
        <v>1159</v>
      </c>
      <c r="G81" s="107" t="s">
        <v>1160</v>
      </c>
      <c r="H81" s="59" t="s">
        <v>2439</v>
      </c>
      <c r="I81" s="124">
        <v>1498</v>
      </c>
      <c r="J81" s="82" t="s">
        <v>2440</v>
      </c>
      <c r="K81" s="124">
        <v>1687</v>
      </c>
      <c r="L81" s="82" t="s">
        <v>2441</v>
      </c>
    </row>
    <row r="82" spans="1:12" ht="12.75">
      <c r="A82" s="41" t="s">
        <v>232</v>
      </c>
      <c r="B82" s="41">
        <v>373</v>
      </c>
      <c r="C82" s="182">
        <f>B81</f>
        <v>372</v>
      </c>
      <c r="D82" s="191" t="s">
        <v>2442</v>
      </c>
      <c r="E82" s="181" t="s">
        <v>1158</v>
      </c>
      <c r="F82" s="79" t="s">
        <v>1159</v>
      </c>
      <c r="G82" s="79" t="s">
        <v>2443</v>
      </c>
      <c r="H82" s="68" t="s">
        <v>2444</v>
      </c>
      <c r="I82" s="98" t="s">
        <v>2445</v>
      </c>
      <c r="J82" s="82" t="s">
        <v>2446</v>
      </c>
      <c r="K82" s="99" t="s">
        <v>2447</v>
      </c>
      <c r="L82" s="82" t="s">
        <v>2448</v>
      </c>
    </row>
    <row r="83" spans="1:12" ht="12.75">
      <c r="A83" s="41" t="s">
        <v>232</v>
      </c>
      <c r="B83" s="41">
        <v>374</v>
      </c>
      <c r="C83" s="182">
        <f>B81</f>
        <v>372</v>
      </c>
      <c r="D83" s="191" t="s">
        <v>2449</v>
      </c>
      <c r="E83" s="181" t="s">
        <v>1158</v>
      </c>
      <c r="F83" s="79" t="s">
        <v>1159</v>
      </c>
      <c r="G83" s="107" t="s">
        <v>2443</v>
      </c>
      <c r="H83" s="68" t="s">
        <v>2450</v>
      </c>
      <c r="I83" s="98" t="s">
        <v>2451</v>
      </c>
      <c r="J83" s="82" t="s">
        <v>2452</v>
      </c>
      <c r="K83" s="61">
        <v>1910</v>
      </c>
      <c r="L83" s="82" t="s">
        <v>2453</v>
      </c>
    </row>
    <row r="84" spans="1:12" ht="12.75">
      <c r="A84" s="41" t="s">
        <v>232</v>
      </c>
      <c r="B84" s="41">
        <v>375</v>
      </c>
      <c r="C84" s="182">
        <f>B82</f>
        <v>373</v>
      </c>
      <c r="D84" s="191" t="s">
        <v>2454</v>
      </c>
      <c r="E84" s="181" t="s">
        <v>1158</v>
      </c>
      <c r="F84" s="79" t="s">
        <v>1159</v>
      </c>
      <c r="G84" s="79" t="s">
        <v>2443</v>
      </c>
      <c r="H84" s="68" t="s">
        <v>2455</v>
      </c>
      <c r="I84" s="98">
        <v>1399</v>
      </c>
      <c r="J84" s="82" t="s">
        <v>2456</v>
      </c>
      <c r="K84" s="61">
        <v>2004</v>
      </c>
      <c r="L84" s="82" t="s">
        <v>2457</v>
      </c>
    </row>
    <row r="85" spans="1:12" ht="13.15" customHeight="1">
      <c r="A85" s="41" t="s">
        <v>232</v>
      </c>
      <c r="B85" s="41">
        <v>376</v>
      </c>
      <c r="C85" s="182">
        <f>B82</f>
        <v>373</v>
      </c>
      <c r="D85" s="191" t="s">
        <v>2454</v>
      </c>
      <c r="E85" s="181" t="s">
        <v>1152</v>
      </c>
      <c r="F85" s="107" t="s">
        <v>1169</v>
      </c>
      <c r="G85" s="107" t="s">
        <v>1448</v>
      </c>
      <c r="H85" s="107" t="s">
        <v>2455</v>
      </c>
      <c r="I85" s="98">
        <v>1399</v>
      </c>
      <c r="J85" s="82" t="s">
        <v>2456</v>
      </c>
      <c r="K85" s="61">
        <v>2004</v>
      </c>
      <c r="L85" s="82" t="s">
        <v>2457</v>
      </c>
    </row>
    <row r="86" spans="1:12" ht="21" customHeight="1">
      <c r="A86" s="182" t="s">
        <v>250</v>
      </c>
      <c r="B86" s="41">
        <v>446</v>
      </c>
      <c r="C86" s="182"/>
      <c r="D86" s="191" t="s">
        <v>2664</v>
      </c>
      <c r="E86" s="107" t="s">
        <v>1153</v>
      </c>
      <c r="F86" s="181" t="s">
        <v>1153</v>
      </c>
      <c r="G86" s="191" t="s">
        <v>1186</v>
      </c>
      <c r="H86" s="107" t="s">
        <v>2665</v>
      </c>
      <c r="I86" s="98">
        <v>1775</v>
      </c>
      <c r="J86" s="82" t="s">
        <v>2666</v>
      </c>
      <c r="K86" s="124">
        <v>1999</v>
      </c>
      <c r="L86" s="107" t="s">
        <v>2667</v>
      </c>
    </row>
    <row r="87" spans="1:12" ht="13.15" customHeight="1">
      <c r="A87" s="182" t="s">
        <v>250</v>
      </c>
      <c r="B87" s="41">
        <v>447</v>
      </c>
      <c r="C87" s="182">
        <f>B86</f>
        <v>446</v>
      </c>
      <c r="D87" s="191" t="s">
        <v>2664</v>
      </c>
      <c r="E87" s="181" t="s">
        <v>1152</v>
      </c>
      <c r="F87" s="181" t="s">
        <v>1169</v>
      </c>
      <c r="G87" s="107" t="s">
        <v>1170</v>
      </c>
      <c r="H87" s="107" t="s">
        <v>2668</v>
      </c>
      <c r="I87" s="124" t="s">
        <v>1616</v>
      </c>
      <c r="J87" s="107" t="s">
        <v>2669</v>
      </c>
      <c r="K87" s="124">
        <v>2023</v>
      </c>
      <c r="L87" s="107" t="s">
        <v>2670</v>
      </c>
    </row>
    <row r="88" spans="1:12" ht="12.75">
      <c r="A88" s="182" t="s">
        <v>250</v>
      </c>
      <c r="B88" s="41">
        <v>448</v>
      </c>
      <c r="C88" s="182" t="str">
        <f>CONCATENATE(B86,", ",B87)</f>
        <v>446, 447</v>
      </c>
      <c r="D88" s="191" t="s">
        <v>2671</v>
      </c>
      <c r="E88" s="181" t="s">
        <v>1158</v>
      </c>
      <c r="F88" s="107" t="s">
        <v>1173</v>
      </c>
      <c r="G88" s="107" t="s">
        <v>1165</v>
      </c>
      <c r="H88" s="107" t="s">
        <v>2672</v>
      </c>
      <c r="I88" s="124">
        <v>1832</v>
      </c>
      <c r="J88" s="107" t="s">
        <v>2673</v>
      </c>
      <c r="K88" s="124">
        <v>2011</v>
      </c>
      <c r="L88" s="107" t="s">
        <v>2674</v>
      </c>
    </row>
    <row r="89" spans="1:12" ht="18" customHeight="1">
      <c r="A89" s="182" t="s">
        <v>250</v>
      </c>
      <c r="B89" s="41">
        <v>449</v>
      </c>
      <c r="C89" s="182" t="str">
        <f>CONCATENATE(B86,", ",B87)</f>
        <v>446, 447</v>
      </c>
      <c r="D89" s="191" t="s">
        <v>2675</v>
      </c>
      <c r="E89" s="181" t="s">
        <v>1158</v>
      </c>
      <c r="F89" s="107" t="s">
        <v>1159</v>
      </c>
      <c r="G89" s="107" t="s">
        <v>1165</v>
      </c>
      <c r="H89" s="107" t="s">
        <v>2676</v>
      </c>
      <c r="I89" s="124" t="s">
        <v>1423</v>
      </c>
      <c r="J89" s="107" t="s">
        <v>2677</v>
      </c>
      <c r="K89" s="124">
        <v>2022</v>
      </c>
      <c r="L89" s="107" t="s">
        <v>2678</v>
      </c>
    </row>
    <row r="90" spans="1:12" ht="13.15" customHeight="1">
      <c r="A90" s="182" t="s">
        <v>250</v>
      </c>
      <c r="B90" s="41">
        <v>450</v>
      </c>
      <c r="C90" s="182">
        <f>B89</f>
        <v>449</v>
      </c>
      <c r="D90" s="201" t="s">
        <v>2679</v>
      </c>
      <c r="E90" s="181" t="s">
        <v>1158</v>
      </c>
      <c r="F90" s="181" t="s">
        <v>1214</v>
      </c>
      <c r="G90" s="107" t="s">
        <v>1258</v>
      </c>
      <c r="H90" s="107" t="s">
        <v>2680</v>
      </c>
      <c r="I90" s="124">
        <v>1874</v>
      </c>
      <c r="J90" s="107" t="s">
        <v>2681</v>
      </c>
      <c r="K90" s="124">
        <v>2013</v>
      </c>
      <c r="L90" s="107" t="s">
        <v>2682</v>
      </c>
    </row>
    <row r="91" spans="1:12" ht="13.15" customHeight="1">
      <c r="A91" s="11" t="s">
        <v>250</v>
      </c>
      <c r="B91" s="41">
        <v>451</v>
      </c>
      <c r="C91" s="9">
        <f>B90</f>
        <v>450</v>
      </c>
      <c r="D91" s="191" t="s">
        <v>2683</v>
      </c>
      <c r="E91" s="181" t="s">
        <v>1158</v>
      </c>
      <c r="F91" s="79" t="s">
        <v>1173</v>
      </c>
      <c r="G91" s="79" t="s">
        <v>1165</v>
      </c>
      <c r="H91" s="59" t="s">
        <v>2684</v>
      </c>
      <c r="I91" s="72">
        <v>1954</v>
      </c>
      <c r="J91" s="107" t="s">
        <v>2685</v>
      </c>
      <c r="K91" s="114">
        <v>1967</v>
      </c>
      <c r="L91" s="63" t="s">
        <v>2686</v>
      </c>
    </row>
    <row r="92" spans="1:12" ht="13.15" customHeight="1">
      <c r="A92" s="11" t="s">
        <v>250</v>
      </c>
      <c r="B92" s="41">
        <v>452</v>
      </c>
      <c r="C92" s="11">
        <f>B90</f>
        <v>450</v>
      </c>
      <c r="D92" s="191" t="s">
        <v>2687</v>
      </c>
      <c r="E92" s="181" t="s">
        <v>1158</v>
      </c>
      <c r="F92" s="107" t="s">
        <v>1159</v>
      </c>
      <c r="G92" s="107" t="s">
        <v>1165</v>
      </c>
      <c r="H92" s="68" t="s">
        <v>2688</v>
      </c>
      <c r="I92" s="72">
        <v>1999</v>
      </c>
      <c r="J92" s="62" t="s">
        <v>2667</v>
      </c>
      <c r="K92" s="114">
        <v>2002</v>
      </c>
      <c r="L92" s="63" t="s">
        <v>2689</v>
      </c>
    </row>
    <row r="93" spans="1:12" ht="12.75">
      <c r="A93" s="180" t="s">
        <v>252</v>
      </c>
      <c r="B93" s="41">
        <v>453</v>
      </c>
      <c r="C93" s="180"/>
      <c r="D93" s="201" t="s">
        <v>2690</v>
      </c>
      <c r="E93" s="181" t="s">
        <v>1153</v>
      </c>
      <c r="F93" s="181" t="s">
        <v>1153</v>
      </c>
      <c r="G93" s="181" t="s">
        <v>1154</v>
      </c>
      <c r="H93" s="181" t="s">
        <v>2691</v>
      </c>
      <c r="I93" s="165">
        <v>1884</v>
      </c>
      <c r="J93" s="181" t="s">
        <v>2692</v>
      </c>
      <c r="K93" s="165">
        <v>2012</v>
      </c>
      <c r="L93" s="63" t="s">
        <v>2693</v>
      </c>
    </row>
    <row r="94" spans="1:12" ht="12.75">
      <c r="A94" s="180" t="s">
        <v>252</v>
      </c>
      <c r="B94" s="41">
        <v>454</v>
      </c>
      <c r="C94" s="180">
        <f>B93</f>
        <v>453</v>
      </c>
      <c r="D94" s="201" t="s">
        <v>2694</v>
      </c>
      <c r="E94" s="181" t="s">
        <v>1158</v>
      </c>
      <c r="F94" s="181" t="s">
        <v>1169</v>
      </c>
      <c r="G94" s="79" t="s">
        <v>1448</v>
      </c>
      <c r="H94" s="181" t="s">
        <v>2695</v>
      </c>
      <c r="I94" s="165">
        <v>1917</v>
      </c>
      <c r="J94" s="181" t="s">
        <v>2696</v>
      </c>
      <c r="K94" s="165">
        <v>2014</v>
      </c>
      <c r="L94" s="63" t="s">
        <v>2697</v>
      </c>
    </row>
    <row r="95" spans="1:12" ht="25.7" customHeight="1">
      <c r="A95" s="180" t="s">
        <v>252</v>
      </c>
      <c r="B95" s="41">
        <v>455</v>
      </c>
      <c r="C95" s="180">
        <f>B94</f>
        <v>454</v>
      </c>
      <c r="D95" s="201" t="s">
        <v>2698</v>
      </c>
      <c r="E95" s="181" t="s">
        <v>1158</v>
      </c>
      <c r="F95" s="107" t="s">
        <v>1214</v>
      </c>
      <c r="G95" s="246" t="s">
        <v>1247</v>
      </c>
      <c r="H95" s="246" t="s">
        <v>2699</v>
      </c>
      <c r="I95" s="246">
        <v>1917</v>
      </c>
      <c r="J95" s="246" t="s">
        <v>2700</v>
      </c>
      <c r="K95" s="246">
        <v>2014</v>
      </c>
      <c r="L95" s="246" t="s">
        <v>2701</v>
      </c>
    </row>
    <row r="96" spans="1:12" ht="25.7" customHeight="1">
      <c r="A96" s="180" t="s">
        <v>252</v>
      </c>
      <c r="B96" s="41">
        <v>456</v>
      </c>
      <c r="C96" s="198" t="str">
        <f>CONCATENATE(B94,", ",B95)</f>
        <v>454, 455</v>
      </c>
      <c r="D96" s="246" t="s">
        <v>2702</v>
      </c>
      <c r="E96" s="181" t="s">
        <v>1158</v>
      </c>
      <c r="F96" s="107" t="s">
        <v>1159</v>
      </c>
      <c r="G96" s="317" t="s">
        <v>4309</v>
      </c>
      <c r="H96" s="246" t="s">
        <v>2703</v>
      </c>
      <c r="I96" s="246">
        <v>1932</v>
      </c>
      <c r="J96" s="246" t="s">
        <v>2704</v>
      </c>
      <c r="K96" s="246">
        <v>2014</v>
      </c>
      <c r="L96" s="246" t="s">
        <v>2705</v>
      </c>
    </row>
    <row r="97" spans="1:12" ht="25.15" customHeight="1">
      <c r="A97" s="180" t="s">
        <v>252</v>
      </c>
      <c r="B97" s="41">
        <v>457</v>
      </c>
      <c r="C97" s="180">
        <f>B96</f>
        <v>456</v>
      </c>
      <c r="D97" s="201" t="s">
        <v>2706</v>
      </c>
      <c r="E97" s="181" t="s">
        <v>1152</v>
      </c>
      <c r="F97" s="181" t="s">
        <v>1169</v>
      </c>
      <c r="G97" s="181" t="s">
        <v>1367</v>
      </c>
      <c r="H97" s="181" t="s">
        <v>2707</v>
      </c>
      <c r="I97" s="165">
        <v>1933</v>
      </c>
      <c r="J97" s="181" t="s">
        <v>2708</v>
      </c>
      <c r="K97" s="165">
        <v>2019</v>
      </c>
      <c r="L97" s="62" t="s">
        <v>2709</v>
      </c>
    </row>
    <row r="98" spans="1:12" ht="12.75">
      <c r="A98" s="84" t="s">
        <v>252</v>
      </c>
      <c r="B98" s="41">
        <v>458</v>
      </c>
      <c r="C98" s="180">
        <f>B97</f>
        <v>457</v>
      </c>
      <c r="D98" s="201" t="s">
        <v>2710</v>
      </c>
      <c r="E98" s="181" t="s">
        <v>1158</v>
      </c>
      <c r="F98" s="181" t="s">
        <v>1159</v>
      </c>
      <c r="G98" s="58" t="s">
        <v>1160</v>
      </c>
      <c r="H98" s="181" t="s">
        <v>2711</v>
      </c>
      <c r="I98" s="165">
        <v>1967</v>
      </c>
      <c r="J98" s="63" t="s">
        <v>2712</v>
      </c>
      <c r="K98" s="165">
        <v>2019</v>
      </c>
      <c r="L98" s="62" t="s">
        <v>2713</v>
      </c>
    </row>
    <row r="99" spans="1:12" ht="12.75">
      <c r="A99" s="84" t="s">
        <v>252</v>
      </c>
      <c r="B99" s="41">
        <v>459</v>
      </c>
      <c r="C99" s="180">
        <f>B97</f>
        <v>457</v>
      </c>
      <c r="D99" s="201" t="s">
        <v>2714</v>
      </c>
      <c r="E99" s="181" t="s">
        <v>1158</v>
      </c>
      <c r="F99" s="181" t="s">
        <v>1159</v>
      </c>
      <c r="G99" s="58" t="s">
        <v>1160</v>
      </c>
      <c r="H99" s="181" t="s">
        <v>2715</v>
      </c>
      <c r="I99" s="165">
        <v>1996</v>
      </c>
      <c r="J99" s="181" t="s">
        <v>2716</v>
      </c>
      <c r="K99" s="165">
        <v>2013</v>
      </c>
      <c r="L99" s="62" t="s">
        <v>2717</v>
      </c>
    </row>
    <row r="100" spans="1:12" ht="13.15" customHeight="1">
      <c r="A100" s="198" t="s">
        <v>105</v>
      </c>
      <c r="B100" s="41">
        <v>285</v>
      </c>
      <c r="C100" s="198"/>
      <c r="D100" s="120" t="s">
        <v>2115</v>
      </c>
      <c r="E100" s="58" t="s">
        <v>1153</v>
      </c>
      <c r="F100" s="107" t="s">
        <v>1153</v>
      </c>
      <c r="G100" s="225" t="s">
        <v>1186</v>
      </c>
      <c r="H100" s="225" t="s">
        <v>2116</v>
      </c>
      <c r="I100" s="193">
        <v>1832</v>
      </c>
      <c r="J100" s="225" t="s">
        <v>2117</v>
      </c>
      <c r="K100" s="193">
        <v>2019</v>
      </c>
      <c r="L100" s="225" t="s">
        <v>2118</v>
      </c>
    </row>
    <row r="101" spans="1:12" ht="14.45" customHeight="1">
      <c r="A101" s="198" t="s">
        <v>105</v>
      </c>
      <c r="B101" s="41">
        <v>286</v>
      </c>
      <c r="C101" s="198">
        <f>B100</f>
        <v>285</v>
      </c>
      <c r="D101" s="120" t="s">
        <v>2119</v>
      </c>
      <c r="E101" s="58" t="s">
        <v>1158</v>
      </c>
      <c r="F101" s="58" t="s">
        <v>1214</v>
      </c>
      <c r="G101" s="225" t="s">
        <v>1239</v>
      </c>
      <c r="H101" s="225" t="s">
        <v>2120</v>
      </c>
      <c r="I101" s="193">
        <v>1887</v>
      </c>
      <c r="J101" s="225" t="s">
        <v>2121</v>
      </c>
      <c r="K101" s="193">
        <v>2016</v>
      </c>
      <c r="L101" s="225" t="s">
        <v>2122</v>
      </c>
    </row>
    <row r="102" spans="1:12" ht="13.15" customHeight="1">
      <c r="A102" s="198" t="s">
        <v>105</v>
      </c>
      <c r="B102" s="41">
        <v>287</v>
      </c>
      <c r="C102" s="198">
        <f>B101</f>
        <v>286</v>
      </c>
      <c r="D102" s="120" t="s">
        <v>106</v>
      </c>
      <c r="E102" s="58" t="s">
        <v>1152</v>
      </c>
      <c r="F102" s="107" t="s">
        <v>1208</v>
      </c>
      <c r="G102" s="225" t="s">
        <v>1209</v>
      </c>
      <c r="H102" s="225" t="s">
        <v>2123</v>
      </c>
      <c r="I102" s="193">
        <v>1930</v>
      </c>
      <c r="J102" s="225" t="s">
        <v>2124</v>
      </c>
      <c r="K102" s="193">
        <v>2012</v>
      </c>
      <c r="L102" s="225" t="s">
        <v>2125</v>
      </c>
    </row>
    <row r="103" spans="1:12" ht="12.75">
      <c r="A103" s="23" t="s">
        <v>105</v>
      </c>
      <c r="B103" s="41">
        <v>288</v>
      </c>
      <c r="C103" s="198">
        <f>B101</f>
        <v>286</v>
      </c>
      <c r="D103" s="120" t="s">
        <v>2126</v>
      </c>
      <c r="E103" s="107" t="s">
        <v>1158</v>
      </c>
      <c r="F103" s="107" t="s">
        <v>1173</v>
      </c>
      <c r="G103" s="74" t="s">
        <v>1174</v>
      </c>
      <c r="H103" s="75" t="s">
        <v>2127</v>
      </c>
      <c r="I103" s="76">
        <v>1997</v>
      </c>
      <c r="J103" s="77" t="s">
        <v>2128</v>
      </c>
      <c r="K103" s="78">
        <v>2013</v>
      </c>
      <c r="L103" s="77" t="s">
        <v>2129</v>
      </c>
    </row>
    <row r="104" spans="1:12" ht="12.75">
      <c r="A104" s="23" t="s">
        <v>105</v>
      </c>
      <c r="B104" s="41">
        <v>289</v>
      </c>
      <c r="C104" s="198">
        <f>B103</f>
        <v>288</v>
      </c>
      <c r="D104" s="120" t="s">
        <v>2130</v>
      </c>
      <c r="E104" s="107" t="s">
        <v>1158</v>
      </c>
      <c r="F104" s="107" t="s">
        <v>1173</v>
      </c>
      <c r="G104" s="74" t="s">
        <v>1371</v>
      </c>
      <c r="H104" s="75" t="s">
        <v>2131</v>
      </c>
      <c r="I104" s="76">
        <v>1998</v>
      </c>
      <c r="J104" s="77" t="s">
        <v>2132</v>
      </c>
      <c r="K104" s="78" t="s">
        <v>2133</v>
      </c>
      <c r="L104" s="77" t="s">
        <v>2134</v>
      </c>
    </row>
    <row r="105" spans="1:12" ht="12.6" customHeight="1">
      <c r="A105" s="182" t="s">
        <v>70</v>
      </c>
      <c r="B105" s="41">
        <v>82</v>
      </c>
      <c r="C105" s="9"/>
      <c r="D105" s="93" t="s">
        <v>1455</v>
      </c>
      <c r="E105" s="107" t="s">
        <v>1153</v>
      </c>
      <c r="F105" s="203" t="s">
        <v>1153</v>
      </c>
      <c r="G105" s="107" t="s">
        <v>1154</v>
      </c>
      <c r="H105" s="107" t="s">
        <v>1456</v>
      </c>
      <c r="I105" s="111" t="s">
        <v>1457</v>
      </c>
      <c r="J105" s="107" t="s">
        <v>1458</v>
      </c>
      <c r="K105" s="111">
        <v>2002</v>
      </c>
      <c r="L105" s="107" t="s">
        <v>1459</v>
      </c>
    </row>
    <row r="106" spans="1:12" ht="12.6" customHeight="1">
      <c r="A106" s="182" t="s">
        <v>70</v>
      </c>
      <c r="B106" s="41">
        <v>83</v>
      </c>
      <c r="C106" s="9">
        <f>B105</f>
        <v>82</v>
      </c>
      <c r="D106" s="93" t="s">
        <v>1455</v>
      </c>
      <c r="E106" s="107" t="s">
        <v>1158</v>
      </c>
      <c r="F106" s="203" t="s">
        <v>1169</v>
      </c>
      <c r="G106" s="107" t="s">
        <v>1367</v>
      </c>
      <c r="H106" s="107" t="s">
        <v>1460</v>
      </c>
      <c r="I106" s="111">
        <v>1863</v>
      </c>
      <c r="J106" s="107" t="s">
        <v>1461</v>
      </c>
      <c r="K106" s="124">
        <v>2013</v>
      </c>
      <c r="L106" s="107" t="s">
        <v>1462</v>
      </c>
    </row>
    <row r="107" spans="1:12" ht="12.6" customHeight="1">
      <c r="A107" s="182" t="s">
        <v>70</v>
      </c>
      <c r="B107" s="41">
        <v>84</v>
      </c>
      <c r="C107" s="9">
        <f>B106</f>
        <v>83</v>
      </c>
      <c r="D107" s="93" t="s">
        <v>1463</v>
      </c>
      <c r="E107" s="107" t="s">
        <v>1152</v>
      </c>
      <c r="F107" s="203" t="s">
        <v>1190</v>
      </c>
      <c r="G107" s="107" t="s">
        <v>1232</v>
      </c>
      <c r="H107" s="107" t="s">
        <v>1464</v>
      </c>
      <c r="I107" s="111" t="s">
        <v>1465</v>
      </c>
      <c r="J107" s="107" t="s">
        <v>1466</v>
      </c>
      <c r="K107" s="124">
        <v>2012</v>
      </c>
      <c r="L107" s="107" t="s">
        <v>1467</v>
      </c>
    </row>
    <row r="108" spans="1:12" ht="12.6" customHeight="1">
      <c r="A108" s="182" t="s">
        <v>70</v>
      </c>
      <c r="B108" s="41">
        <v>85</v>
      </c>
      <c r="C108" s="9">
        <f>B106</f>
        <v>83</v>
      </c>
      <c r="D108" s="93" t="s">
        <v>1455</v>
      </c>
      <c r="E108" s="107" t="s">
        <v>1152</v>
      </c>
      <c r="F108" s="203" t="s">
        <v>1208</v>
      </c>
      <c r="G108" s="115" t="s">
        <v>1468</v>
      </c>
      <c r="H108" s="107" t="s">
        <v>1469</v>
      </c>
      <c r="I108" s="111" t="s">
        <v>1465</v>
      </c>
      <c r="J108" s="107" t="s">
        <v>1466</v>
      </c>
      <c r="K108" s="124">
        <v>2012</v>
      </c>
      <c r="L108" s="107" t="s">
        <v>1467</v>
      </c>
    </row>
    <row r="109" spans="1:12" ht="12.6" customHeight="1">
      <c r="A109" s="182" t="s">
        <v>70</v>
      </c>
      <c r="B109" s="41">
        <v>86</v>
      </c>
      <c r="C109" s="9">
        <f>B106</f>
        <v>83</v>
      </c>
      <c r="D109" s="93" t="s">
        <v>1455</v>
      </c>
      <c r="E109" s="107" t="s">
        <v>1152</v>
      </c>
      <c r="F109" s="203" t="s">
        <v>1169</v>
      </c>
      <c r="G109" s="107" t="s">
        <v>1297</v>
      </c>
      <c r="H109" s="107" t="s">
        <v>1470</v>
      </c>
      <c r="I109" s="111" t="s">
        <v>1465</v>
      </c>
      <c r="J109" s="107" t="s">
        <v>1466</v>
      </c>
      <c r="K109" s="124">
        <v>2012</v>
      </c>
      <c r="L109" s="107" t="s">
        <v>1467</v>
      </c>
    </row>
    <row r="110" spans="1:12" ht="12.6" customHeight="1">
      <c r="A110" s="182" t="s">
        <v>70</v>
      </c>
      <c r="B110" s="41">
        <v>87</v>
      </c>
      <c r="C110" s="9">
        <f>B106</f>
        <v>83</v>
      </c>
      <c r="D110" s="19" t="s">
        <v>1471</v>
      </c>
      <c r="E110" s="107" t="s">
        <v>1158</v>
      </c>
      <c r="F110" s="203" t="s">
        <v>1173</v>
      </c>
      <c r="G110" s="115" t="s">
        <v>1472</v>
      </c>
      <c r="H110" s="107" t="s">
        <v>1473</v>
      </c>
      <c r="I110" s="111" t="s">
        <v>1474</v>
      </c>
      <c r="J110" s="107" t="s">
        <v>1475</v>
      </c>
      <c r="K110" s="111">
        <v>2003</v>
      </c>
      <c r="L110" s="107" t="s">
        <v>1476</v>
      </c>
    </row>
    <row r="111" spans="1:12" ht="12.75">
      <c r="A111" s="23" t="s">
        <v>206</v>
      </c>
      <c r="B111" s="41">
        <v>743</v>
      </c>
      <c r="C111" s="9"/>
      <c r="D111" s="191" t="s">
        <v>3496</v>
      </c>
      <c r="E111" s="191" t="s">
        <v>1153</v>
      </c>
      <c r="F111" s="191" t="s">
        <v>1153</v>
      </c>
      <c r="G111" s="191" t="s">
        <v>3497</v>
      </c>
      <c r="H111" s="191" t="s">
        <v>3498</v>
      </c>
      <c r="I111" s="191" t="s">
        <v>2797</v>
      </c>
      <c r="J111" s="191" t="s">
        <v>3499</v>
      </c>
      <c r="K111" s="182">
        <v>2002</v>
      </c>
      <c r="L111" s="191" t="s">
        <v>3500</v>
      </c>
    </row>
    <row r="112" spans="1:12" ht="12.75">
      <c r="A112" s="23" t="s">
        <v>206</v>
      </c>
      <c r="B112" s="41">
        <v>744</v>
      </c>
      <c r="C112" s="11">
        <f>B111</f>
        <v>743</v>
      </c>
      <c r="D112" s="191" t="s">
        <v>3496</v>
      </c>
      <c r="E112" s="191" t="s">
        <v>1152</v>
      </c>
      <c r="F112" s="191" t="s">
        <v>1169</v>
      </c>
      <c r="G112" s="191" t="s">
        <v>1170</v>
      </c>
      <c r="H112" s="191" t="s">
        <v>3501</v>
      </c>
      <c r="I112" s="191" t="s">
        <v>3502</v>
      </c>
      <c r="J112" s="191" t="s">
        <v>3503</v>
      </c>
      <c r="K112" s="182">
        <v>2019</v>
      </c>
      <c r="L112" s="191" t="s">
        <v>3504</v>
      </c>
    </row>
    <row r="113" spans="1:12" ht="12.75">
      <c r="A113" s="23" t="s">
        <v>206</v>
      </c>
      <c r="B113" s="41">
        <v>745</v>
      </c>
      <c r="C113" s="9">
        <f>B112</f>
        <v>744</v>
      </c>
      <c r="D113" s="191" t="s">
        <v>3505</v>
      </c>
      <c r="E113" s="191" t="s">
        <v>1158</v>
      </c>
      <c r="F113" s="191" t="s">
        <v>1173</v>
      </c>
      <c r="G113" s="191" t="s">
        <v>1174</v>
      </c>
      <c r="H113" s="191" t="s">
        <v>3506</v>
      </c>
      <c r="I113" s="191" t="s">
        <v>2844</v>
      </c>
      <c r="J113" s="191" t="s">
        <v>3507</v>
      </c>
      <c r="K113" s="182">
        <v>1993</v>
      </c>
      <c r="L113" s="191" t="s">
        <v>3508</v>
      </c>
    </row>
    <row r="114" spans="1:12" ht="12.75">
      <c r="A114" s="23" t="s">
        <v>206</v>
      </c>
      <c r="B114" s="41">
        <v>746</v>
      </c>
      <c r="C114" s="9">
        <f>B113</f>
        <v>745</v>
      </c>
      <c r="D114" s="191" t="s">
        <v>3509</v>
      </c>
      <c r="E114" s="191" t="s">
        <v>1152</v>
      </c>
      <c r="F114" s="191" t="s">
        <v>1169</v>
      </c>
      <c r="G114" s="191" t="s">
        <v>1367</v>
      </c>
      <c r="H114" s="191" t="s">
        <v>3510</v>
      </c>
      <c r="I114" s="182">
        <v>1886</v>
      </c>
      <c r="J114" s="191" t="s">
        <v>3511</v>
      </c>
      <c r="K114" s="182">
        <v>2012</v>
      </c>
      <c r="L114" s="191" t="s">
        <v>3512</v>
      </c>
    </row>
    <row r="115" spans="1:12" ht="20.25" customHeight="1">
      <c r="A115" s="182" t="s">
        <v>272</v>
      </c>
      <c r="B115" s="41">
        <v>497</v>
      </c>
      <c r="C115" s="121"/>
      <c r="D115" s="191" t="s">
        <v>273</v>
      </c>
      <c r="E115" s="107" t="s">
        <v>1153</v>
      </c>
      <c r="F115" s="107" t="s">
        <v>1153</v>
      </c>
      <c r="G115" s="107" t="s">
        <v>1154</v>
      </c>
      <c r="H115" s="107" t="s">
        <v>2817</v>
      </c>
      <c r="I115" s="124" t="s">
        <v>2313</v>
      </c>
      <c r="J115" s="107" t="s">
        <v>2818</v>
      </c>
      <c r="K115" s="124">
        <v>2019</v>
      </c>
      <c r="L115" s="107" t="s">
        <v>2819</v>
      </c>
    </row>
    <row r="116" spans="1:12" ht="13.15" customHeight="1">
      <c r="A116" s="182" t="s">
        <v>272</v>
      </c>
      <c r="B116" s="41">
        <v>498</v>
      </c>
      <c r="C116" s="121">
        <f>B115</f>
        <v>497</v>
      </c>
      <c r="D116" s="201" t="s">
        <v>273</v>
      </c>
      <c r="E116" s="107" t="s">
        <v>1152</v>
      </c>
      <c r="F116" s="107" t="s">
        <v>1208</v>
      </c>
      <c r="G116" s="107" t="s">
        <v>1209</v>
      </c>
      <c r="H116" s="107" t="s">
        <v>2820</v>
      </c>
      <c r="I116" s="124">
        <v>1812</v>
      </c>
      <c r="J116" s="107" t="s">
        <v>2821</v>
      </c>
      <c r="K116" s="124">
        <v>2012</v>
      </c>
      <c r="L116" s="107" t="s">
        <v>2822</v>
      </c>
    </row>
    <row r="117" spans="1:12" ht="13.15" customHeight="1">
      <c r="A117" s="182" t="s">
        <v>272</v>
      </c>
      <c r="B117" s="41">
        <v>499</v>
      </c>
      <c r="C117" s="182">
        <f>B116</f>
        <v>498</v>
      </c>
      <c r="D117" s="191" t="s">
        <v>824</v>
      </c>
      <c r="E117" s="107" t="s">
        <v>1158</v>
      </c>
      <c r="F117" s="107" t="s">
        <v>1173</v>
      </c>
      <c r="G117" s="107" t="s">
        <v>1174</v>
      </c>
      <c r="H117" s="107" t="s">
        <v>2823</v>
      </c>
      <c r="I117" s="124">
        <v>1755</v>
      </c>
      <c r="J117" s="107" t="s">
        <v>2824</v>
      </c>
      <c r="K117" s="124">
        <v>2017</v>
      </c>
      <c r="L117" s="107" t="s">
        <v>2825</v>
      </c>
    </row>
    <row r="118" spans="1:12" ht="18.75" customHeight="1">
      <c r="A118" s="41" t="s">
        <v>272</v>
      </c>
      <c r="B118" s="41">
        <v>500</v>
      </c>
      <c r="C118" s="41">
        <f>B117</f>
        <v>499</v>
      </c>
      <c r="D118" s="191" t="s">
        <v>2826</v>
      </c>
      <c r="E118" s="58" t="s">
        <v>1158</v>
      </c>
      <c r="F118" s="58" t="s">
        <v>1173</v>
      </c>
      <c r="G118" s="107" t="s">
        <v>1282</v>
      </c>
      <c r="H118" s="59" t="s">
        <v>2827</v>
      </c>
      <c r="I118" s="60">
        <v>1774</v>
      </c>
      <c r="J118" s="82" t="s">
        <v>2828</v>
      </c>
      <c r="K118" s="60">
        <v>2017</v>
      </c>
      <c r="L118" s="82" t="s">
        <v>2829</v>
      </c>
    </row>
    <row r="119" spans="1:12" ht="13.15" customHeight="1">
      <c r="A119" s="41" t="s">
        <v>272</v>
      </c>
      <c r="B119" s="41">
        <v>501</v>
      </c>
      <c r="C119" s="41">
        <f>B118</f>
        <v>500</v>
      </c>
      <c r="D119" s="191" t="s">
        <v>2830</v>
      </c>
      <c r="E119" s="58" t="s">
        <v>1158</v>
      </c>
      <c r="F119" s="58" t="s">
        <v>1173</v>
      </c>
      <c r="G119" s="107" t="s">
        <v>1282</v>
      </c>
      <c r="H119" s="59" t="s">
        <v>2831</v>
      </c>
      <c r="I119" s="60">
        <v>1775</v>
      </c>
      <c r="J119" s="82" t="s">
        <v>2832</v>
      </c>
      <c r="K119" s="60">
        <v>2013</v>
      </c>
      <c r="L119" s="63" t="s">
        <v>2833</v>
      </c>
    </row>
    <row r="120" spans="1:12" ht="13.15" customHeight="1">
      <c r="A120" s="41" t="s">
        <v>272</v>
      </c>
      <c r="B120" s="41">
        <v>502</v>
      </c>
      <c r="C120" s="11">
        <f>B122</f>
        <v>504</v>
      </c>
      <c r="D120" s="191" t="s">
        <v>2834</v>
      </c>
      <c r="E120" s="58" t="s">
        <v>1158</v>
      </c>
      <c r="F120" s="58" t="s">
        <v>1173</v>
      </c>
      <c r="G120" s="58" t="s">
        <v>1282</v>
      </c>
      <c r="H120" s="59" t="s">
        <v>2835</v>
      </c>
      <c r="I120" s="60">
        <v>1967</v>
      </c>
      <c r="J120" s="82" t="s">
        <v>2836</v>
      </c>
      <c r="K120" s="60">
        <v>2016</v>
      </c>
      <c r="L120" s="82" t="s">
        <v>2837</v>
      </c>
    </row>
    <row r="121" spans="1:12" ht="13.15" customHeight="1">
      <c r="A121" s="41" t="s">
        <v>272</v>
      </c>
      <c r="B121" s="41">
        <v>503</v>
      </c>
      <c r="C121" s="41">
        <f>B120</f>
        <v>502</v>
      </c>
      <c r="D121" s="191" t="s">
        <v>2838</v>
      </c>
      <c r="E121" s="58" t="s">
        <v>1158</v>
      </c>
      <c r="F121" s="58" t="s">
        <v>1173</v>
      </c>
      <c r="G121" s="58" t="s">
        <v>1282</v>
      </c>
      <c r="H121" s="59" t="s">
        <v>2839</v>
      </c>
      <c r="I121" s="60">
        <v>2003</v>
      </c>
      <c r="J121" s="107" t="s">
        <v>2840</v>
      </c>
      <c r="K121" s="60">
        <v>2016</v>
      </c>
      <c r="L121" s="82" t="s">
        <v>2841</v>
      </c>
    </row>
    <row r="122" spans="1:12" ht="13.15" customHeight="1">
      <c r="A122" s="11" t="s">
        <v>272</v>
      </c>
      <c r="B122" s="41">
        <v>504</v>
      </c>
      <c r="C122" s="11">
        <f>B119</f>
        <v>501</v>
      </c>
      <c r="D122" s="191" t="s">
        <v>2842</v>
      </c>
      <c r="E122" s="58" t="s">
        <v>1158</v>
      </c>
      <c r="F122" s="58" t="s">
        <v>1173</v>
      </c>
      <c r="G122" s="58" t="s">
        <v>1282</v>
      </c>
      <c r="H122" s="59" t="s">
        <v>2843</v>
      </c>
      <c r="I122" s="72" t="s">
        <v>2844</v>
      </c>
      <c r="J122" s="107" t="s">
        <v>2845</v>
      </c>
      <c r="K122" s="60">
        <v>2013</v>
      </c>
      <c r="L122" s="82" t="s">
        <v>2846</v>
      </c>
    </row>
    <row r="123" spans="1:12" ht="13.15" customHeight="1">
      <c r="A123" s="11" t="s">
        <v>272</v>
      </c>
      <c r="B123" s="41">
        <v>505</v>
      </c>
      <c r="C123" s="11">
        <f>B116</f>
        <v>498</v>
      </c>
      <c r="D123" s="191" t="s">
        <v>2847</v>
      </c>
      <c r="E123" s="58" t="s">
        <v>1158</v>
      </c>
      <c r="F123" s="58" t="s">
        <v>1173</v>
      </c>
      <c r="G123" s="58" t="s">
        <v>1472</v>
      </c>
      <c r="H123" s="59" t="s">
        <v>2848</v>
      </c>
      <c r="I123" s="72">
        <v>1766</v>
      </c>
      <c r="J123" s="107" t="s">
        <v>2849</v>
      </c>
      <c r="K123" s="60">
        <v>2017</v>
      </c>
      <c r="L123" s="82" t="s">
        <v>2850</v>
      </c>
    </row>
    <row r="124" spans="1:12" ht="13.15" customHeight="1">
      <c r="A124" s="11" t="s">
        <v>272</v>
      </c>
      <c r="B124" s="41">
        <v>506</v>
      </c>
      <c r="C124" s="11">
        <f>B116</f>
        <v>498</v>
      </c>
      <c r="D124" s="191" t="s">
        <v>2851</v>
      </c>
      <c r="E124" s="58" t="s">
        <v>1158</v>
      </c>
      <c r="F124" s="58" t="s">
        <v>1173</v>
      </c>
      <c r="G124" s="58" t="s">
        <v>1472</v>
      </c>
      <c r="H124" s="59" t="s">
        <v>2852</v>
      </c>
      <c r="I124" s="72">
        <v>1860</v>
      </c>
      <c r="J124" s="82" t="s">
        <v>2853</v>
      </c>
      <c r="K124" s="60">
        <v>2018</v>
      </c>
      <c r="L124" s="107" t="s">
        <v>2854</v>
      </c>
    </row>
    <row r="125" spans="1:12" ht="15" customHeight="1">
      <c r="A125" s="198" t="s">
        <v>312</v>
      </c>
      <c r="B125" s="41">
        <v>584</v>
      </c>
      <c r="C125" s="180"/>
      <c r="D125" s="179" t="s">
        <v>3074</v>
      </c>
      <c r="E125" s="181" t="s">
        <v>1153</v>
      </c>
      <c r="F125" s="181" t="s">
        <v>1153</v>
      </c>
      <c r="G125" s="181" t="s">
        <v>1186</v>
      </c>
      <c r="H125" s="181" t="s">
        <v>3075</v>
      </c>
      <c r="I125" s="165">
        <v>1782</v>
      </c>
      <c r="J125" s="181" t="s">
        <v>3076</v>
      </c>
      <c r="K125" s="165">
        <v>2014</v>
      </c>
      <c r="L125" s="181" t="s">
        <v>3077</v>
      </c>
    </row>
    <row r="126" spans="1:12" ht="14.45" customHeight="1">
      <c r="A126" s="198" t="s">
        <v>312</v>
      </c>
      <c r="B126" s="41">
        <v>585</v>
      </c>
      <c r="C126" s="180">
        <f>B125</f>
        <v>584</v>
      </c>
      <c r="D126" s="206" t="s">
        <v>313</v>
      </c>
      <c r="E126" s="181" t="s">
        <v>1158</v>
      </c>
      <c r="F126" s="181" t="s">
        <v>1159</v>
      </c>
      <c r="G126" s="317" t="s">
        <v>4309</v>
      </c>
      <c r="H126" s="181" t="s">
        <v>3078</v>
      </c>
      <c r="I126" s="165">
        <v>1833</v>
      </c>
      <c r="J126" s="181" t="s">
        <v>3079</v>
      </c>
      <c r="K126" s="165">
        <v>2020</v>
      </c>
      <c r="L126" s="181" t="s">
        <v>3080</v>
      </c>
    </row>
    <row r="127" spans="1:12" ht="12.75">
      <c r="A127" s="198" t="s">
        <v>312</v>
      </c>
      <c r="B127" s="41">
        <v>586</v>
      </c>
      <c r="C127" s="180">
        <f>B125</f>
        <v>584</v>
      </c>
      <c r="D127" s="206" t="s">
        <v>3081</v>
      </c>
      <c r="E127" s="181" t="s">
        <v>1158</v>
      </c>
      <c r="F127" s="181" t="s">
        <v>1159</v>
      </c>
      <c r="G127" s="181" t="s">
        <v>1165</v>
      </c>
      <c r="H127" s="181" t="s">
        <v>3082</v>
      </c>
      <c r="I127" s="165">
        <v>1899</v>
      </c>
      <c r="J127" s="181" t="s">
        <v>3083</v>
      </c>
      <c r="K127" s="165">
        <v>1970</v>
      </c>
      <c r="L127" s="181" t="s">
        <v>3084</v>
      </c>
    </row>
    <row r="128" spans="1:12" ht="13.15" customHeight="1">
      <c r="A128" s="198" t="s">
        <v>312</v>
      </c>
      <c r="B128" s="41">
        <v>587</v>
      </c>
      <c r="C128" s="180">
        <f>B125</f>
        <v>584</v>
      </c>
      <c r="D128" s="206" t="s">
        <v>3085</v>
      </c>
      <c r="E128" s="181" t="s">
        <v>1158</v>
      </c>
      <c r="F128" s="181" t="s">
        <v>1159</v>
      </c>
      <c r="G128" s="317" t="s">
        <v>4309</v>
      </c>
      <c r="H128" s="181" t="s">
        <v>3086</v>
      </c>
      <c r="I128" s="165">
        <v>1928</v>
      </c>
      <c r="J128" s="181" t="s">
        <v>3087</v>
      </c>
      <c r="K128" s="165">
        <v>2015</v>
      </c>
      <c r="L128" s="181" t="s">
        <v>3088</v>
      </c>
    </row>
    <row r="129" spans="1:12" ht="25.7" customHeight="1">
      <c r="A129" s="198" t="s">
        <v>325</v>
      </c>
      <c r="B129" s="41">
        <v>622</v>
      </c>
      <c r="C129" s="11"/>
      <c r="D129" s="188" t="s">
        <v>3168</v>
      </c>
      <c r="E129" s="58" t="s">
        <v>1153</v>
      </c>
      <c r="F129" s="58" t="s">
        <v>1153</v>
      </c>
      <c r="G129" s="107" t="s">
        <v>1154</v>
      </c>
      <c r="H129" s="59" t="s">
        <v>3169</v>
      </c>
      <c r="I129" s="60">
        <v>1824</v>
      </c>
      <c r="J129" s="63" t="s">
        <v>3170</v>
      </c>
      <c r="K129" s="60">
        <v>2022</v>
      </c>
      <c r="L129" s="181" t="s">
        <v>3171</v>
      </c>
    </row>
    <row r="130" spans="1:12" ht="12.75">
      <c r="A130" s="198" t="s">
        <v>325</v>
      </c>
      <c r="B130" s="41">
        <v>623</v>
      </c>
      <c r="C130" s="180">
        <f>B129</f>
        <v>622</v>
      </c>
      <c r="D130" s="191" t="s">
        <v>3172</v>
      </c>
      <c r="E130" s="58" t="s">
        <v>1152</v>
      </c>
      <c r="F130" s="58" t="s">
        <v>1190</v>
      </c>
      <c r="G130" s="58" t="s">
        <v>1228</v>
      </c>
      <c r="H130" s="59" t="s">
        <v>3173</v>
      </c>
      <c r="I130" s="60">
        <v>1849</v>
      </c>
      <c r="J130" s="149" t="s">
        <v>3174</v>
      </c>
      <c r="K130" s="60">
        <v>2013</v>
      </c>
      <c r="L130" s="149" t="s">
        <v>3175</v>
      </c>
    </row>
    <row r="131" spans="1:12" ht="12.75">
      <c r="A131" s="198" t="s">
        <v>325</v>
      </c>
      <c r="B131" s="41">
        <v>624</v>
      </c>
      <c r="C131" s="180">
        <f>B129</f>
        <v>622</v>
      </c>
      <c r="D131" s="191" t="s">
        <v>3176</v>
      </c>
      <c r="E131" s="58" t="s">
        <v>1152</v>
      </c>
      <c r="F131" s="58" t="s">
        <v>1190</v>
      </c>
      <c r="G131" s="58" t="s">
        <v>1232</v>
      </c>
      <c r="H131" s="59" t="s">
        <v>3177</v>
      </c>
      <c r="I131" s="60">
        <v>1849</v>
      </c>
      <c r="J131" s="149" t="s">
        <v>3178</v>
      </c>
      <c r="K131" s="60" t="s">
        <v>2256</v>
      </c>
      <c r="L131" s="149" t="s">
        <v>3179</v>
      </c>
    </row>
    <row r="132" spans="1:12" ht="12.75">
      <c r="A132" s="41" t="s">
        <v>108</v>
      </c>
      <c r="B132" s="41">
        <v>134</v>
      </c>
      <c r="C132" s="11"/>
      <c r="D132" s="10" t="s">
        <v>1633</v>
      </c>
      <c r="E132" s="58" t="s">
        <v>1153</v>
      </c>
      <c r="F132" s="124" t="s">
        <v>1153</v>
      </c>
      <c r="G132" s="58" t="s">
        <v>1154</v>
      </c>
      <c r="H132" s="225" t="s">
        <v>1634</v>
      </c>
      <c r="I132" s="156">
        <v>1766</v>
      </c>
      <c r="J132" s="125" t="s">
        <v>1635</v>
      </c>
      <c r="K132" s="156">
        <v>2019</v>
      </c>
      <c r="L132" s="125" t="s">
        <v>1636</v>
      </c>
    </row>
    <row r="133" spans="1:12" ht="19.7" customHeight="1">
      <c r="A133" s="41" t="s">
        <v>108</v>
      </c>
      <c r="B133" s="41">
        <v>135</v>
      </c>
      <c r="C133" s="11"/>
      <c r="D133" s="10" t="s">
        <v>1633</v>
      </c>
      <c r="E133" s="191" t="s">
        <v>1152</v>
      </c>
      <c r="F133" s="315" t="s">
        <v>1190</v>
      </c>
      <c r="G133" s="58" t="s">
        <v>1585</v>
      </c>
      <c r="H133" s="125" t="s">
        <v>1637</v>
      </c>
      <c r="I133" s="156">
        <v>1766</v>
      </c>
      <c r="J133" s="125" t="s">
        <v>1635</v>
      </c>
      <c r="K133" s="156">
        <v>2019</v>
      </c>
      <c r="L133" s="125" t="s">
        <v>1636</v>
      </c>
    </row>
    <row r="134" spans="1:12" ht="25.5">
      <c r="A134" s="41" t="s">
        <v>108</v>
      </c>
      <c r="B134" s="41">
        <v>136</v>
      </c>
      <c r="C134" s="11">
        <f>B133</f>
        <v>135</v>
      </c>
      <c r="D134" s="10" t="s">
        <v>1638</v>
      </c>
      <c r="E134" s="58" t="s">
        <v>1158</v>
      </c>
      <c r="F134" s="58" t="s">
        <v>1173</v>
      </c>
      <c r="G134" s="64" t="s">
        <v>1174</v>
      </c>
      <c r="H134" s="59" t="s">
        <v>1639</v>
      </c>
      <c r="I134" s="60">
        <v>1835</v>
      </c>
      <c r="J134" s="63" t="s">
        <v>1640</v>
      </c>
      <c r="K134" s="60">
        <v>2014</v>
      </c>
      <c r="L134" s="63" t="s">
        <v>1641</v>
      </c>
    </row>
    <row r="135" spans="1:12" ht="25.15" customHeight="1">
      <c r="A135" s="41" t="s">
        <v>108</v>
      </c>
      <c r="B135" s="41">
        <v>137</v>
      </c>
      <c r="C135" s="11">
        <f>B134</f>
        <v>136</v>
      </c>
      <c r="D135" s="10" t="s">
        <v>1642</v>
      </c>
      <c r="E135" s="58" t="s">
        <v>1152</v>
      </c>
      <c r="F135" s="58" t="s">
        <v>1169</v>
      </c>
      <c r="G135" s="107" t="s">
        <v>1202</v>
      </c>
      <c r="H135" s="59" t="s">
        <v>1643</v>
      </c>
      <c r="I135" s="60">
        <v>1901</v>
      </c>
      <c r="J135" s="63" t="s">
        <v>1644</v>
      </c>
      <c r="K135" s="60">
        <v>2014</v>
      </c>
      <c r="L135" s="63" t="s">
        <v>1645</v>
      </c>
    </row>
    <row r="136" spans="1:12" ht="25.15" customHeight="1">
      <c r="A136" s="41" t="s">
        <v>108</v>
      </c>
      <c r="B136" s="41">
        <v>138</v>
      </c>
      <c r="C136" s="11">
        <f>B135</f>
        <v>137</v>
      </c>
      <c r="D136" s="10" t="s">
        <v>1633</v>
      </c>
      <c r="E136" s="191" t="s">
        <v>1152</v>
      </c>
      <c r="F136" s="315" t="s">
        <v>1190</v>
      </c>
      <c r="G136" s="64" t="s">
        <v>1191</v>
      </c>
      <c r="H136" s="59" t="s">
        <v>1646</v>
      </c>
      <c r="I136" s="60">
        <v>1969</v>
      </c>
      <c r="J136" s="63" t="s">
        <v>1647</v>
      </c>
      <c r="K136" s="60">
        <v>2018</v>
      </c>
      <c r="L136" s="63" t="s">
        <v>1648</v>
      </c>
    </row>
    <row r="137" spans="1:12" ht="25.15" customHeight="1">
      <c r="A137" s="41" t="s">
        <v>108</v>
      </c>
      <c r="B137" s="41">
        <v>139</v>
      </c>
      <c r="C137" s="11" t="str">
        <f>CONCATENATE(B132,", ",B133)</f>
        <v>134, 135</v>
      </c>
      <c r="D137" s="10" t="s">
        <v>506</v>
      </c>
      <c r="E137" s="58" t="s">
        <v>1158</v>
      </c>
      <c r="F137" s="58" t="s">
        <v>1159</v>
      </c>
      <c r="G137" s="107" t="s">
        <v>1395</v>
      </c>
      <c r="H137" s="59" t="s">
        <v>1649</v>
      </c>
      <c r="I137" s="60">
        <v>1829</v>
      </c>
      <c r="J137" s="63" t="s">
        <v>1650</v>
      </c>
      <c r="K137" s="60">
        <v>2019</v>
      </c>
      <c r="L137" s="63" t="s">
        <v>1651</v>
      </c>
    </row>
    <row r="138" spans="1:12" ht="12.6" customHeight="1">
      <c r="A138" s="41" t="s">
        <v>108</v>
      </c>
      <c r="B138" s="41">
        <v>140</v>
      </c>
      <c r="C138" s="11">
        <f>B137</f>
        <v>139</v>
      </c>
      <c r="D138" s="138" t="s">
        <v>506</v>
      </c>
      <c r="E138" s="191" t="s">
        <v>1152</v>
      </c>
      <c r="F138" s="315" t="s">
        <v>1190</v>
      </c>
      <c r="G138" s="315" t="s">
        <v>1585</v>
      </c>
      <c r="H138" s="59" t="s">
        <v>1652</v>
      </c>
      <c r="I138" s="60">
        <v>1829</v>
      </c>
      <c r="J138" s="63" t="s">
        <v>1650</v>
      </c>
      <c r="K138" s="60">
        <v>2019</v>
      </c>
      <c r="L138" s="63" t="s">
        <v>1651</v>
      </c>
    </row>
    <row r="139" spans="1:12" ht="13.15" customHeight="1">
      <c r="A139" s="182" t="s">
        <v>72</v>
      </c>
      <c r="B139" s="41">
        <v>88</v>
      </c>
      <c r="C139" s="198"/>
      <c r="D139" s="122" t="s">
        <v>1477</v>
      </c>
      <c r="E139" s="107" t="s">
        <v>1153</v>
      </c>
      <c r="F139" s="107" t="s">
        <v>1153</v>
      </c>
      <c r="G139" s="107" t="s">
        <v>1186</v>
      </c>
      <c r="H139" s="107" t="s">
        <v>1478</v>
      </c>
      <c r="I139" s="124">
        <v>1829</v>
      </c>
      <c r="J139" s="107" t="s">
        <v>1479</v>
      </c>
      <c r="K139" s="124" t="s">
        <v>1480</v>
      </c>
      <c r="L139" s="107" t="s">
        <v>1481</v>
      </c>
    </row>
    <row r="140" spans="1:12" ht="13.15" customHeight="1">
      <c r="A140" s="182" t="s">
        <v>72</v>
      </c>
      <c r="B140" s="41">
        <v>89</v>
      </c>
      <c r="C140" s="198">
        <f>B139</f>
        <v>88</v>
      </c>
      <c r="D140" s="122" t="s">
        <v>73</v>
      </c>
      <c r="E140" s="107" t="s">
        <v>1158</v>
      </c>
      <c r="F140" s="107" t="s">
        <v>1214</v>
      </c>
      <c r="G140" s="163" t="s">
        <v>1239</v>
      </c>
      <c r="H140" s="107" t="s">
        <v>1482</v>
      </c>
      <c r="I140" s="124">
        <v>1836</v>
      </c>
      <c r="J140" s="107" t="s">
        <v>1483</v>
      </c>
      <c r="K140" s="124">
        <v>2017</v>
      </c>
      <c r="L140" s="107" t="s">
        <v>1484</v>
      </c>
    </row>
    <row r="141" spans="1:12" ht="13.15" customHeight="1">
      <c r="A141" s="182" t="s">
        <v>72</v>
      </c>
      <c r="B141" s="41">
        <v>90</v>
      </c>
      <c r="C141" s="198">
        <f>B139</f>
        <v>88</v>
      </c>
      <c r="D141" s="122" t="s">
        <v>1485</v>
      </c>
      <c r="E141" s="107" t="s">
        <v>1158</v>
      </c>
      <c r="F141" s="107" t="s">
        <v>1214</v>
      </c>
      <c r="G141" s="107" t="s">
        <v>1392</v>
      </c>
      <c r="H141" s="107" t="s">
        <v>1486</v>
      </c>
      <c r="I141" s="124">
        <v>1836</v>
      </c>
      <c r="J141" s="107" t="s">
        <v>1483</v>
      </c>
      <c r="K141" s="124">
        <v>2017</v>
      </c>
      <c r="L141" s="107" t="s">
        <v>1484</v>
      </c>
    </row>
    <row r="142" spans="1:12" ht="12.75">
      <c r="A142" s="182" t="s">
        <v>72</v>
      </c>
      <c r="B142" s="41">
        <v>91</v>
      </c>
      <c r="C142" s="23">
        <f>B139</f>
        <v>88</v>
      </c>
      <c r="D142" s="122" t="s">
        <v>73</v>
      </c>
      <c r="E142" s="104" t="s">
        <v>1152</v>
      </c>
      <c r="F142" s="204" t="s">
        <v>1169</v>
      </c>
      <c r="G142" s="112" t="s">
        <v>1297</v>
      </c>
      <c r="H142" s="104" t="s">
        <v>1487</v>
      </c>
      <c r="I142" s="124">
        <v>1836</v>
      </c>
      <c r="J142" s="107" t="s">
        <v>1483</v>
      </c>
      <c r="K142" s="124">
        <v>2017</v>
      </c>
      <c r="L142" s="107" t="s">
        <v>1484</v>
      </c>
    </row>
    <row r="143" spans="1:12" ht="12.75">
      <c r="A143" s="113" t="s">
        <v>72</v>
      </c>
      <c r="B143" s="41">
        <v>92</v>
      </c>
      <c r="C143" s="23" t="str">
        <f>CONCATENATE(B140,", ",B141,", ",B142)</f>
        <v>89, 90, 91</v>
      </c>
      <c r="D143" s="85" t="s">
        <v>1488</v>
      </c>
      <c r="E143" s="104" t="s">
        <v>1158</v>
      </c>
      <c r="F143" s="204" t="s">
        <v>1169</v>
      </c>
      <c r="G143" s="112" t="s">
        <v>1239</v>
      </c>
      <c r="H143" s="104" t="s">
        <v>1489</v>
      </c>
      <c r="I143" s="124" t="s">
        <v>1490</v>
      </c>
      <c r="J143" s="107" t="s">
        <v>1491</v>
      </c>
      <c r="K143" s="102" t="s">
        <v>1492</v>
      </c>
      <c r="L143" s="104" t="s">
        <v>1493</v>
      </c>
    </row>
    <row r="144" spans="1:12" ht="12.75">
      <c r="A144" s="23" t="s">
        <v>72</v>
      </c>
      <c r="B144" s="41">
        <v>93</v>
      </c>
      <c r="C144" s="23">
        <f>B143</f>
        <v>92</v>
      </c>
      <c r="D144" s="122" t="s">
        <v>73</v>
      </c>
      <c r="E144" s="74" t="s">
        <v>1152</v>
      </c>
      <c r="F144" s="204" t="s">
        <v>1190</v>
      </c>
      <c r="G144" s="74" t="s">
        <v>1494</v>
      </c>
      <c r="H144" s="75" t="s">
        <v>1495</v>
      </c>
      <c r="I144" s="102">
        <v>2000</v>
      </c>
      <c r="J144" s="77" t="s">
        <v>1496</v>
      </c>
      <c r="K144" s="102">
        <v>2000</v>
      </c>
      <c r="L144" s="77" t="s">
        <v>1496</v>
      </c>
    </row>
    <row r="145" spans="1:12" ht="12.75">
      <c r="A145" s="182" t="s">
        <v>208</v>
      </c>
      <c r="B145" s="41">
        <v>753</v>
      </c>
      <c r="C145" s="198"/>
      <c r="D145" s="191" t="s">
        <v>3534</v>
      </c>
      <c r="E145" s="191" t="s">
        <v>1153</v>
      </c>
      <c r="F145" s="191" t="s">
        <v>1153</v>
      </c>
      <c r="G145" s="191" t="s">
        <v>1186</v>
      </c>
      <c r="H145" s="191" t="s">
        <v>3535</v>
      </c>
      <c r="I145" s="191" t="s">
        <v>1377</v>
      </c>
      <c r="J145" s="191" t="s">
        <v>3536</v>
      </c>
      <c r="K145" s="182">
        <v>2019</v>
      </c>
      <c r="L145" s="191" t="s">
        <v>3537</v>
      </c>
    </row>
    <row r="146" spans="1:12" ht="12.75">
      <c r="A146" s="182" t="s">
        <v>208</v>
      </c>
      <c r="B146" s="41">
        <v>754</v>
      </c>
      <c r="C146" s="198">
        <f>B145</f>
        <v>753</v>
      </c>
      <c r="D146" s="191" t="s">
        <v>3538</v>
      </c>
      <c r="E146" s="191" t="s">
        <v>1158</v>
      </c>
      <c r="F146" s="191" t="s">
        <v>1173</v>
      </c>
      <c r="G146" s="191" t="s">
        <v>1177</v>
      </c>
      <c r="H146" s="191" t="s">
        <v>3539</v>
      </c>
      <c r="I146" s="182">
        <v>1829</v>
      </c>
      <c r="J146" s="191" t="s">
        <v>3540</v>
      </c>
      <c r="K146" s="182">
        <v>2017</v>
      </c>
      <c r="L146" s="191" t="s">
        <v>3541</v>
      </c>
    </row>
    <row r="147" spans="1:12" ht="25.5">
      <c r="A147" s="182" t="s">
        <v>208</v>
      </c>
      <c r="B147" s="41">
        <v>755</v>
      </c>
      <c r="C147" s="198">
        <f>B146</f>
        <v>754</v>
      </c>
      <c r="D147" s="191" t="s">
        <v>3542</v>
      </c>
      <c r="E147" s="191" t="s">
        <v>1158</v>
      </c>
      <c r="F147" s="191" t="s">
        <v>1159</v>
      </c>
      <c r="G147" s="317" t="s">
        <v>4309</v>
      </c>
      <c r="H147" s="191" t="s">
        <v>3543</v>
      </c>
      <c r="I147" s="182">
        <v>1828</v>
      </c>
      <c r="J147" s="191" t="s">
        <v>3544</v>
      </c>
      <c r="K147" s="182">
        <v>2016</v>
      </c>
      <c r="L147" s="191" t="s">
        <v>3545</v>
      </c>
    </row>
    <row r="148" spans="1:12" ht="12.6" customHeight="1">
      <c r="A148" s="198" t="s">
        <v>321</v>
      </c>
      <c r="B148" s="41">
        <v>615</v>
      </c>
      <c r="C148" s="118"/>
      <c r="D148" s="191" t="s">
        <v>937</v>
      </c>
      <c r="E148" s="126" t="s">
        <v>1153</v>
      </c>
      <c r="F148" s="107" t="s">
        <v>1153</v>
      </c>
      <c r="G148" s="107" t="s">
        <v>2235</v>
      </c>
      <c r="H148" s="127" t="s">
        <v>3142</v>
      </c>
      <c r="I148" s="95">
        <v>1704</v>
      </c>
      <c r="J148" s="107" t="s">
        <v>3143</v>
      </c>
      <c r="K148" s="95">
        <v>2019</v>
      </c>
      <c r="L148" s="107" t="s">
        <v>3144</v>
      </c>
    </row>
    <row r="149" spans="1:12" ht="12.75">
      <c r="A149" s="198" t="s">
        <v>321</v>
      </c>
      <c r="B149" s="41">
        <v>616</v>
      </c>
      <c r="C149" s="118">
        <f>B148</f>
        <v>615</v>
      </c>
      <c r="D149" s="191" t="s">
        <v>3145</v>
      </c>
      <c r="E149" s="126" t="s">
        <v>1158</v>
      </c>
      <c r="F149" s="126" t="s">
        <v>1159</v>
      </c>
      <c r="G149" s="107" t="s">
        <v>1165</v>
      </c>
      <c r="H149" s="87" t="s">
        <v>3146</v>
      </c>
      <c r="I149" s="124" t="s">
        <v>3147</v>
      </c>
      <c r="J149" s="107" t="s">
        <v>3148</v>
      </c>
      <c r="K149" s="95">
        <v>1876</v>
      </c>
      <c r="L149" s="107" t="s">
        <v>3149</v>
      </c>
    </row>
    <row r="150" spans="1:12" ht="14.25">
      <c r="A150" s="198" t="s">
        <v>321</v>
      </c>
      <c r="B150" s="41">
        <v>617</v>
      </c>
      <c r="C150" s="180">
        <f>B149</f>
        <v>616</v>
      </c>
      <c r="D150" s="191" t="s">
        <v>939</v>
      </c>
      <c r="E150" s="107" t="s">
        <v>1158</v>
      </c>
      <c r="F150" s="107" t="s">
        <v>1159</v>
      </c>
      <c r="G150" s="107" t="s">
        <v>1165</v>
      </c>
      <c r="H150" s="186" t="s">
        <v>3150</v>
      </c>
      <c r="I150" s="124" t="s">
        <v>3151</v>
      </c>
      <c r="J150" s="107" t="s">
        <v>3152</v>
      </c>
      <c r="K150" s="114">
        <v>2018</v>
      </c>
      <c r="L150" s="107" t="s">
        <v>3153</v>
      </c>
    </row>
    <row r="151" spans="1:12" ht="12.6" customHeight="1">
      <c r="A151" s="198" t="s">
        <v>321</v>
      </c>
      <c r="B151" s="41">
        <v>618</v>
      </c>
      <c r="C151" s="182">
        <f>B148</f>
        <v>615</v>
      </c>
      <c r="D151" s="191" t="s">
        <v>937</v>
      </c>
      <c r="E151" s="107" t="s">
        <v>1152</v>
      </c>
      <c r="F151" s="107" t="s">
        <v>1169</v>
      </c>
      <c r="G151" s="107" t="s">
        <v>1297</v>
      </c>
      <c r="H151" s="68" t="s">
        <v>3154</v>
      </c>
      <c r="I151" s="124">
        <v>1775</v>
      </c>
      <c r="J151" s="107" t="s">
        <v>3155</v>
      </c>
      <c r="K151" s="114">
        <v>2020</v>
      </c>
      <c r="L151" s="107" t="s">
        <v>3156</v>
      </c>
    </row>
    <row r="152" spans="1:12" ht="12.75">
      <c r="A152" s="198" t="s">
        <v>329</v>
      </c>
      <c r="B152" s="41">
        <v>625</v>
      </c>
      <c r="C152" s="182"/>
      <c r="D152" s="191" t="s">
        <v>3180</v>
      </c>
      <c r="E152" s="107" t="s">
        <v>1153</v>
      </c>
      <c r="F152" s="107" t="s">
        <v>1153</v>
      </c>
      <c r="G152" s="107" t="s">
        <v>1186</v>
      </c>
      <c r="H152" s="189" t="s">
        <v>3181</v>
      </c>
      <c r="I152" s="124">
        <v>1852</v>
      </c>
      <c r="J152" s="107" t="s">
        <v>3182</v>
      </c>
      <c r="K152" s="114">
        <v>2022</v>
      </c>
      <c r="L152" s="189" t="s">
        <v>3183</v>
      </c>
    </row>
    <row r="153" spans="1:12" ht="13.15" customHeight="1">
      <c r="A153" s="198" t="s">
        <v>329</v>
      </c>
      <c r="B153" s="41">
        <v>626</v>
      </c>
      <c r="C153" s="18">
        <f>B152</f>
        <v>625</v>
      </c>
      <c r="D153" s="191" t="s">
        <v>3184</v>
      </c>
      <c r="E153" s="107" t="s">
        <v>1158</v>
      </c>
      <c r="F153" s="107" t="s">
        <v>1214</v>
      </c>
      <c r="G153" s="246" t="s">
        <v>1392</v>
      </c>
      <c r="H153" s="189" t="s">
        <v>3185</v>
      </c>
      <c r="I153" s="246">
        <v>1878</v>
      </c>
      <c r="J153" s="246" t="s">
        <v>3186</v>
      </c>
      <c r="K153" s="246">
        <v>2013</v>
      </c>
      <c r="L153" s="246" t="s">
        <v>3187</v>
      </c>
    </row>
    <row r="154" spans="1:12" ht="27.2" customHeight="1">
      <c r="A154" s="198" t="s">
        <v>329</v>
      </c>
      <c r="B154" s="41">
        <v>627</v>
      </c>
      <c r="C154" s="182" t="str">
        <f>CONCATENATE(B152,", ",B153)</f>
        <v>625, 626</v>
      </c>
      <c r="D154" s="191" t="s">
        <v>3184</v>
      </c>
      <c r="E154" s="107" t="s">
        <v>1152</v>
      </c>
      <c r="F154" s="107" t="s">
        <v>1169</v>
      </c>
      <c r="G154" s="181" t="s">
        <v>1367</v>
      </c>
      <c r="H154" s="68" t="s">
        <v>3188</v>
      </c>
      <c r="I154" s="124">
        <v>1878</v>
      </c>
      <c r="J154" s="189" t="s">
        <v>3186</v>
      </c>
      <c r="K154" s="114">
        <v>2013</v>
      </c>
      <c r="L154" s="189" t="s">
        <v>3187</v>
      </c>
    </row>
    <row r="155" spans="1:12" ht="12.75">
      <c r="A155" s="198" t="s">
        <v>329</v>
      </c>
      <c r="B155" s="41">
        <v>628</v>
      </c>
      <c r="C155" s="182">
        <f>B154</f>
        <v>627</v>
      </c>
      <c r="D155" s="191" t="s">
        <v>3184</v>
      </c>
      <c r="E155" s="107" t="s">
        <v>1152</v>
      </c>
      <c r="F155" s="107" t="s">
        <v>1169</v>
      </c>
      <c r="G155" s="115" t="s">
        <v>1367</v>
      </c>
      <c r="H155" s="68" t="s">
        <v>3189</v>
      </c>
      <c r="I155" s="124">
        <v>1883</v>
      </c>
      <c r="J155" s="189" t="s">
        <v>3190</v>
      </c>
      <c r="K155" s="114">
        <v>2018</v>
      </c>
      <c r="L155" s="189" t="s">
        <v>3191</v>
      </c>
    </row>
    <row r="156" spans="1:12" ht="25.7" customHeight="1">
      <c r="A156" s="198" t="s">
        <v>329</v>
      </c>
      <c r="B156" s="41">
        <v>629</v>
      </c>
      <c r="C156" s="182">
        <f>B155</f>
        <v>628</v>
      </c>
      <c r="D156" s="191" t="s">
        <v>952</v>
      </c>
      <c r="E156" s="107" t="s">
        <v>1158</v>
      </c>
      <c r="F156" s="107" t="s">
        <v>1173</v>
      </c>
      <c r="G156" s="107" t="s">
        <v>1174</v>
      </c>
      <c r="H156" s="68" t="s">
        <v>3192</v>
      </c>
      <c r="I156" s="124">
        <v>1883</v>
      </c>
      <c r="J156" s="189" t="s">
        <v>3190</v>
      </c>
      <c r="K156" s="114">
        <v>2015</v>
      </c>
      <c r="L156" s="189" t="s">
        <v>3193</v>
      </c>
    </row>
    <row r="157" spans="1:12" ht="12.75">
      <c r="A157" s="198" t="s">
        <v>329</v>
      </c>
      <c r="B157" s="41">
        <v>630</v>
      </c>
      <c r="C157" s="182">
        <f>B155</f>
        <v>628</v>
      </c>
      <c r="D157" s="191" t="s">
        <v>3194</v>
      </c>
      <c r="E157" s="107" t="s">
        <v>1158</v>
      </c>
      <c r="F157" s="107" t="s">
        <v>1214</v>
      </c>
      <c r="G157" s="107" t="s">
        <v>1247</v>
      </c>
      <c r="H157" s="68" t="s">
        <v>3195</v>
      </c>
      <c r="I157" s="124">
        <v>1891</v>
      </c>
      <c r="J157" s="189" t="s">
        <v>3196</v>
      </c>
      <c r="K157" s="114" t="s">
        <v>3197</v>
      </c>
      <c r="L157" s="189" t="s">
        <v>3198</v>
      </c>
    </row>
    <row r="158" spans="1:12" ht="25.7" customHeight="1">
      <c r="A158" s="198" t="s">
        <v>329</v>
      </c>
      <c r="B158" s="41">
        <v>631</v>
      </c>
      <c r="C158" s="182">
        <f>B155</f>
        <v>628</v>
      </c>
      <c r="D158" s="191" t="s">
        <v>3199</v>
      </c>
      <c r="E158" s="107" t="s">
        <v>1158</v>
      </c>
      <c r="F158" s="107" t="s">
        <v>1214</v>
      </c>
      <c r="G158" s="107"/>
      <c r="H158" s="68" t="s">
        <v>3200</v>
      </c>
      <c r="I158" s="124">
        <v>1921</v>
      </c>
      <c r="J158" s="189" t="s">
        <v>3201</v>
      </c>
      <c r="K158" s="114">
        <v>2018</v>
      </c>
      <c r="L158" s="189" t="s">
        <v>3202</v>
      </c>
    </row>
    <row r="159" spans="1:12" ht="13.15" customHeight="1">
      <c r="A159" s="198" t="s">
        <v>116</v>
      </c>
      <c r="B159" s="41">
        <v>290</v>
      </c>
      <c r="C159" s="198"/>
      <c r="D159" s="120" t="s">
        <v>2135</v>
      </c>
      <c r="E159" s="107" t="s">
        <v>1153</v>
      </c>
      <c r="F159" s="107" t="s">
        <v>1153</v>
      </c>
      <c r="G159" s="225" t="s">
        <v>1186</v>
      </c>
      <c r="H159" s="225" t="s">
        <v>2136</v>
      </c>
      <c r="I159" s="193">
        <v>1822</v>
      </c>
      <c r="J159" s="225" t="s">
        <v>2137</v>
      </c>
      <c r="K159" s="193">
        <v>2019</v>
      </c>
      <c r="L159" s="225" t="s">
        <v>2138</v>
      </c>
    </row>
    <row r="160" spans="1:12" ht="13.15" customHeight="1">
      <c r="A160" s="198" t="s">
        <v>116</v>
      </c>
      <c r="B160" s="41">
        <v>291</v>
      </c>
      <c r="C160" s="198">
        <f>B159</f>
        <v>290</v>
      </c>
      <c r="D160" s="120" t="s">
        <v>2139</v>
      </c>
      <c r="E160" s="79" t="s">
        <v>1158</v>
      </c>
      <c r="F160" s="107" t="s">
        <v>1173</v>
      </c>
      <c r="G160" s="70" t="s">
        <v>1250</v>
      </c>
      <c r="H160" s="225" t="s">
        <v>2140</v>
      </c>
      <c r="I160" s="193" t="s">
        <v>1559</v>
      </c>
      <c r="J160" s="225" t="s">
        <v>2141</v>
      </c>
      <c r="K160" s="193">
        <v>2013</v>
      </c>
      <c r="L160" s="225" t="s">
        <v>2142</v>
      </c>
    </row>
    <row r="161" spans="1:12" ht="25.7" customHeight="1">
      <c r="A161" s="198" t="s">
        <v>116</v>
      </c>
      <c r="B161" s="41">
        <v>292</v>
      </c>
      <c r="C161" s="198">
        <f>B160</f>
        <v>291</v>
      </c>
      <c r="D161" s="120" t="s">
        <v>2143</v>
      </c>
      <c r="E161" s="79" t="s">
        <v>1158</v>
      </c>
      <c r="F161" s="107" t="s">
        <v>1214</v>
      </c>
      <c r="G161" s="225" t="s">
        <v>2144</v>
      </c>
      <c r="H161" s="225" t="s">
        <v>2145</v>
      </c>
      <c r="I161" s="193" t="s">
        <v>2146</v>
      </c>
      <c r="J161" s="225" t="s">
        <v>2147</v>
      </c>
      <c r="K161" s="193">
        <v>2003</v>
      </c>
      <c r="L161" s="225" t="s">
        <v>2148</v>
      </c>
    </row>
    <row r="162" spans="1:12" ht="25.7" customHeight="1">
      <c r="A162" s="198" t="s">
        <v>116</v>
      </c>
      <c r="B162" s="41">
        <v>293</v>
      </c>
      <c r="C162" s="198">
        <f>B161</f>
        <v>292</v>
      </c>
      <c r="D162" s="120" t="s">
        <v>2149</v>
      </c>
      <c r="E162" s="107" t="s">
        <v>1158</v>
      </c>
      <c r="F162" s="107" t="s">
        <v>1173</v>
      </c>
      <c r="G162" s="225" t="s">
        <v>1258</v>
      </c>
      <c r="H162" s="225" t="s">
        <v>2150</v>
      </c>
      <c r="I162" s="193">
        <v>1899</v>
      </c>
      <c r="J162" s="225" t="s">
        <v>2151</v>
      </c>
      <c r="K162" s="193">
        <v>2003</v>
      </c>
      <c r="L162" s="225" t="s">
        <v>2152</v>
      </c>
    </row>
    <row r="163" spans="1:12" ht="12.75">
      <c r="A163" s="23" t="s">
        <v>116</v>
      </c>
      <c r="B163" s="41">
        <v>294</v>
      </c>
      <c r="C163" s="23">
        <f>B162</f>
        <v>293</v>
      </c>
      <c r="D163" s="22" t="s">
        <v>2153</v>
      </c>
      <c r="E163" s="191" t="s">
        <v>1152</v>
      </c>
      <c r="F163" s="315" t="s">
        <v>1190</v>
      </c>
      <c r="G163" s="225" t="s">
        <v>1191</v>
      </c>
      <c r="H163" s="75" t="s">
        <v>2154</v>
      </c>
      <c r="I163" s="76">
        <v>1995</v>
      </c>
      <c r="J163" s="77" t="s">
        <v>2155</v>
      </c>
      <c r="K163" s="78">
        <v>2011</v>
      </c>
      <c r="L163" s="77" t="s">
        <v>2156</v>
      </c>
    </row>
    <row r="164" spans="1:12" ht="12.75">
      <c r="A164" s="23" t="s">
        <v>230</v>
      </c>
      <c r="B164" s="41">
        <v>794</v>
      </c>
      <c r="C164" s="23"/>
      <c r="D164" s="22" t="s">
        <v>3673</v>
      </c>
      <c r="E164" s="191" t="s">
        <v>1153</v>
      </c>
      <c r="F164" s="201" t="s">
        <v>1153</v>
      </c>
      <c r="G164" s="201" t="s">
        <v>1154</v>
      </c>
      <c r="H164" s="75" t="s">
        <v>3619</v>
      </c>
      <c r="I164" s="198">
        <v>1655</v>
      </c>
      <c r="J164" s="246" t="s">
        <v>3674</v>
      </c>
      <c r="K164" s="246">
        <v>1960</v>
      </c>
      <c r="L164" s="246" t="s">
        <v>3675</v>
      </c>
    </row>
    <row r="165" spans="1:12" ht="12.75">
      <c r="A165" s="23" t="s">
        <v>230</v>
      </c>
      <c r="B165" s="41">
        <v>795</v>
      </c>
      <c r="C165" s="23">
        <f>B164</f>
        <v>794</v>
      </c>
      <c r="D165" s="22" t="s">
        <v>3676</v>
      </c>
      <c r="E165" s="191" t="s">
        <v>1152</v>
      </c>
      <c r="F165" s="201" t="s">
        <v>1169</v>
      </c>
      <c r="G165" s="201" t="s">
        <v>3677</v>
      </c>
      <c r="H165" s="246" t="s">
        <v>3678</v>
      </c>
      <c r="I165" s="198">
        <v>1768</v>
      </c>
      <c r="J165" s="246" t="s">
        <v>3679</v>
      </c>
      <c r="K165" s="246">
        <v>2019</v>
      </c>
      <c r="L165" s="246" t="s">
        <v>3680</v>
      </c>
    </row>
    <row r="166" spans="1:12" ht="12.75">
      <c r="A166" s="23" t="s">
        <v>230</v>
      </c>
      <c r="B166" s="41">
        <v>797</v>
      </c>
      <c r="C166" s="23">
        <f>B164</f>
        <v>794</v>
      </c>
      <c r="D166" s="22" t="s">
        <v>3676</v>
      </c>
      <c r="E166" s="191" t="s">
        <v>1152</v>
      </c>
      <c r="F166" s="201" t="s">
        <v>1190</v>
      </c>
      <c r="G166" s="201" t="s">
        <v>1228</v>
      </c>
      <c r="H166" s="246" t="s">
        <v>3681</v>
      </c>
      <c r="I166" s="198">
        <v>1870</v>
      </c>
      <c r="J166" s="246" t="s">
        <v>3682</v>
      </c>
      <c r="K166" s="246">
        <v>2019</v>
      </c>
      <c r="L166" s="246" t="s">
        <v>3683</v>
      </c>
    </row>
    <row r="167" spans="1:12" ht="13.15" customHeight="1">
      <c r="A167" s="23" t="s">
        <v>230</v>
      </c>
      <c r="B167" s="41">
        <v>798</v>
      </c>
      <c r="C167" s="23">
        <f>B164</f>
        <v>794</v>
      </c>
      <c r="D167" s="120" t="s">
        <v>3684</v>
      </c>
      <c r="E167" s="191" t="s">
        <v>1158</v>
      </c>
      <c r="F167" s="201" t="s">
        <v>1173</v>
      </c>
      <c r="G167" s="201" t="s">
        <v>1392</v>
      </c>
      <c r="H167" s="246" t="s">
        <v>3685</v>
      </c>
      <c r="I167" s="198">
        <v>1929</v>
      </c>
      <c r="J167" s="246" t="s">
        <v>3686</v>
      </c>
      <c r="K167" s="246">
        <v>2015</v>
      </c>
      <c r="L167" s="246" t="s">
        <v>3687</v>
      </c>
    </row>
    <row r="168" spans="1:12" ht="13.15" customHeight="1">
      <c r="A168" s="23" t="s">
        <v>230</v>
      </c>
      <c r="B168" s="41">
        <v>799</v>
      </c>
      <c r="C168" s="198">
        <f>B167</f>
        <v>798</v>
      </c>
      <c r="D168" s="120" t="s">
        <v>3684</v>
      </c>
      <c r="E168" s="191" t="s">
        <v>1152</v>
      </c>
      <c r="F168" s="201" t="s">
        <v>1169</v>
      </c>
      <c r="G168" s="201" t="s">
        <v>1367</v>
      </c>
      <c r="H168" s="246" t="s">
        <v>3688</v>
      </c>
      <c r="I168" s="198">
        <v>1929</v>
      </c>
      <c r="J168" s="246" t="s">
        <v>3686</v>
      </c>
      <c r="K168" s="246">
        <v>2015</v>
      </c>
      <c r="L168" s="246" t="s">
        <v>3687</v>
      </c>
    </row>
    <row r="169" spans="1:12" ht="12.75">
      <c r="A169" s="23" t="s">
        <v>39</v>
      </c>
      <c r="B169" s="41">
        <v>528</v>
      </c>
      <c r="C169" s="182"/>
      <c r="D169" s="191" t="s">
        <v>2897</v>
      </c>
      <c r="E169" s="107" t="s">
        <v>1153</v>
      </c>
      <c r="F169" s="107" t="s">
        <v>1153</v>
      </c>
      <c r="G169" s="181" t="s">
        <v>1186</v>
      </c>
      <c r="H169" s="107" t="s">
        <v>2898</v>
      </c>
      <c r="I169" s="98">
        <v>1564</v>
      </c>
      <c r="J169" s="82" t="s">
        <v>2899</v>
      </c>
      <c r="K169" s="98" t="s">
        <v>2900</v>
      </c>
      <c r="L169" s="107" t="s">
        <v>2901</v>
      </c>
    </row>
    <row r="170" spans="1:12" ht="12.75">
      <c r="A170" s="23" t="s">
        <v>39</v>
      </c>
      <c r="B170" s="41">
        <v>529</v>
      </c>
      <c r="C170" s="182">
        <f>B169</f>
        <v>528</v>
      </c>
      <c r="D170" s="191" t="s">
        <v>854</v>
      </c>
      <c r="E170" s="107" t="s">
        <v>1158</v>
      </c>
      <c r="F170" s="107" t="s">
        <v>1159</v>
      </c>
      <c r="G170" s="181" t="s">
        <v>1165</v>
      </c>
      <c r="H170" s="107" t="s">
        <v>2902</v>
      </c>
      <c r="I170" s="124">
        <v>1634</v>
      </c>
      <c r="J170" s="107" t="s">
        <v>2903</v>
      </c>
      <c r="K170" s="124">
        <v>2016</v>
      </c>
      <c r="L170" s="107" t="s">
        <v>2904</v>
      </c>
    </row>
    <row r="171" spans="1:12" ht="12.75">
      <c r="A171" s="23" t="s">
        <v>39</v>
      </c>
      <c r="B171" s="41">
        <v>530</v>
      </c>
      <c r="C171" s="182" t="str">
        <f>CONCATENATE(B169, ", ", B170)</f>
        <v>528, 529</v>
      </c>
      <c r="D171" s="191" t="s">
        <v>2905</v>
      </c>
      <c r="E171" s="107" t="s">
        <v>1158</v>
      </c>
      <c r="F171" s="107" t="s">
        <v>1173</v>
      </c>
      <c r="G171" s="107" t="s">
        <v>2906</v>
      </c>
      <c r="H171" s="107" t="s">
        <v>2907</v>
      </c>
      <c r="I171" s="124">
        <v>1682</v>
      </c>
      <c r="J171" s="107" t="s">
        <v>2908</v>
      </c>
      <c r="K171" s="124">
        <v>1969</v>
      </c>
      <c r="L171" s="107" t="s">
        <v>2909</v>
      </c>
    </row>
    <row r="172" spans="1:12" ht="12.6" customHeight="1">
      <c r="A172" s="23" t="s">
        <v>39</v>
      </c>
      <c r="B172" s="41">
        <v>531</v>
      </c>
      <c r="C172" s="182" t="str">
        <f>CONCATENATE(B169, ", ", B170)</f>
        <v>528, 529</v>
      </c>
      <c r="D172" s="191" t="s">
        <v>2905</v>
      </c>
      <c r="E172" s="107" t="s">
        <v>1158</v>
      </c>
      <c r="F172" s="107" t="s">
        <v>1173</v>
      </c>
      <c r="G172" s="107" t="s">
        <v>1472</v>
      </c>
      <c r="H172" s="107" t="s">
        <v>2910</v>
      </c>
      <c r="I172" s="124">
        <v>1682</v>
      </c>
      <c r="J172" s="107" t="s">
        <v>2911</v>
      </c>
      <c r="K172" s="124">
        <v>1969</v>
      </c>
      <c r="L172" s="107" t="s">
        <v>2912</v>
      </c>
    </row>
    <row r="173" spans="1:12" ht="12.6" customHeight="1">
      <c r="A173" s="23" t="s">
        <v>39</v>
      </c>
      <c r="B173" s="41">
        <v>532</v>
      </c>
      <c r="C173" s="182">
        <f>B171</f>
        <v>530</v>
      </c>
      <c r="D173" s="191" t="s">
        <v>2913</v>
      </c>
      <c r="E173" s="107" t="s">
        <v>1158</v>
      </c>
      <c r="F173" s="107" t="s">
        <v>1173</v>
      </c>
      <c r="G173" s="107" t="s">
        <v>1232</v>
      </c>
      <c r="H173" s="107" t="s">
        <v>2914</v>
      </c>
      <c r="I173" s="124">
        <v>1698</v>
      </c>
      <c r="J173" s="107" t="s">
        <v>2915</v>
      </c>
      <c r="K173" s="124">
        <v>1928</v>
      </c>
      <c r="L173" s="107" t="s">
        <v>2916</v>
      </c>
    </row>
    <row r="174" spans="1:12" ht="12.6" customHeight="1">
      <c r="A174" s="23" t="s">
        <v>39</v>
      </c>
      <c r="B174" s="41">
        <v>533</v>
      </c>
      <c r="C174" s="182">
        <f>B172</f>
        <v>531</v>
      </c>
      <c r="D174" s="191" t="s">
        <v>2917</v>
      </c>
      <c r="E174" s="191" t="s">
        <v>1152</v>
      </c>
      <c r="F174" s="315" t="s">
        <v>1190</v>
      </c>
      <c r="G174" s="107" t="s">
        <v>1585</v>
      </c>
      <c r="H174" s="107" t="s">
        <v>2918</v>
      </c>
      <c r="I174" s="124">
        <v>1733</v>
      </c>
      <c r="J174" s="107" t="s">
        <v>2919</v>
      </c>
      <c r="K174" s="124">
        <v>2012</v>
      </c>
      <c r="L174" s="107" t="s">
        <v>2920</v>
      </c>
    </row>
    <row r="175" spans="1:12" ht="24" customHeight="1">
      <c r="A175" s="23" t="s">
        <v>39</v>
      </c>
      <c r="B175" s="41">
        <v>534</v>
      </c>
      <c r="C175" s="182">
        <f>B170</f>
        <v>529</v>
      </c>
      <c r="D175" s="191" t="s">
        <v>2921</v>
      </c>
      <c r="E175" s="107" t="s">
        <v>1158</v>
      </c>
      <c r="F175" s="107" t="s">
        <v>1159</v>
      </c>
      <c r="G175" s="107" t="s">
        <v>1395</v>
      </c>
      <c r="H175" s="107" t="s">
        <v>2922</v>
      </c>
      <c r="I175" s="124">
        <v>1769</v>
      </c>
      <c r="J175" s="175" t="s">
        <v>2923</v>
      </c>
      <c r="K175" s="124">
        <v>2012</v>
      </c>
      <c r="L175" s="107" t="s">
        <v>2924</v>
      </c>
    </row>
    <row r="176" spans="1:12" ht="12.6" customHeight="1">
      <c r="A176" s="23" t="s">
        <v>39</v>
      </c>
      <c r="B176" s="41">
        <v>535</v>
      </c>
      <c r="C176" s="182">
        <f>B170</f>
        <v>529</v>
      </c>
      <c r="D176" s="191" t="s">
        <v>854</v>
      </c>
      <c r="E176" s="107" t="s">
        <v>1152</v>
      </c>
      <c r="F176" s="107" t="s">
        <v>1169</v>
      </c>
      <c r="G176" s="107" t="s">
        <v>1297</v>
      </c>
      <c r="H176" s="107" t="s">
        <v>2925</v>
      </c>
      <c r="I176" s="124">
        <v>1788</v>
      </c>
      <c r="J176" s="107" t="s">
        <v>2926</v>
      </c>
      <c r="K176" s="124">
        <v>1937</v>
      </c>
      <c r="L176" s="107" t="s">
        <v>2927</v>
      </c>
    </row>
    <row r="177" spans="1:12" ht="12.6" customHeight="1">
      <c r="A177" s="23" t="s">
        <v>39</v>
      </c>
      <c r="B177" s="41">
        <v>536</v>
      </c>
      <c r="C177" s="182">
        <f>B172</f>
        <v>531</v>
      </c>
      <c r="D177" s="191" t="s">
        <v>2928</v>
      </c>
      <c r="E177" s="107" t="s">
        <v>1152</v>
      </c>
      <c r="F177" s="107" t="s">
        <v>1208</v>
      </c>
      <c r="G177" s="107" t="s">
        <v>1209</v>
      </c>
      <c r="H177" s="107" t="s">
        <v>2929</v>
      </c>
      <c r="I177" s="124">
        <v>1818</v>
      </c>
      <c r="J177" s="107" t="s">
        <v>2930</v>
      </c>
      <c r="K177" s="124">
        <v>1923</v>
      </c>
      <c r="L177" s="107" t="s">
        <v>2931</v>
      </c>
    </row>
    <row r="178" spans="1:12" ht="12.6" customHeight="1">
      <c r="A178" s="23" t="s">
        <v>39</v>
      </c>
      <c r="B178" s="41">
        <v>537</v>
      </c>
      <c r="C178" s="182" t="str">
        <f>CONCATENATE(B171,", ",B172)</f>
        <v>530, 531</v>
      </c>
      <c r="D178" s="191" t="s">
        <v>2932</v>
      </c>
      <c r="E178" s="107" t="s">
        <v>1158</v>
      </c>
      <c r="F178" s="107" t="s">
        <v>1159</v>
      </c>
      <c r="G178" s="181" t="s">
        <v>1165</v>
      </c>
      <c r="H178" s="107" t="s">
        <v>2933</v>
      </c>
      <c r="I178" s="124">
        <v>1817</v>
      </c>
      <c r="J178" s="107" t="s">
        <v>2934</v>
      </c>
      <c r="K178" s="124">
        <v>2020</v>
      </c>
      <c r="L178" s="107" t="s">
        <v>2935</v>
      </c>
    </row>
    <row r="179" spans="1:12" ht="12.75">
      <c r="A179" s="198" t="s">
        <v>39</v>
      </c>
      <c r="B179" s="41">
        <v>538</v>
      </c>
      <c r="C179" s="182" t="str">
        <f>CONCATENATE(B171,", ",B172)</f>
        <v>530, 531</v>
      </c>
      <c r="D179" s="191" t="s">
        <v>2932</v>
      </c>
      <c r="E179" s="107" t="s">
        <v>1152</v>
      </c>
      <c r="F179" s="107" t="s">
        <v>1169</v>
      </c>
      <c r="G179" s="181" t="s">
        <v>1297</v>
      </c>
      <c r="H179" s="107" t="s">
        <v>2936</v>
      </c>
      <c r="I179" s="124">
        <v>1817</v>
      </c>
      <c r="J179" s="107" t="s">
        <v>2937</v>
      </c>
      <c r="K179" s="124">
        <v>2020</v>
      </c>
      <c r="L179" s="107" t="s">
        <v>2938</v>
      </c>
    </row>
    <row r="180" spans="1:12" ht="12.6" customHeight="1">
      <c r="A180" s="198" t="s">
        <v>39</v>
      </c>
      <c r="B180" s="41">
        <v>539</v>
      </c>
      <c r="C180" s="182" t="str">
        <f>CONCATENATE(B171,", ",B172)</f>
        <v>530, 531</v>
      </c>
      <c r="D180" s="191" t="s">
        <v>2932</v>
      </c>
      <c r="E180" s="201" t="s">
        <v>1152</v>
      </c>
      <c r="F180" s="201" t="s">
        <v>1208</v>
      </c>
      <c r="G180" s="107" t="s">
        <v>1209</v>
      </c>
      <c r="H180" s="201" t="s">
        <v>2939</v>
      </c>
      <c r="I180" s="124">
        <v>1817</v>
      </c>
      <c r="J180" s="107" t="s">
        <v>2940</v>
      </c>
      <c r="K180" s="124">
        <v>2015</v>
      </c>
      <c r="L180" s="107" t="s">
        <v>2941</v>
      </c>
    </row>
    <row r="181" spans="1:12" ht="13.15" customHeight="1">
      <c r="A181" s="198" t="s">
        <v>335</v>
      </c>
      <c r="B181" s="41">
        <v>640</v>
      </c>
      <c r="C181" s="182"/>
      <c r="D181" s="191" t="s">
        <v>3228</v>
      </c>
      <c r="E181" s="181" t="s">
        <v>1153</v>
      </c>
      <c r="F181" s="107" t="s">
        <v>1153</v>
      </c>
      <c r="G181" s="181" t="s">
        <v>1186</v>
      </c>
      <c r="H181" s="68" t="s">
        <v>3229</v>
      </c>
      <c r="I181" s="124" t="s">
        <v>1361</v>
      </c>
      <c r="J181" s="82" t="s">
        <v>3230</v>
      </c>
      <c r="K181" s="99">
        <v>2021</v>
      </c>
      <c r="L181" s="82" t="s">
        <v>3231</v>
      </c>
    </row>
    <row r="182" spans="1:12" ht="18.75" customHeight="1">
      <c r="A182" s="198" t="s">
        <v>335</v>
      </c>
      <c r="B182" s="41">
        <v>641</v>
      </c>
      <c r="C182" s="182">
        <f>B181</f>
        <v>640</v>
      </c>
      <c r="D182" s="191" t="s">
        <v>3232</v>
      </c>
      <c r="E182" s="181" t="s">
        <v>1158</v>
      </c>
      <c r="F182" s="107" t="s">
        <v>1173</v>
      </c>
      <c r="G182" s="107" t="s">
        <v>1174</v>
      </c>
      <c r="H182" s="68" t="s">
        <v>3233</v>
      </c>
      <c r="I182" s="99" t="s">
        <v>2797</v>
      </c>
      <c r="J182" s="107" t="s">
        <v>3234</v>
      </c>
      <c r="K182" s="124">
        <v>2016</v>
      </c>
      <c r="L182" s="82" t="s">
        <v>3235</v>
      </c>
    </row>
    <row r="183" spans="1:12" ht="25.7" customHeight="1">
      <c r="A183" s="198" t="s">
        <v>335</v>
      </c>
      <c r="B183" s="41">
        <v>642</v>
      </c>
      <c r="C183" s="182">
        <f>B182</f>
        <v>641</v>
      </c>
      <c r="D183" s="191" t="s">
        <v>3236</v>
      </c>
      <c r="E183" s="181" t="s">
        <v>1158</v>
      </c>
      <c r="F183" s="107" t="s">
        <v>1173</v>
      </c>
      <c r="G183" s="107" t="s">
        <v>1267</v>
      </c>
      <c r="H183" s="107" t="s">
        <v>3237</v>
      </c>
      <c r="I183" s="124" t="s">
        <v>3238</v>
      </c>
      <c r="J183" s="82" t="s">
        <v>3239</v>
      </c>
      <c r="K183" s="124">
        <v>1999</v>
      </c>
      <c r="L183" s="82" t="s">
        <v>3240</v>
      </c>
    </row>
    <row r="184" spans="1:12" ht="12.75">
      <c r="A184" s="140" t="s">
        <v>118</v>
      </c>
      <c r="B184" s="41">
        <v>295</v>
      </c>
      <c r="C184" s="182"/>
      <c r="D184" s="144" t="s">
        <v>2157</v>
      </c>
      <c r="E184" s="79" t="s">
        <v>1153</v>
      </c>
      <c r="F184" s="107" t="s">
        <v>1153</v>
      </c>
      <c r="G184" s="107" t="s">
        <v>1154</v>
      </c>
      <c r="H184" s="68" t="s">
        <v>2158</v>
      </c>
      <c r="I184" s="124">
        <v>1762</v>
      </c>
      <c r="J184" s="205" t="s">
        <v>2159</v>
      </c>
      <c r="K184" s="156">
        <v>2019</v>
      </c>
      <c r="L184" s="82" t="s">
        <v>2160</v>
      </c>
    </row>
    <row r="185" spans="1:12" ht="13.15" customHeight="1">
      <c r="A185" s="140" t="s">
        <v>118</v>
      </c>
      <c r="B185" s="41">
        <v>296</v>
      </c>
      <c r="C185" s="182">
        <f>B184</f>
        <v>295</v>
      </c>
      <c r="D185" s="144" t="s">
        <v>528</v>
      </c>
      <c r="E185" s="79" t="s">
        <v>1158</v>
      </c>
      <c r="F185" s="107" t="s">
        <v>1173</v>
      </c>
      <c r="G185" s="70" t="s">
        <v>1250</v>
      </c>
      <c r="H185" s="68" t="s">
        <v>2161</v>
      </c>
      <c r="I185" s="124" t="s">
        <v>2162</v>
      </c>
      <c r="J185" s="82" t="s">
        <v>2163</v>
      </c>
      <c r="K185" s="124">
        <v>1915</v>
      </c>
      <c r="L185" s="82" t="s">
        <v>2164</v>
      </c>
    </row>
    <row r="186" spans="1:12" ht="12.6" customHeight="1">
      <c r="A186" s="143" t="s">
        <v>118</v>
      </c>
      <c r="B186" s="41">
        <v>297</v>
      </c>
      <c r="C186" s="140">
        <f>B185</f>
        <v>296</v>
      </c>
      <c r="D186" s="144" t="s">
        <v>2165</v>
      </c>
      <c r="E186" s="79" t="s">
        <v>1158</v>
      </c>
      <c r="F186" s="107" t="s">
        <v>1173</v>
      </c>
      <c r="G186" s="107" t="s">
        <v>1878</v>
      </c>
      <c r="H186" s="68" t="s">
        <v>2166</v>
      </c>
      <c r="I186" s="156">
        <v>1901</v>
      </c>
      <c r="J186" s="82" t="s">
        <v>2167</v>
      </c>
      <c r="K186" s="156">
        <v>2012</v>
      </c>
      <c r="L186" s="82" t="s">
        <v>2168</v>
      </c>
    </row>
    <row r="187" spans="1:12" ht="12.75">
      <c r="A187" s="143" t="s">
        <v>118</v>
      </c>
      <c r="B187" s="41">
        <v>298</v>
      </c>
      <c r="C187" s="140">
        <f>B185</f>
        <v>296</v>
      </c>
      <c r="D187" s="144" t="s">
        <v>2165</v>
      </c>
      <c r="E187" s="79" t="s">
        <v>1152</v>
      </c>
      <c r="F187" s="107" t="s">
        <v>1169</v>
      </c>
      <c r="G187" s="107" t="s">
        <v>1297</v>
      </c>
      <c r="H187" s="68" t="s">
        <v>2169</v>
      </c>
      <c r="I187" s="156">
        <v>1901</v>
      </c>
      <c r="J187" s="82" t="s">
        <v>2167</v>
      </c>
      <c r="K187" s="99">
        <v>2013</v>
      </c>
      <c r="L187" s="82" t="s">
        <v>2170</v>
      </c>
    </row>
    <row r="188" spans="1:12" ht="12.6" customHeight="1">
      <c r="A188" s="143" t="s">
        <v>118</v>
      </c>
      <c r="B188" s="41">
        <v>299</v>
      </c>
      <c r="C188" s="140">
        <f>B185</f>
        <v>296</v>
      </c>
      <c r="D188" s="144" t="s">
        <v>2171</v>
      </c>
      <c r="E188" s="82" t="s">
        <v>1158</v>
      </c>
      <c r="F188" s="107" t="s">
        <v>1173</v>
      </c>
      <c r="G188" s="107" t="s">
        <v>1174</v>
      </c>
      <c r="H188" s="68" t="s">
        <v>2172</v>
      </c>
      <c r="I188" s="156">
        <v>1941</v>
      </c>
      <c r="J188" s="82" t="s">
        <v>2173</v>
      </c>
      <c r="K188" s="156">
        <v>1977</v>
      </c>
      <c r="L188" s="82" t="s">
        <v>2174</v>
      </c>
    </row>
    <row r="189" spans="1:12" ht="12.75">
      <c r="A189" s="143" t="s">
        <v>118</v>
      </c>
      <c r="B189" s="41">
        <v>300</v>
      </c>
      <c r="C189" s="140">
        <f>B188</f>
        <v>299</v>
      </c>
      <c r="D189" s="144" t="s">
        <v>2157</v>
      </c>
      <c r="E189" s="82" t="s">
        <v>1152</v>
      </c>
      <c r="F189" s="107" t="s">
        <v>1169</v>
      </c>
      <c r="G189" s="107" t="s">
        <v>1202</v>
      </c>
      <c r="H189" s="68" t="s">
        <v>2175</v>
      </c>
      <c r="I189" s="99">
        <v>2000</v>
      </c>
      <c r="J189" s="82" t="s">
        <v>2176</v>
      </c>
      <c r="K189" s="99">
        <v>2000</v>
      </c>
      <c r="L189" s="82" t="s">
        <v>2176</v>
      </c>
    </row>
    <row r="190" spans="1:12" ht="12.75">
      <c r="A190" s="143" t="s">
        <v>118</v>
      </c>
      <c r="B190" s="41">
        <v>301</v>
      </c>
      <c r="C190" s="140" t="str">
        <f>CONCATENATE(B186,", ",B187)</f>
        <v>297, 298</v>
      </c>
      <c r="D190" s="144" t="s">
        <v>2177</v>
      </c>
      <c r="E190" s="82" t="s">
        <v>1152</v>
      </c>
      <c r="F190" s="107" t="s">
        <v>1173</v>
      </c>
      <c r="G190" s="107" t="s">
        <v>1878</v>
      </c>
      <c r="H190" s="68" t="s">
        <v>2178</v>
      </c>
      <c r="I190" s="99">
        <v>2003</v>
      </c>
      <c r="J190" s="82" t="s">
        <v>2179</v>
      </c>
      <c r="K190" s="99">
        <v>2013</v>
      </c>
      <c r="L190" s="82" t="s">
        <v>2170</v>
      </c>
    </row>
    <row r="191" spans="1:12" ht="12.75">
      <c r="A191" s="198" t="s">
        <v>189</v>
      </c>
      <c r="B191" s="41">
        <v>750</v>
      </c>
      <c r="C191" s="140"/>
      <c r="D191" s="191" t="s">
        <v>3524</v>
      </c>
      <c r="E191" s="82" t="s">
        <v>1153</v>
      </c>
      <c r="F191" s="107" t="s">
        <v>1153</v>
      </c>
      <c r="G191" s="74" t="s">
        <v>1154</v>
      </c>
      <c r="H191" s="225" t="s">
        <v>3525</v>
      </c>
      <c r="I191" s="99">
        <v>1864</v>
      </c>
      <c r="J191" s="246" t="s">
        <v>3526</v>
      </c>
      <c r="K191" s="99">
        <v>2016</v>
      </c>
      <c r="L191" s="181" t="s">
        <v>3527</v>
      </c>
    </row>
    <row r="192" spans="1:12" ht="12.75">
      <c r="A192" s="23" t="s">
        <v>189</v>
      </c>
      <c r="B192" s="41">
        <v>751</v>
      </c>
      <c r="C192" s="182">
        <f>B191</f>
        <v>750</v>
      </c>
      <c r="D192" s="191" t="s">
        <v>3528</v>
      </c>
      <c r="E192" s="107" t="s">
        <v>1152</v>
      </c>
      <c r="F192" s="107" t="s">
        <v>1169</v>
      </c>
      <c r="G192" s="225" t="s">
        <v>1367</v>
      </c>
      <c r="H192" s="75" t="s">
        <v>3529</v>
      </c>
      <c r="I192" s="124" t="s">
        <v>3530</v>
      </c>
      <c r="J192" s="246" t="s">
        <v>3531</v>
      </c>
      <c r="K192" s="124">
        <v>2019</v>
      </c>
      <c r="L192" s="181" t="s">
        <v>3532</v>
      </c>
    </row>
    <row r="193" spans="1:12" ht="12.75">
      <c r="A193" s="23" t="s">
        <v>189</v>
      </c>
      <c r="B193" s="41">
        <v>752</v>
      </c>
      <c r="C193" s="182">
        <f>B191</f>
        <v>750</v>
      </c>
      <c r="D193" s="191" t="s">
        <v>3528</v>
      </c>
      <c r="E193" s="107" t="s">
        <v>1158</v>
      </c>
      <c r="F193" s="107" t="s">
        <v>1173</v>
      </c>
      <c r="G193" s="225" t="s">
        <v>1174</v>
      </c>
      <c r="H193" s="75" t="s">
        <v>3533</v>
      </c>
      <c r="I193" s="124" t="s">
        <v>3530</v>
      </c>
      <c r="J193" s="246" t="s">
        <v>3531</v>
      </c>
      <c r="K193" s="124">
        <v>2019</v>
      </c>
      <c r="L193" s="181" t="s">
        <v>3532</v>
      </c>
    </row>
    <row r="194" spans="1:12" ht="12.75">
      <c r="A194" s="182" t="s">
        <v>296</v>
      </c>
      <c r="B194" s="41">
        <v>556</v>
      </c>
      <c r="C194" s="182"/>
      <c r="D194" s="191" t="s">
        <v>2999</v>
      </c>
      <c r="E194" s="107" t="s">
        <v>1153</v>
      </c>
      <c r="F194" s="107" t="s">
        <v>1153</v>
      </c>
      <c r="G194" s="107" t="s">
        <v>1154</v>
      </c>
      <c r="H194" s="107" t="s">
        <v>3000</v>
      </c>
      <c r="I194" s="124">
        <v>1682</v>
      </c>
      <c r="J194" s="107" t="s">
        <v>3001</v>
      </c>
      <c r="K194" s="124">
        <v>1996</v>
      </c>
      <c r="L194" s="107" t="s">
        <v>3002</v>
      </c>
    </row>
    <row r="195" spans="1:12" ht="12.75">
      <c r="A195" s="182" t="s">
        <v>296</v>
      </c>
      <c r="B195" s="41">
        <v>557</v>
      </c>
      <c r="C195" s="182">
        <f>B194</f>
        <v>556</v>
      </c>
      <c r="D195" s="191" t="s">
        <v>888</v>
      </c>
      <c r="E195" s="107" t="s">
        <v>1152</v>
      </c>
      <c r="F195" s="107" t="s">
        <v>1169</v>
      </c>
      <c r="G195" s="107" t="s">
        <v>1367</v>
      </c>
      <c r="H195" s="107" t="s">
        <v>3003</v>
      </c>
      <c r="I195" s="124">
        <v>1755</v>
      </c>
      <c r="J195" s="177" t="s">
        <v>3004</v>
      </c>
      <c r="K195" s="124">
        <v>2008</v>
      </c>
      <c r="L195" s="178" t="s">
        <v>3005</v>
      </c>
    </row>
    <row r="196" spans="1:12" ht="12.75">
      <c r="A196" s="182" t="s">
        <v>296</v>
      </c>
      <c r="B196" s="41">
        <v>558</v>
      </c>
      <c r="C196" s="182">
        <f>B194</f>
        <v>556</v>
      </c>
      <c r="D196" s="29" t="s">
        <v>888</v>
      </c>
      <c r="E196" s="58" t="s">
        <v>1152</v>
      </c>
      <c r="F196" s="107" t="s">
        <v>1169</v>
      </c>
      <c r="G196" s="107" t="s">
        <v>1367</v>
      </c>
      <c r="H196" s="107" t="s">
        <v>3006</v>
      </c>
      <c r="I196" s="124">
        <v>1769</v>
      </c>
      <c r="J196" s="107" t="s">
        <v>3007</v>
      </c>
      <c r="K196" s="124">
        <v>2019</v>
      </c>
      <c r="L196" s="107" t="s">
        <v>3008</v>
      </c>
    </row>
    <row r="197" spans="1:12" ht="12.75">
      <c r="A197" s="182" t="s">
        <v>296</v>
      </c>
      <c r="B197" s="41">
        <v>559</v>
      </c>
      <c r="C197" s="11">
        <f>B196</f>
        <v>558</v>
      </c>
      <c r="D197" s="29" t="s">
        <v>889</v>
      </c>
      <c r="E197" s="58" t="s">
        <v>1152</v>
      </c>
      <c r="F197" s="107" t="s">
        <v>1159</v>
      </c>
      <c r="G197" s="107" t="s">
        <v>1160</v>
      </c>
      <c r="H197" s="107" t="s">
        <v>3009</v>
      </c>
      <c r="I197" s="124">
        <v>1784</v>
      </c>
      <c r="J197" s="178" t="s">
        <v>3010</v>
      </c>
      <c r="K197" s="124">
        <v>2019</v>
      </c>
      <c r="L197" s="107" t="s">
        <v>3011</v>
      </c>
    </row>
    <row r="198" spans="1:12" ht="12.75">
      <c r="A198" s="182" t="s">
        <v>296</v>
      </c>
      <c r="B198" s="41">
        <v>560</v>
      </c>
      <c r="C198" s="11">
        <f>B194</f>
        <v>556</v>
      </c>
      <c r="D198" s="29" t="s">
        <v>888</v>
      </c>
      <c r="E198" s="79" t="s">
        <v>1152</v>
      </c>
      <c r="F198" s="79" t="s">
        <v>1169</v>
      </c>
      <c r="G198" s="79" t="s">
        <v>1367</v>
      </c>
      <c r="H198" s="107" t="s">
        <v>3012</v>
      </c>
      <c r="I198" s="124">
        <v>1847</v>
      </c>
      <c r="J198" s="107" t="s">
        <v>3013</v>
      </c>
      <c r="K198" s="124">
        <v>1988</v>
      </c>
      <c r="L198" s="177" t="s">
        <v>3014</v>
      </c>
    </row>
    <row r="199" spans="1:12" ht="12.6" customHeight="1">
      <c r="A199" s="198" t="s">
        <v>337</v>
      </c>
      <c r="B199" s="41">
        <v>645</v>
      </c>
      <c r="C199" s="180"/>
      <c r="D199" s="201" t="s">
        <v>967</v>
      </c>
      <c r="E199" s="181" t="s">
        <v>1153</v>
      </c>
      <c r="F199" s="181" t="s">
        <v>1153</v>
      </c>
      <c r="G199" s="181" t="s">
        <v>1186</v>
      </c>
      <c r="H199" s="107" t="s">
        <v>3241</v>
      </c>
      <c r="I199" s="124">
        <v>1860</v>
      </c>
      <c r="J199" s="258" t="s">
        <v>3242</v>
      </c>
      <c r="K199" s="124">
        <v>2022</v>
      </c>
      <c r="L199" s="181" t="s">
        <v>3243</v>
      </c>
    </row>
    <row r="200" spans="1:12" ht="12.6" customHeight="1">
      <c r="A200" s="198" t="s">
        <v>337</v>
      </c>
      <c r="B200" s="41">
        <v>646</v>
      </c>
      <c r="C200" s="180">
        <f>B199</f>
        <v>645</v>
      </c>
      <c r="D200" s="201" t="s">
        <v>967</v>
      </c>
      <c r="E200" s="181" t="s">
        <v>1152</v>
      </c>
      <c r="F200" s="181" t="s">
        <v>1169</v>
      </c>
      <c r="G200" s="79" t="s">
        <v>1170</v>
      </c>
      <c r="H200" s="107" t="s">
        <v>3244</v>
      </c>
      <c r="I200" s="98">
        <v>1889</v>
      </c>
      <c r="J200" s="82" t="s">
        <v>3245</v>
      </c>
      <c r="K200" s="98">
        <v>2011</v>
      </c>
      <c r="L200" s="205" t="s">
        <v>3246</v>
      </c>
    </row>
    <row r="201" spans="1:12" ht="12.6" customHeight="1">
      <c r="A201" s="198" t="s">
        <v>337</v>
      </c>
      <c r="B201" s="41">
        <v>647</v>
      </c>
      <c r="C201" s="11">
        <f>B200</f>
        <v>646</v>
      </c>
      <c r="D201" s="16" t="s">
        <v>967</v>
      </c>
      <c r="E201" s="181" t="s">
        <v>1152</v>
      </c>
      <c r="F201" s="181" t="s">
        <v>1190</v>
      </c>
      <c r="G201" s="58" t="s">
        <v>1232</v>
      </c>
      <c r="H201" s="59" t="s">
        <v>3247</v>
      </c>
      <c r="I201" s="72">
        <v>1916</v>
      </c>
      <c r="J201" s="205" t="s">
        <v>3248</v>
      </c>
      <c r="K201" s="72">
        <v>2012</v>
      </c>
      <c r="L201" s="205" t="s">
        <v>3249</v>
      </c>
    </row>
    <row r="202" spans="1:12" ht="13.15" customHeight="1">
      <c r="A202" s="198" t="s">
        <v>337</v>
      </c>
      <c r="B202" s="41">
        <v>648</v>
      </c>
      <c r="C202" s="41">
        <f>B201</f>
        <v>647</v>
      </c>
      <c r="D202" s="191" t="s">
        <v>967</v>
      </c>
      <c r="E202" s="181" t="s">
        <v>1158</v>
      </c>
      <c r="F202" s="181" t="s">
        <v>1169</v>
      </c>
      <c r="G202" s="107" t="s">
        <v>1297</v>
      </c>
      <c r="H202" s="59" t="s">
        <v>3250</v>
      </c>
      <c r="I202" s="72">
        <v>1999</v>
      </c>
      <c r="J202" s="62" t="s">
        <v>3251</v>
      </c>
      <c r="K202" s="60">
        <v>2022</v>
      </c>
      <c r="L202" s="181" t="s">
        <v>3252</v>
      </c>
    </row>
    <row r="203" spans="1:12" ht="12.75">
      <c r="A203" s="198" t="s">
        <v>120</v>
      </c>
      <c r="B203" s="41">
        <v>305</v>
      </c>
      <c r="C203" s="198"/>
      <c r="D203" s="120" t="s">
        <v>121</v>
      </c>
      <c r="E203" s="107" t="s">
        <v>1153</v>
      </c>
      <c r="F203" s="107" t="s">
        <v>1153</v>
      </c>
      <c r="G203" s="225" t="s">
        <v>1154</v>
      </c>
      <c r="H203" s="225" t="s">
        <v>2193</v>
      </c>
      <c r="I203" s="193">
        <v>1769</v>
      </c>
      <c r="J203" s="225" t="s">
        <v>2194</v>
      </c>
      <c r="K203" s="193">
        <v>2019</v>
      </c>
      <c r="L203" s="225" t="s">
        <v>2195</v>
      </c>
    </row>
    <row r="204" spans="1:12" ht="12.75">
      <c r="A204" s="198" t="s">
        <v>120</v>
      </c>
      <c r="B204" s="41">
        <v>306</v>
      </c>
      <c r="C204" s="198">
        <f>B203</f>
        <v>305</v>
      </c>
      <c r="D204" s="120" t="s">
        <v>2196</v>
      </c>
      <c r="E204" s="58" t="s">
        <v>1152</v>
      </c>
      <c r="F204" s="58" t="s">
        <v>1169</v>
      </c>
      <c r="G204" s="225" t="s">
        <v>1202</v>
      </c>
      <c r="H204" s="225" t="s">
        <v>2197</v>
      </c>
      <c r="I204" s="193" t="s">
        <v>2198</v>
      </c>
      <c r="J204" s="225" t="s">
        <v>2199</v>
      </c>
      <c r="K204" s="193">
        <v>2019</v>
      </c>
      <c r="L204" s="225" t="s">
        <v>2200</v>
      </c>
    </row>
    <row r="205" spans="1:12" ht="15.95" customHeight="1">
      <c r="A205" s="23" t="s">
        <v>120</v>
      </c>
      <c r="B205" s="41">
        <v>307</v>
      </c>
      <c r="C205" s="198">
        <f>B203</f>
        <v>305</v>
      </c>
      <c r="D205" s="120" t="s">
        <v>2196</v>
      </c>
      <c r="E205" s="107" t="s">
        <v>1158</v>
      </c>
      <c r="F205" s="107" t="s">
        <v>1159</v>
      </c>
      <c r="G205" s="225" t="s">
        <v>1160</v>
      </c>
      <c r="H205" s="75" t="s">
        <v>2201</v>
      </c>
      <c r="I205" s="76" t="s">
        <v>2198</v>
      </c>
      <c r="J205" s="225" t="s">
        <v>2199</v>
      </c>
      <c r="K205" s="78">
        <v>2019</v>
      </c>
      <c r="L205" s="77" t="s">
        <v>2200</v>
      </c>
    </row>
    <row r="206" spans="1:12" ht="15.95" customHeight="1">
      <c r="A206" s="23" t="s">
        <v>120</v>
      </c>
      <c r="B206" s="41">
        <v>308</v>
      </c>
      <c r="C206" s="198" t="str">
        <f>CONCATENATE(B204, ", ", B205)</f>
        <v>306, 307</v>
      </c>
      <c r="D206" s="120" t="s">
        <v>2202</v>
      </c>
      <c r="E206" s="107" t="s">
        <v>1158</v>
      </c>
      <c r="F206" s="107" t="s">
        <v>1159</v>
      </c>
      <c r="G206" s="225" t="s">
        <v>1165</v>
      </c>
      <c r="H206" s="75" t="s">
        <v>2203</v>
      </c>
      <c r="I206" s="76">
        <v>1813</v>
      </c>
      <c r="J206" s="77" t="s">
        <v>2204</v>
      </c>
      <c r="K206" s="78">
        <v>2016</v>
      </c>
      <c r="L206" s="77" t="s">
        <v>2205</v>
      </c>
    </row>
    <row r="207" spans="1:12" ht="12.75">
      <c r="A207" s="23" t="s">
        <v>120</v>
      </c>
      <c r="B207" s="41">
        <v>309</v>
      </c>
      <c r="C207" s="23">
        <f>B206</f>
        <v>308</v>
      </c>
      <c r="D207" s="22" t="s">
        <v>2206</v>
      </c>
      <c r="E207" s="107" t="s">
        <v>1158</v>
      </c>
      <c r="F207" s="107" t="s">
        <v>1173</v>
      </c>
      <c r="G207" s="74" t="s">
        <v>1371</v>
      </c>
      <c r="H207" s="75" t="s">
        <v>2207</v>
      </c>
      <c r="I207" s="76">
        <v>1813</v>
      </c>
      <c r="J207" s="77" t="s">
        <v>2208</v>
      </c>
      <c r="K207" s="78" t="s">
        <v>1520</v>
      </c>
      <c r="L207" s="77" t="s">
        <v>2209</v>
      </c>
    </row>
    <row r="208" spans="1:12" ht="15" customHeight="1">
      <c r="A208" s="23" t="s">
        <v>120</v>
      </c>
      <c r="B208" s="41">
        <v>310</v>
      </c>
      <c r="C208" s="23">
        <f>B206</f>
        <v>308</v>
      </c>
      <c r="D208" s="120" t="s">
        <v>2210</v>
      </c>
      <c r="E208" s="107" t="s">
        <v>1152</v>
      </c>
      <c r="F208" s="107" t="s">
        <v>1190</v>
      </c>
      <c r="G208" s="74" t="s">
        <v>2211</v>
      </c>
      <c r="H208" s="75" t="s">
        <v>2212</v>
      </c>
      <c r="I208" s="76" t="s">
        <v>2213</v>
      </c>
      <c r="J208" s="225" t="s">
        <v>2214</v>
      </c>
      <c r="K208" s="76">
        <v>2014</v>
      </c>
      <c r="L208" s="77" t="s">
        <v>2215</v>
      </c>
    </row>
    <row r="209" spans="1:12" ht="13.15" customHeight="1">
      <c r="A209" s="23" t="s">
        <v>120</v>
      </c>
      <c r="B209" s="41">
        <v>311</v>
      </c>
      <c r="C209" s="198">
        <f>B208</f>
        <v>310</v>
      </c>
      <c r="D209" s="120" t="s">
        <v>2210</v>
      </c>
      <c r="E209" s="107" t="s">
        <v>1158</v>
      </c>
      <c r="F209" s="107" t="s">
        <v>1214</v>
      </c>
      <c r="G209" s="225" t="s">
        <v>1239</v>
      </c>
      <c r="H209" s="75" t="s">
        <v>2216</v>
      </c>
      <c r="I209" s="76">
        <v>1831</v>
      </c>
      <c r="J209" s="77" t="s">
        <v>2217</v>
      </c>
      <c r="K209" s="78">
        <v>2019</v>
      </c>
      <c r="L209" s="77" t="s">
        <v>2218</v>
      </c>
    </row>
    <row r="210" spans="1:12" ht="12.75">
      <c r="A210" s="23" t="s">
        <v>120</v>
      </c>
      <c r="B210" s="41">
        <v>312</v>
      </c>
      <c r="C210" s="198">
        <f>B209</f>
        <v>311</v>
      </c>
      <c r="D210" s="120" t="s">
        <v>2219</v>
      </c>
      <c r="E210" s="107" t="s">
        <v>1152</v>
      </c>
      <c r="F210" s="107" t="s">
        <v>1208</v>
      </c>
      <c r="G210" s="74" t="s">
        <v>1209</v>
      </c>
      <c r="H210" s="75" t="s">
        <v>2220</v>
      </c>
      <c r="I210" s="76">
        <v>1844</v>
      </c>
      <c r="J210" s="77" t="s">
        <v>2221</v>
      </c>
      <c r="K210" s="78">
        <v>2019</v>
      </c>
      <c r="L210" s="77" t="s">
        <v>2222</v>
      </c>
    </row>
    <row r="211" spans="1:12" ht="12.75">
      <c r="A211" s="23" t="s">
        <v>120</v>
      </c>
      <c r="B211" s="41">
        <v>313</v>
      </c>
      <c r="C211" s="198">
        <f>B209</f>
        <v>311</v>
      </c>
      <c r="D211" s="120" t="s">
        <v>2223</v>
      </c>
      <c r="E211" s="107" t="s">
        <v>1158</v>
      </c>
      <c r="F211" s="107" t="s">
        <v>1173</v>
      </c>
      <c r="G211" s="74" t="s">
        <v>1174</v>
      </c>
      <c r="H211" s="75" t="s">
        <v>2224</v>
      </c>
      <c r="I211" s="76">
        <v>1855</v>
      </c>
      <c r="J211" s="77" t="s">
        <v>2225</v>
      </c>
      <c r="K211" s="76">
        <v>2015</v>
      </c>
      <c r="L211" s="77" t="s">
        <v>2226</v>
      </c>
    </row>
    <row r="212" spans="1:12" ht="12.75">
      <c r="A212" s="23" t="s">
        <v>120</v>
      </c>
      <c r="B212" s="41">
        <v>314</v>
      </c>
      <c r="C212" s="198" t="str">
        <f>CONCATENATE(B207, ", ", B210, ", ", B211)</f>
        <v>309, 312, 313</v>
      </c>
      <c r="D212" s="120" t="s">
        <v>2210</v>
      </c>
      <c r="E212" s="107" t="s">
        <v>1152</v>
      </c>
      <c r="F212" s="107" t="s">
        <v>1190</v>
      </c>
      <c r="G212" s="75" t="s">
        <v>1585</v>
      </c>
      <c r="H212" s="75" t="s">
        <v>2227</v>
      </c>
      <c r="I212" s="76">
        <v>1897</v>
      </c>
      <c r="J212" s="77" t="s">
        <v>2228</v>
      </c>
      <c r="K212" s="78">
        <v>2019</v>
      </c>
      <c r="L212" s="77" t="s">
        <v>2229</v>
      </c>
    </row>
    <row r="213" spans="1:12" ht="13.15" customHeight="1">
      <c r="A213" s="23" t="s">
        <v>120</v>
      </c>
      <c r="B213" s="41">
        <v>315</v>
      </c>
      <c r="C213" s="198">
        <f>B212</f>
        <v>314</v>
      </c>
      <c r="D213" s="120" t="s">
        <v>2230</v>
      </c>
      <c r="E213" s="107" t="s">
        <v>1158</v>
      </c>
      <c r="F213" s="107" t="s">
        <v>1173</v>
      </c>
      <c r="G213" s="225" t="s">
        <v>1174</v>
      </c>
      <c r="H213" s="75" t="s">
        <v>2231</v>
      </c>
      <c r="I213" s="76">
        <v>1932</v>
      </c>
      <c r="J213" s="77" t="s">
        <v>2232</v>
      </c>
      <c r="K213" s="78">
        <v>1981</v>
      </c>
      <c r="L213" s="225" t="s">
        <v>2233</v>
      </c>
    </row>
    <row r="214" spans="1:12" ht="12.75">
      <c r="A214" s="182" t="s">
        <v>298</v>
      </c>
      <c r="B214" s="41">
        <v>561</v>
      </c>
      <c r="C214" s="48"/>
      <c r="D214" s="191" t="s">
        <v>3015</v>
      </c>
      <c r="E214" s="107" t="s">
        <v>1153</v>
      </c>
      <c r="F214" s="107" t="s">
        <v>1153</v>
      </c>
      <c r="G214" s="181" t="s">
        <v>1186</v>
      </c>
      <c r="H214" s="107" t="s">
        <v>3016</v>
      </c>
      <c r="I214" s="124">
        <v>1829</v>
      </c>
      <c r="J214" s="205" t="s">
        <v>3017</v>
      </c>
      <c r="K214" s="124">
        <v>2017</v>
      </c>
      <c r="L214" s="107" t="s">
        <v>3018</v>
      </c>
    </row>
    <row r="215" spans="1:12" ht="25.7" customHeight="1">
      <c r="A215" s="182" t="s">
        <v>298</v>
      </c>
      <c r="B215" s="41">
        <v>562</v>
      </c>
      <c r="C215" s="48">
        <f>B214</f>
        <v>561</v>
      </c>
      <c r="D215" s="191" t="s">
        <v>3019</v>
      </c>
      <c r="E215" s="107" t="s">
        <v>1158</v>
      </c>
      <c r="F215" s="107" t="s">
        <v>1173</v>
      </c>
      <c r="G215" s="107" t="s">
        <v>1174</v>
      </c>
      <c r="H215" s="107" t="s">
        <v>3020</v>
      </c>
      <c r="I215" s="182">
        <v>1899</v>
      </c>
      <c r="J215" s="191" t="s">
        <v>3021</v>
      </c>
      <c r="K215" s="191">
        <v>2020</v>
      </c>
      <c r="L215" s="191" t="s">
        <v>3022</v>
      </c>
    </row>
    <row r="216" spans="1:12" ht="12.75">
      <c r="A216" s="182" t="s">
        <v>298</v>
      </c>
      <c r="B216" s="41">
        <v>563</v>
      </c>
      <c r="C216" s="182">
        <f>B214</f>
        <v>561</v>
      </c>
      <c r="D216" s="191" t="s">
        <v>3023</v>
      </c>
      <c r="E216" s="107" t="s">
        <v>1158</v>
      </c>
      <c r="F216" s="107" t="s">
        <v>1159</v>
      </c>
      <c r="G216" s="107" t="s">
        <v>1267</v>
      </c>
      <c r="H216" s="107" t="s">
        <v>3024</v>
      </c>
      <c r="I216" s="124">
        <v>1846</v>
      </c>
      <c r="J216" s="107" t="s">
        <v>3025</v>
      </c>
      <c r="K216" s="124">
        <v>2021</v>
      </c>
      <c r="L216" s="107" t="s">
        <v>3026</v>
      </c>
    </row>
    <row r="217" spans="1:12" ht="12.75">
      <c r="A217" s="23" t="s">
        <v>341</v>
      </c>
      <c r="B217" s="41">
        <v>657</v>
      </c>
      <c r="C217" s="180"/>
      <c r="D217" s="201" t="s">
        <v>3284</v>
      </c>
      <c r="E217" s="181" t="s">
        <v>1153</v>
      </c>
      <c r="F217" s="181" t="s">
        <v>1153</v>
      </c>
      <c r="G217" s="181" t="s">
        <v>1186</v>
      </c>
      <c r="H217" s="181" t="s">
        <v>3285</v>
      </c>
      <c r="I217" s="165" t="s">
        <v>2797</v>
      </c>
      <c r="J217" s="189" t="s">
        <v>3286</v>
      </c>
      <c r="K217" s="165">
        <v>2014</v>
      </c>
      <c r="L217" s="181" t="s">
        <v>3287</v>
      </c>
    </row>
    <row r="218" spans="1:12" ht="12.75">
      <c r="A218" s="23" t="s">
        <v>341</v>
      </c>
      <c r="B218" s="41">
        <v>658</v>
      </c>
      <c r="C218" s="180">
        <f>B217</f>
        <v>657</v>
      </c>
      <c r="D218" s="201" t="s">
        <v>3284</v>
      </c>
      <c r="E218" s="181" t="s">
        <v>1152</v>
      </c>
      <c r="F218" s="181" t="s">
        <v>1169</v>
      </c>
      <c r="G218" s="181" t="s">
        <v>1367</v>
      </c>
      <c r="H218" s="181" t="s">
        <v>3288</v>
      </c>
      <c r="I218" s="165">
        <v>1828</v>
      </c>
      <c r="J218" s="181" t="s">
        <v>3289</v>
      </c>
      <c r="K218" s="165">
        <v>2015</v>
      </c>
      <c r="L218" s="181" t="s">
        <v>3290</v>
      </c>
    </row>
    <row r="219" spans="1:12" ht="12.75">
      <c r="A219" s="23" t="s">
        <v>341</v>
      </c>
      <c r="B219" s="41">
        <v>659</v>
      </c>
      <c r="C219" s="180" t="str">
        <f>CONCATENATE(B217,", ",B218)</f>
        <v>657, 658</v>
      </c>
      <c r="D219" s="201" t="s">
        <v>3284</v>
      </c>
      <c r="E219" s="181" t="s">
        <v>1152</v>
      </c>
      <c r="F219" s="181" t="s">
        <v>1169</v>
      </c>
      <c r="G219" s="181" t="s">
        <v>1367</v>
      </c>
      <c r="H219" s="181" t="s">
        <v>3291</v>
      </c>
      <c r="I219" s="165">
        <v>1836</v>
      </c>
      <c r="J219" s="181" t="s">
        <v>3292</v>
      </c>
      <c r="K219" s="165">
        <v>2017</v>
      </c>
      <c r="L219" s="181" t="s">
        <v>3293</v>
      </c>
    </row>
    <row r="220" spans="1:12" ht="12.75">
      <c r="A220" s="23" t="s">
        <v>341</v>
      </c>
      <c r="B220" s="41">
        <v>660</v>
      </c>
      <c r="C220" s="180" t="str">
        <f>CONCATENATE(B217,", ",B218,", ",B219)</f>
        <v>657, 658, 659</v>
      </c>
      <c r="D220" s="201" t="s">
        <v>3294</v>
      </c>
      <c r="E220" s="181" t="s">
        <v>1158</v>
      </c>
      <c r="F220" s="181" t="s">
        <v>1214</v>
      </c>
      <c r="G220" s="181" t="s">
        <v>1247</v>
      </c>
      <c r="H220" s="181" t="s">
        <v>3295</v>
      </c>
      <c r="I220" s="165">
        <v>1859</v>
      </c>
      <c r="J220" s="181" t="s">
        <v>3296</v>
      </c>
      <c r="K220" s="165">
        <v>1994</v>
      </c>
      <c r="L220" s="181" t="s">
        <v>3297</v>
      </c>
    </row>
    <row r="221" spans="1:12" ht="12.75">
      <c r="A221" s="23" t="s">
        <v>341</v>
      </c>
      <c r="B221" s="41">
        <v>661</v>
      </c>
      <c r="C221" s="180" t="str">
        <f>CONCATENATE(B217,", ",B218,", ",B219)</f>
        <v>657, 658, 659</v>
      </c>
      <c r="D221" s="201" t="s">
        <v>3298</v>
      </c>
      <c r="E221" s="181" t="s">
        <v>1158</v>
      </c>
      <c r="F221" s="181" t="s">
        <v>1214</v>
      </c>
      <c r="G221" s="181" t="s">
        <v>3299</v>
      </c>
      <c r="H221" s="181" t="s">
        <v>3300</v>
      </c>
      <c r="I221" s="165">
        <v>1889</v>
      </c>
      <c r="J221" s="181" t="s">
        <v>3301</v>
      </c>
      <c r="K221" s="165" t="s">
        <v>3302</v>
      </c>
      <c r="L221" s="181" t="s">
        <v>3303</v>
      </c>
    </row>
    <row r="222" spans="1:12" ht="12.75">
      <c r="A222" s="182" t="s">
        <v>122</v>
      </c>
      <c r="B222" s="41">
        <v>141</v>
      </c>
      <c r="C222" s="182"/>
      <c r="D222" s="144" t="s">
        <v>1653</v>
      </c>
      <c r="E222" s="107" t="s">
        <v>1153</v>
      </c>
      <c r="F222" s="107" t="s">
        <v>1153</v>
      </c>
      <c r="G222" s="107" t="s">
        <v>1154</v>
      </c>
      <c r="H222" s="107" t="s">
        <v>1654</v>
      </c>
      <c r="I222" s="124">
        <v>1791</v>
      </c>
      <c r="J222" s="107" t="s">
        <v>1655</v>
      </c>
      <c r="K222" s="124">
        <v>2001</v>
      </c>
      <c r="L222" s="107" t="s">
        <v>1656</v>
      </c>
    </row>
    <row r="223" spans="1:12" ht="12.6" customHeight="1">
      <c r="A223" s="182" t="s">
        <v>122</v>
      </c>
      <c r="B223" s="41">
        <v>142</v>
      </c>
      <c r="C223" s="182">
        <f>B222</f>
        <v>141</v>
      </c>
      <c r="D223" s="144" t="s">
        <v>1657</v>
      </c>
      <c r="E223" s="107" t="s">
        <v>1158</v>
      </c>
      <c r="F223" s="107" t="s">
        <v>1159</v>
      </c>
      <c r="G223" s="107" t="s">
        <v>1160</v>
      </c>
      <c r="H223" s="107" t="s">
        <v>1658</v>
      </c>
      <c r="I223" s="124" t="s">
        <v>1659</v>
      </c>
      <c r="J223" s="107" t="s">
        <v>1660</v>
      </c>
      <c r="K223" s="124">
        <v>2019</v>
      </c>
      <c r="L223" s="107" t="s">
        <v>1661</v>
      </c>
    </row>
    <row r="224" spans="1:12" ht="25.5">
      <c r="A224" s="182" t="s">
        <v>122</v>
      </c>
      <c r="B224" s="41">
        <v>143</v>
      </c>
      <c r="C224" s="182">
        <f>B223</f>
        <v>142</v>
      </c>
      <c r="D224" s="144" t="s">
        <v>1662</v>
      </c>
      <c r="E224" s="191" t="s">
        <v>1152</v>
      </c>
      <c r="F224" s="315" t="s">
        <v>1190</v>
      </c>
      <c r="G224" s="115" t="s">
        <v>1585</v>
      </c>
      <c r="H224" s="107" t="s">
        <v>1663</v>
      </c>
      <c r="I224" s="124">
        <v>1869</v>
      </c>
      <c r="J224" s="107" t="s">
        <v>1664</v>
      </c>
      <c r="K224" s="124">
        <v>2013</v>
      </c>
      <c r="L224" s="107" t="s">
        <v>1665</v>
      </c>
    </row>
    <row r="225" spans="1:12" ht="25.5">
      <c r="A225" s="182" t="s">
        <v>122</v>
      </c>
      <c r="B225" s="41">
        <v>144</v>
      </c>
      <c r="C225" s="182">
        <f>B224</f>
        <v>143</v>
      </c>
      <c r="D225" s="144" t="s">
        <v>1666</v>
      </c>
      <c r="E225" s="107" t="s">
        <v>1158</v>
      </c>
      <c r="F225" s="107" t="s">
        <v>1214</v>
      </c>
      <c r="G225" s="115" t="s">
        <v>1392</v>
      </c>
      <c r="H225" s="107" t="s">
        <v>1667</v>
      </c>
      <c r="I225" s="124">
        <v>1895</v>
      </c>
      <c r="J225" s="107" t="s">
        <v>1668</v>
      </c>
      <c r="K225" s="124">
        <v>2019</v>
      </c>
      <c r="L225" s="107" t="s">
        <v>1669</v>
      </c>
    </row>
    <row r="226" spans="1:12" ht="25.5">
      <c r="A226" s="182" t="s">
        <v>122</v>
      </c>
      <c r="B226" s="41">
        <v>145</v>
      </c>
      <c r="C226" s="182">
        <f>B225</f>
        <v>144</v>
      </c>
      <c r="D226" s="144" t="s">
        <v>1670</v>
      </c>
      <c r="E226" s="107" t="s">
        <v>1158</v>
      </c>
      <c r="F226" s="107" t="s">
        <v>1214</v>
      </c>
      <c r="G226" s="115" t="s">
        <v>1392</v>
      </c>
      <c r="H226" s="107" t="s">
        <v>1671</v>
      </c>
      <c r="I226" s="124">
        <v>1964</v>
      </c>
      <c r="J226" s="107" t="s">
        <v>1672</v>
      </c>
      <c r="K226" s="124">
        <v>2019</v>
      </c>
      <c r="L226" s="107" t="s">
        <v>1661</v>
      </c>
    </row>
    <row r="227" spans="1:12" ht="25.5">
      <c r="A227" s="182" t="s">
        <v>122</v>
      </c>
      <c r="B227" s="41">
        <v>146</v>
      </c>
      <c r="C227" s="182">
        <f>B225</f>
        <v>144</v>
      </c>
      <c r="D227" s="144" t="s">
        <v>1657</v>
      </c>
      <c r="E227" s="107" t="s">
        <v>1158</v>
      </c>
      <c r="F227" s="107" t="s">
        <v>1173</v>
      </c>
      <c r="G227" s="115" t="s">
        <v>1371</v>
      </c>
      <c r="H227" s="107" t="s">
        <v>1673</v>
      </c>
      <c r="I227" s="124">
        <v>1997</v>
      </c>
      <c r="J227" s="107" t="s">
        <v>1674</v>
      </c>
      <c r="K227" s="124">
        <v>2012</v>
      </c>
      <c r="L227" s="107" t="s">
        <v>1675</v>
      </c>
    </row>
    <row r="228" spans="1:12" ht="25.5">
      <c r="A228" s="182" t="s">
        <v>122</v>
      </c>
      <c r="B228" s="41">
        <v>147</v>
      </c>
      <c r="C228" s="182">
        <f>B224</f>
        <v>143</v>
      </c>
      <c r="D228" s="144" t="s">
        <v>1676</v>
      </c>
      <c r="E228" s="107" t="s">
        <v>1158</v>
      </c>
      <c r="F228" s="107" t="s">
        <v>1159</v>
      </c>
      <c r="G228" s="317" t="s">
        <v>4309</v>
      </c>
      <c r="H228" s="107" t="s">
        <v>1677</v>
      </c>
      <c r="I228" s="124">
        <v>1964</v>
      </c>
      <c r="J228" s="107" t="s">
        <v>1678</v>
      </c>
      <c r="K228" s="124">
        <v>2015</v>
      </c>
      <c r="L228" s="107" t="s">
        <v>1679</v>
      </c>
    </row>
    <row r="229" spans="1:12" ht="12.6" customHeight="1">
      <c r="A229" s="180" t="s">
        <v>82</v>
      </c>
      <c r="B229" s="41">
        <v>104</v>
      </c>
      <c r="C229" s="182"/>
      <c r="D229" s="144" t="s">
        <v>83</v>
      </c>
      <c r="E229" s="107" t="s">
        <v>1153</v>
      </c>
      <c r="F229" s="203" t="s">
        <v>1153</v>
      </c>
      <c r="G229" s="107" t="s">
        <v>1186</v>
      </c>
      <c r="H229" s="107" t="s">
        <v>1533</v>
      </c>
      <c r="I229" s="111">
        <v>1842</v>
      </c>
      <c r="J229" s="107" t="s">
        <v>1534</v>
      </c>
      <c r="K229" s="111">
        <v>2010</v>
      </c>
      <c r="L229" s="107" t="s">
        <v>1535</v>
      </c>
    </row>
    <row r="230" spans="1:12" ht="12.6" customHeight="1">
      <c r="A230" s="180" t="s">
        <v>82</v>
      </c>
      <c r="B230" s="41">
        <v>105</v>
      </c>
      <c r="C230" s="11">
        <f>B229</f>
        <v>104</v>
      </c>
      <c r="D230" s="10" t="s">
        <v>83</v>
      </c>
      <c r="E230" s="107" t="s">
        <v>1152</v>
      </c>
      <c r="F230" s="203" t="s">
        <v>1169</v>
      </c>
      <c r="G230" s="107" t="s">
        <v>1367</v>
      </c>
      <c r="H230" s="68" t="s">
        <v>1536</v>
      </c>
      <c r="I230" s="111">
        <v>1869</v>
      </c>
      <c r="J230" s="203" t="s">
        <v>1537</v>
      </c>
      <c r="K230" s="111">
        <v>2013</v>
      </c>
      <c r="L230" s="107" t="s">
        <v>1538</v>
      </c>
    </row>
    <row r="231" spans="1:12" ht="12.6" customHeight="1">
      <c r="A231" s="180" t="s">
        <v>82</v>
      </c>
      <c r="B231" s="41">
        <v>106</v>
      </c>
      <c r="C231" s="9">
        <f>B229</f>
        <v>104</v>
      </c>
      <c r="D231" s="19" t="s">
        <v>83</v>
      </c>
      <c r="E231" s="107" t="s">
        <v>1152</v>
      </c>
      <c r="F231" s="116" t="s">
        <v>1208</v>
      </c>
      <c r="G231" s="107" t="s">
        <v>1468</v>
      </c>
      <c r="H231" s="107" t="s">
        <v>1539</v>
      </c>
      <c r="I231" s="111" t="s">
        <v>1457</v>
      </c>
      <c r="J231" s="203" t="s">
        <v>1540</v>
      </c>
      <c r="K231" s="111">
        <v>2003</v>
      </c>
      <c r="L231" s="107" t="s">
        <v>1541</v>
      </c>
    </row>
    <row r="232" spans="1:12" ht="12.6" customHeight="1">
      <c r="A232" s="180" t="s">
        <v>82</v>
      </c>
      <c r="B232" s="41">
        <v>107</v>
      </c>
      <c r="C232" s="117">
        <f>B229</f>
        <v>104</v>
      </c>
      <c r="D232" s="144" t="s">
        <v>1542</v>
      </c>
      <c r="E232" s="107" t="s">
        <v>1158</v>
      </c>
      <c r="F232" s="181" t="s">
        <v>1173</v>
      </c>
      <c r="G232" s="107" t="s">
        <v>1174</v>
      </c>
      <c r="H232" s="107" t="s">
        <v>1543</v>
      </c>
      <c r="I232" s="111" t="s">
        <v>1457</v>
      </c>
      <c r="J232" s="203" t="s">
        <v>1540</v>
      </c>
      <c r="K232" s="111">
        <v>2013</v>
      </c>
      <c r="L232" s="107" t="s">
        <v>1544</v>
      </c>
    </row>
    <row r="233" spans="1:12" ht="12.6" customHeight="1">
      <c r="A233" s="180" t="s">
        <v>82</v>
      </c>
      <c r="B233" s="41">
        <v>108</v>
      </c>
      <c r="C233" s="182" t="str">
        <f>CONCATENATE(B231, ", ", B232)</f>
        <v>106, 107</v>
      </c>
      <c r="D233" s="144" t="s">
        <v>1545</v>
      </c>
      <c r="E233" s="107" t="s">
        <v>1152</v>
      </c>
      <c r="F233" s="203" t="s">
        <v>1169</v>
      </c>
      <c r="G233" s="107" t="s">
        <v>1367</v>
      </c>
      <c r="H233" s="107" t="s">
        <v>1546</v>
      </c>
      <c r="I233" s="111" t="s">
        <v>1547</v>
      </c>
      <c r="J233" s="107" t="s">
        <v>1548</v>
      </c>
      <c r="K233" s="111">
        <v>2013</v>
      </c>
      <c r="L233" s="107" t="s">
        <v>1544</v>
      </c>
    </row>
    <row r="234" spans="1:12" ht="12.75">
      <c r="A234" s="23" t="s">
        <v>210</v>
      </c>
      <c r="B234" s="41">
        <v>384</v>
      </c>
      <c r="C234" s="23"/>
      <c r="D234" s="201" t="s">
        <v>2472</v>
      </c>
      <c r="E234" s="107" t="s">
        <v>1153</v>
      </c>
      <c r="F234" s="181" t="s">
        <v>1153</v>
      </c>
      <c r="G234" s="75" t="s">
        <v>1186</v>
      </c>
      <c r="H234" s="75" t="s">
        <v>2473</v>
      </c>
      <c r="I234" s="76">
        <v>1924</v>
      </c>
      <c r="J234" s="77" t="s">
        <v>2474</v>
      </c>
      <c r="K234" s="78">
        <v>2002</v>
      </c>
      <c r="L234" s="77" t="s">
        <v>2475</v>
      </c>
    </row>
    <row r="235" spans="1:12" ht="12.75">
      <c r="A235" s="23" t="s">
        <v>210</v>
      </c>
      <c r="B235" s="41">
        <v>385</v>
      </c>
      <c r="C235" s="23">
        <f>B234</f>
        <v>384</v>
      </c>
      <c r="D235" s="201" t="s">
        <v>2476</v>
      </c>
      <c r="E235" s="107" t="s">
        <v>1152</v>
      </c>
      <c r="F235" s="181" t="s">
        <v>1208</v>
      </c>
      <c r="G235" s="152" t="s">
        <v>1209</v>
      </c>
      <c r="H235" s="75" t="s">
        <v>2477</v>
      </c>
      <c r="I235" s="76">
        <v>1937</v>
      </c>
      <c r="J235" s="77" t="s">
        <v>2478</v>
      </c>
      <c r="K235" s="78">
        <v>2014</v>
      </c>
      <c r="L235" s="77" t="s">
        <v>2479</v>
      </c>
    </row>
    <row r="236" spans="1:12" ht="12.75">
      <c r="A236" s="23" t="s">
        <v>210</v>
      </c>
      <c r="B236" s="41">
        <v>386</v>
      </c>
      <c r="C236" s="23">
        <f>B234</f>
        <v>384</v>
      </c>
      <c r="D236" s="201" t="s">
        <v>2472</v>
      </c>
      <c r="E236" s="107" t="s">
        <v>1152</v>
      </c>
      <c r="F236" s="181" t="s">
        <v>1169</v>
      </c>
      <c r="G236" s="225" t="s">
        <v>1367</v>
      </c>
      <c r="H236" s="75" t="s">
        <v>2480</v>
      </c>
      <c r="I236" s="76">
        <v>1940</v>
      </c>
      <c r="J236" s="77" t="s">
        <v>2481</v>
      </c>
      <c r="K236" s="78">
        <v>2015</v>
      </c>
      <c r="L236" s="77" t="s">
        <v>2482</v>
      </c>
    </row>
    <row r="237" spans="1:12" ht="12.75">
      <c r="A237" s="23" t="s">
        <v>210</v>
      </c>
      <c r="B237" s="41">
        <v>387</v>
      </c>
      <c r="C237" s="23">
        <f>B234</f>
        <v>384</v>
      </c>
      <c r="D237" s="201" t="s">
        <v>2472</v>
      </c>
      <c r="E237" s="107" t="s">
        <v>1152</v>
      </c>
      <c r="F237" s="181" t="s">
        <v>1190</v>
      </c>
      <c r="G237" s="152" t="s">
        <v>1232</v>
      </c>
      <c r="H237" s="75" t="s">
        <v>2483</v>
      </c>
      <c r="I237" s="153">
        <v>1940</v>
      </c>
      <c r="J237" s="154" t="s">
        <v>2484</v>
      </c>
      <c r="K237" s="139">
        <v>2015</v>
      </c>
      <c r="L237" s="154" t="s">
        <v>2485</v>
      </c>
    </row>
    <row r="238" spans="1:12" ht="12.75">
      <c r="A238" s="23" t="s">
        <v>210</v>
      </c>
      <c r="B238" s="41">
        <v>388</v>
      </c>
      <c r="C238" s="117" t="str">
        <f>CONCATENATE(B236,", ",B237)</f>
        <v>386, 387</v>
      </c>
      <c r="D238" s="22" t="s">
        <v>211</v>
      </c>
      <c r="E238" s="107" t="s">
        <v>1158</v>
      </c>
      <c r="F238" s="181" t="s">
        <v>1214</v>
      </c>
      <c r="G238" s="319" t="s">
        <v>4311</v>
      </c>
      <c r="H238" s="75" t="s">
        <v>2486</v>
      </c>
      <c r="I238" s="76">
        <v>1966</v>
      </c>
      <c r="J238" s="77" t="s">
        <v>2487</v>
      </c>
      <c r="K238" s="78">
        <v>2015</v>
      </c>
      <c r="L238" s="77" t="s">
        <v>2488</v>
      </c>
    </row>
    <row r="239" spans="1:12" ht="12.75">
      <c r="A239" s="23" t="s">
        <v>210</v>
      </c>
      <c r="B239" s="41">
        <v>389</v>
      </c>
      <c r="C239" s="117" t="str">
        <f>CONCATENATE(B236,", ",B237)</f>
        <v>386, 387</v>
      </c>
      <c r="D239" s="22" t="s">
        <v>2489</v>
      </c>
      <c r="E239" s="107" t="s">
        <v>1158</v>
      </c>
      <c r="F239" s="181" t="s">
        <v>1214</v>
      </c>
      <c r="G239" s="152" t="s">
        <v>1247</v>
      </c>
      <c r="H239" s="75" t="s">
        <v>2490</v>
      </c>
      <c r="I239" s="76">
        <v>1966</v>
      </c>
      <c r="J239" s="77" t="s">
        <v>2487</v>
      </c>
      <c r="K239" s="78">
        <v>2015</v>
      </c>
      <c r="L239" s="77" t="s">
        <v>2488</v>
      </c>
    </row>
    <row r="240" spans="1:12" ht="12.75">
      <c r="A240" s="23" t="s">
        <v>210</v>
      </c>
      <c r="B240" s="41">
        <v>390</v>
      </c>
      <c r="C240" s="117" t="str">
        <f>CONCATENATE(B238,", ",B239)</f>
        <v>388, 389</v>
      </c>
      <c r="D240" s="22" t="s">
        <v>2491</v>
      </c>
      <c r="E240" s="107" t="s">
        <v>1158</v>
      </c>
      <c r="F240" s="181" t="s">
        <v>1214</v>
      </c>
      <c r="G240" s="152" t="s">
        <v>1392</v>
      </c>
      <c r="H240" s="75" t="s">
        <v>2492</v>
      </c>
      <c r="I240" s="76" t="s">
        <v>2493</v>
      </c>
      <c r="J240" s="77" t="s">
        <v>2494</v>
      </c>
      <c r="K240" s="207">
        <v>2019</v>
      </c>
      <c r="L240" s="77" t="s">
        <v>2495</v>
      </c>
    </row>
    <row r="241" spans="1:12" ht="12.75">
      <c r="A241" s="23" t="s">
        <v>360</v>
      </c>
      <c r="B241" s="41">
        <v>768</v>
      </c>
      <c r="C241" s="182"/>
      <c r="D241" s="191" t="s">
        <v>3583</v>
      </c>
      <c r="E241" s="107" t="s">
        <v>1153</v>
      </c>
      <c r="F241" s="107" t="s">
        <v>1153</v>
      </c>
      <c r="G241" s="107" t="s">
        <v>1154</v>
      </c>
      <c r="H241" s="107" t="s">
        <v>3584</v>
      </c>
      <c r="I241" s="124" t="s">
        <v>2313</v>
      </c>
      <c r="J241" s="107" t="s">
        <v>3585</v>
      </c>
      <c r="K241" s="195">
        <v>42905</v>
      </c>
      <c r="L241" s="107" t="s">
        <v>3586</v>
      </c>
    </row>
    <row r="242" spans="1:12" ht="12.75">
      <c r="A242" s="23" t="s">
        <v>360</v>
      </c>
      <c r="B242" s="41">
        <v>769</v>
      </c>
      <c r="C242" s="182">
        <f>B241</f>
        <v>768</v>
      </c>
      <c r="D242" s="191" t="s">
        <v>3587</v>
      </c>
      <c r="E242" s="107" t="s">
        <v>1158</v>
      </c>
      <c r="F242" s="107" t="s">
        <v>1214</v>
      </c>
      <c r="G242" s="107" t="s">
        <v>3588</v>
      </c>
      <c r="H242" s="107" t="s">
        <v>3589</v>
      </c>
      <c r="I242" s="124">
        <v>1740</v>
      </c>
      <c r="J242" s="107" t="s">
        <v>3590</v>
      </c>
      <c r="K242" s="124" t="s">
        <v>3591</v>
      </c>
      <c r="L242" s="107" t="s">
        <v>3592</v>
      </c>
    </row>
    <row r="243" spans="1:12" ht="12.75">
      <c r="A243" s="23" t="s">
        <v>360</v>
      </c>
      <c r="B243" s="41">
        <v>770</v>
      </c>
      <c r="C243" s="182" t="str">
        <f>CONCATENATE(B241, ", ", B242)</f>
        <v>768, 769</v>
      </c>
      <c r="D243" s="191" t="s">
        <v>3593</v>
      </c>
      <c r="E243" s="107" t="s">
        <v>1158</v>
      </c>
      <c r="F243" s="107" t="s">
        <v>1173</v>
      </c>
      <c r="G243" s="107" t="s">
        <v>1174</v>
      </c>
      <c r="H243" s="107" t="s">
        <v>3594</v>
      </c>
      <c r="I243" s="124">
        <v>1750</v>
      </c>
      <c r="J243" s="107" t="s">
        <v>3595</v>
      </c>
      <c r="K243" s="195">
        <v>42915</v>
      </c>
      <c r="L243" s="107" t="s">
        <v>3596</v>
      </c>
    </row>
    <row r="244" spans="1:12" ht="12.75">
      <c r="A244" s="198" t="s">
        <v>360</v>
      </c>
      <c r="B244" s="41">
        <v>771</v>
      </c>
      <c r="C244" s="9" t="str">
        <f>CONCATENATE(B243, ", ", B242, ", ", B241)</f>
        <v>770, 769, 768</v>
      </c>
      <c r="D244" s="191" t="s">
        <v>3597</v>
      </c>
      <c r="E244" s="107" t="s">
        <v>1152</v>
      </c>
      <c r="F244" s="107" t="s">
        <v>1169</v>
      </c>
      <c r="G244" s="107" t="s">
        <v>1367</v>
      </c>
      <c r="H244" s="68" t="s">
        <v>3598</v>
      </c>
      <c r="I244" s="72">
        <v>1740</v>
      </c>
      <c r="J244" s="62" t="s">
        <v>3590</v>
      </c>
      <c r="K244" s="72">
        <v>2018</v>
      </c>
      <c r="L244" s="62" t="s">
        <v>3599</v>
      </c>
    </row>
    <row r="245" spans="1:12" ht="12.6" customHeight="1">
      <c r="A245" s="23" t="s">
        <v>126</v>
      </c>
      <c r="B245" s="41">
        <v>148</v>
      </c>
      <c r="C245" s="182"/>
      <c r="D245" s="19" t="s">
        <v>1680</v>
      </c>
      <c r="E245" s="225" t="s">
        <v>1153</v>
      </c>
      <c r="F245" s="225" t="s">
        <v>1153</v>
      </c>
      <c r="G245" s="74" t="s">
        <v>1154</v>
      </c>
      <c r="H245" s="75" t="s">
        <v>1681</v>
      </c>
      <c r="I245" s="80" t="s">
        <v>1682</v>
      </c>
      <c r="J245" s="77" t="s">
        <v>1683</v>
      </c>
      <c r="K245" s="76">
        <v>2015</v>
      </c>
      <c r="L245" s="77" t="s">
        <v>1684</v>
      </c>
    </row>
    <row r="246" spans="1:12" ht="12.75">
      <c r="A246" s="23" t="s">
        <v>126</v>
      </c>
      <c r="B246" s="41">
        <v>149</v>
      </c>
      <c r="C246" s="182">
        <f>B245</f>
        <v>148</v>
      </c>
      <c r="D246" s="19" t="s">
        <v>1680</v>
      </c>
      <c r="E246" s="225" t="s">
        <v>1152</v>
      </c>
      <c r="F246" s="225" t="s">
        <v>1169</v>
      </c>
      <c r="G246" s="74" t="s">
        <v>1170</v>
      </c>
      <c r="H246" s="225" t="s">
        <v>1685</v>
      </c>
      <c r="I246" s="80">
        <v>1821</v>
      </c>
      <c r="J246" s="77" t="s">
        <v>1686</v>
      </c>
      <c r="K246" s="76">
        <v>2019</v>
      </c>
      <c r="L246" s="225" t="s">
        <v>1687</v>
      </c>
    </row>
    <row r="247" spans="1:12" ht="12.75">
      <c r="A247" s="23" t="s">
        <v>126</v>
      </c>
      <c r="B247" s="41">
        <v>150</v>
      </c>
      <c r="C247" s="182">
        <f>B246</f>
        <v>149</v>
      </c>
      <c r="D247" s="19" t="s">
        <v>1688</v>
      </c>
      <c r="E247" s="225" t="s">
        <v>1158</v>
      </c>
      <c r="F247" s="225" t="s">
        <v>1159</v>
      </c>
      <c r="G247" s="74" t="s">
        <v>1165</v>
      </c>
      <c r="H247" s="225" t="s">
        <v>1689</v>
      </c>
      <c r="I247" s="80">
        <v>1829</v>
      </c>
      <c r="J247" s="77" t="s">
        <v>1690</v>
      </c>
      <c r="K247" s="76">
        <v>2004</v>
      </c>
      <c r="L247" s="225" t="s">
        <v>1691</v>
      </c>
    </row>
    <row r="248" spans="1:12" ht="12.6" customHeight="1">
      <c r="A248" s="23" t="s">
        <v>126</v>
      </c>
      <c r="B248" s="41">
        <v>151</v>
      </c>
      <c r="C248" s="23">
        <f>B247</f>
        <v>150</v>
      </c>
      <c r="D248" s="19" t="s">
        <v>1692</v>
      </c>
      <c r="E248" s="225" t="s">
        <v>1158</v>
      </c>
      <c r="F248" s="225" t="s">
        <v>1159</v>
      </c>
      <c r="G248" s="74" t="s">
        <v>1165</v>
      </c>
      <c r="H248" s="75" t="s">
        <v>1693</v>
      </c>
      <c r="I248" s="80">
        <v>1829</v>
      </c>
      <c r="J248" s="77" t="s">
        <v>1690</v>
      </c>
      <c r="K248" s="76">
        <v>1927</v>
      </c>
      <c r="L248" s="77" t="s">
        <v>1694</v>
      </c>
    </row>
    <row r="249" spans="1:12" ht="25.15" customHeight="1">
      <c r="A249" s="23" t="s">
        <v>126</v>
      </c>
      <c r="B249" s="41">
        <v>152</v>
      </c>
      <c r="C249" s="23">
        <f>B247</f>
        <v>150</v>
      </c>
      <c r="D249" s="10" t="s">
        <v>1692</v>
      </c>
      <c r="E249" s="225" t="s">
        <v>1152</v>
      </c>
      <c r="F249" s="225" t="s">
        <v>1208</v>
      </c>
      <c r="G249" s="225" t="s">
        <v>1402</v>
      </c>
      <c r="H249" s="75" t="s">
        <v>1695</v>
      </c>
      <c r="I249" s="182">
        <v>1829</v>
      </c>
      <c r="J249" s="191" t="s">
        <v>1690</v>
      </c>
      <c r="K249" s="76">
        <v>1927</v>
      </c>
      <c r="L249" s="77" t="s">
        <v>1694</v>
      </c>
    </row>
    <row r="250" spans="1:12" ht="12.6" customHeight="1">
      <c r="A250" s="198" t="s">
        <v>126</v>
      </c>
      <c r="B250" s="41">
        <v>153</v>
      </c>
      <c r="C250" s="198">
        <f>B246</f>
        <v>149</v>
      </c>
      <c r="D250" s="10" t="s">
        <v>1696</v>
      </c>
      <c r="E250" s="225" t="s">
        <v>1158</v>
      </c>
      <c r="F250" s="225" t="s">
        <v>1173</v>
      </c>
      <c r="G250" s="225" t="s">
        <v>1174</v>
      </c>
      <c r="H250" s="225" t="s">
        <v>1697</v>
      </c>
      <c r="I250" s="193">
        <v>1882</v>
      </c>
      <c r="J250" s="225" t="s">
        <v>1698</v>
      </c>
      <c r="K250" s="193">
        <v>1998</v>
      </c>
      <c r="L250" s="225" t="s">
        <v>1699</v>
      </c>
    </row>
    <row r="251" spans="1:12" ht="12.75">
      <c r="A251" s="180" t="s">
        <v>90</v>
      </c>
      <c r="B251" s="41">
        <v>109</v>
      </c>
      <c r="C251" s="180"/>
      <c r="D251" s="10" t="s">
        <v>1549</v>
      </c>
      <c r="E251" s="107" t="s">
        <v>1153</v>
      </c>
      <c r="F251" s="181" t="s">
        <v>1153</v>
      </c>
      <c r="G251" s="115" t="s">
        <v>1186</v>
      </c>
      <c r="H251" s="68" t="s">
        <v>1550</v>
      </c>
      <c r="I251" s="111">
        <v>1825</v>
      </c>
      <c r="J251" s="62" t="s">
        <v>1551</v>
      </c>
      <c r="K251" s="111">
        <v>2004</v>
      </c>
      <c r="L251" s="62" t="s">
        <v>1552</v>
      </c>
    </row>
    <row r="252" spans="1:12" ht="14.25">
      <c r="A252" s="180" t="s">
        <v>90</v>
      </c>
      <c r="B252" s="41">
        <v>110</v>
      </c>
      <c r="C252" s="180">
        <f>B251</f>
        <v>109</v>
      </c>
      <c r="D252" s="138" t="s">
        <v>1553</v>
      </c>
      <c r="E252" s="107" t="s">
        <v>1158</v>
      </c>
      <c r="F252" s="107" t="s">
        <v>1173</v>
      </c>
      <c r="G252" s="70" t="s">
        <v>1250</v>
      </c>
      <c r="H252" s="203" t="s">
        <v>1554</v>
      </c>
      <c r="I252" s="72">
        <v>1831</v>
      </c>
      <c r="J252" s="62" t="s">
        <v>1555</v>
      </c>
      <c r="K252" s="111">
        <v>1967</v>
      </c>
      <c r="L252" s="62" t="s">
        <v>1556</v>
      </c>
    </row>
    <row r="253" spans="1:12" ht="12.75">
      <c r="A253" s="180" t="s">
        <v>90</v>
      </c>
      <c r="B253" s="41">
        <v>111</v>
      </c>
      <c r="C253" s="180">
        <f>B252</f>
        <v>110</v>
      </c>
      <c r="D253" s="19" t="s">
        <v>1557</v>
      </c>
      <c r="E253" s="107" t="s">
        <v>1158</v>
      </c>
      <c r="F253" s="203" t="s">
        <v>1173</v>
      </c>
      <c r="G253" s="70" t="s">
        <v>1250</v>
      </c>
      <c r="H253" s="68" t="s">
        <v>1558</v>
      </c>
      <c r="I253" s="111" t="s">
        <v>1559</v>
      </c>
      <c r="J253" s="176" t="s">
        <v>1560</v>
      </c>
      <c r="K253" s="111">
        <v>2003</v>
      </c>
      <c r="L253" s="176" t="s">
        <v>1561</v>
      </c>
    </row>
    <row r="254" spans="1:12" ht="12.75">
      <c r="A254" s="11" t="s">
        <v>212</v>
      </c>
      <c r="B254" s="41">
        <v>761</v>
      </c>
      <c r="C254" s="198"/>
      <c r="D254" s="191" t="s">
        <v>213</v>
      </c>
      <c r="E254" s="191" t="s">
        <v>1153</v>
      </c>
      <c r="F254" s="191" t="s">
        <v>1153</v>
      </c>
      <c r="G254" s="191" t="s">
        <v>3497</v>
      </c>
      <c r="H254" s="191" t="s">
        <v>3554</v>
      </c>
      <c r="I254" s="182">
        <v>1750</v>
      </c>
      <c r="J254" s="191" t="s">
        <v>3555</v>
      </c>
      <c r="K254" s="182">
        <v>2010</v>
      </c>
      <c r="L254" s="191" t="s">
        <v>3556</v>
      </c>
    </row>
    <row r="255" spans="1:12" ht="13.15" customHeight="1">
      <c r="A255" s="11" t="s">
        <v>212</v>
      </c>
      <c r="B255" s="41">
        <v>762</v>
      </c>
      <c r="C255" s="11">
        <f>B254</f>
        <v>761</v>
      </c>
      <c r="D255" s="191" t="s">
        <v>3557</v>
      </c>
      <c r="E255" s="191" t="s">
        <v>1152</v>
      </c>
      <c r="F255" s="191" t="s">
        <v>1169</v>
      </c>
      <c r="G255" s="191" t="s">
        <v>1297</v>
      </c>
      <c r="H255" s="191" t="s">
        <v>3558</v>
      </c>
      <c r="I255" s="182">
        <v>1924</v>
      </c>
      <c r="J255" s="191" t="s">
        <v>3559</v>
      </c>
      <c r="K255" s="194">
        <v>2010</v>
      </c>
      <c r="L255" s="191" t="s">
        <v>3560</v>
      </c>
    </row>
    <row r="256" spans="1:12" ht="13.15" customHeight="1">
      <c r="A256" s="11" t="s">
        <v>212</v>
      </c>
      <c r="B256" s="41">
        <v>763</v>
      </c>
      <c r="C256" s="11">
        <f>B255</f>
        <v>762</v>
      </c>
      <c r="D256" s="191" t="s">
        <v>3557</v>
      </c>
      <c r="E256" s="191" t="s">
        <v>1152</v>
      </c>
      <c r="F256" s="191" t="s">
        <v>1169</v>
      </c>
      <c r="G256" s="191" t="s">
        <v>1170</v>
      </c>
      <c r="H256" s="191" t="s">
        <v>3561</v>
      </c>
      <c r="I256" s="191" t="s">
        <v>3562</v>
      </c>
      <c r="J256" s="191" t="s">
        <v>3563</v>
      </c>
      <c r="K256" s="194">
        <v>2013</v>
      </c>
      <c r="L256" s="191" t="s">
        <v>3564</v>
      </c>
    </row>
    <row r="257" spans="1:12" ht="12.75">
      <c r="A257" s="11" t="s">
        <v>212</v>
      </c>
      <c r="B257" s="41">
        <v>764</v>
      </c>
      <c r="C257" s="11">
        <f>B256</f>
        <v>763</v>
      </c>
      <c r="D257" s="191" t="s">
        <v>3565</v>
      </c>
      <c r="E257" s="191" t="s">
        <v>1158</v>
      </c>
      <c r="F257" s="191" t="s">
        <v>1214</v>
      </c>
      <c r="G257" s="191" t="s">
        <v>1247</v>
      </c>
      <c r="H257" s="191" t="s">
        <v>3566</v>
      </c>
      <c r="I257" s="191" t="s">
        <v>3567</v>
      </c>
      <c r="J257" s="191" t="s">
        <v>3568</v>
      </c>
      <c r="K257" s="194">
        <v>2013</v>
      </c>
      <c r="L257" s="191" t="s">
        <v>3569</v>
      </c>
    </row>
    <row r="258" spans="1:12" ht="16.899999999999999" customHeight="1">
      <c r="A258" s="11" t="s">
        <v>212</v>
      </c>
      <c r="B258" s="41">
        <v>765</v>
      </c>
      <c r="C258" s="182">
        <f>B257</f>
        <v>764</v>
      </c>
      <c r="D258" s="191" t="s">
        <v>3570</v>
      </c>
      <c r="E258" s="191" t="s">
        <v>1158</v>
      </c>
      <c r="F258" s="191" t="s">
        <v>1214</v>
      </c>
      <c r="G258" s="191" t="s">
        <v>1215</v>
      </c>
      <c r="H258" s="191" t="s">
        <v>3571</v>
      </c>
      <c r="I258" s="182">
        <v>1942</v>
      </c>
      <c r="J258" s="191" t="s">
        <v>3572</v>
      </c>
      <c r="K258" s="194">
        <v>2014</v>
      </c>
      <c r="L258" s="191" t="s">
        <v>3573</v>
      </c>
    </row>
    <row r="259" spans="1:12" ht="12.75">
      <c r="A259" s="11" t="s">
        <v>212</v>
      </c>
      <c r="B259" s="41">
        <v>766</v>
      </c>
      <c r="C259" s="11">
        <f>B256</f>
        <v>763</v>
      </c>
      <c r="D259" s="191" t="s">
        <v>3574</v>
      </c>
      <c r="E259" s="191" t="s">
        <v>1152</v>
      </c>
      <c r="F259" s="191" t="s">
        <v>1190</v>
      </c>
      <c r="G259" s="191" t="s">
        <v>1228</v>
      </c>
      <c r="H259" s="191" t="s">
        <v>3575</v>
      </c>
      <c r="I259" s="191" t="s">
        <v>3576</v>
      </c>
      <c r="J259" s="191" t="s">
        <v>3577</v>
      </c>
      <c r="K259" s="194">
        <v>2010</v>
      </c>
      <c r="L259" s="191" t="s">
        <v>3578</v>
      </c>
    </row>
    <row r="260" spans="1:12" ht="12.75">
      <c r="A260" s="11" t="s">
        <v>212</v>
      </c>
      <c r="B260" s="41">
        <v>767</v>
      </c>
      <c r="C260" s="11">
        <f>B255</f>
        <v>762</v>
      </c>
      <c r="D260" s="191" t="s">
        <v>3557</v>
      </c>
      <c r="E260" s="191" t="s">
        <v>1152</v>
      </c>
      <c r="F260" s="191" t="s">
        <v>1169</v>
      </c>
      <c r="G260" s="191" t="s">
        <v>3579</v>
      </c>
      <c r="H260" s="191" t="s">
        <v>3580</v>
      </c>
      <c r="I260" s="182">
        <v>1966</v>
      </c>
      <c r="J260" s="191" t="s">
        <v>3581</v>
      </c>
      <c r="K260" s="194">
        <v>2015</v>
      </c>
      <c r="L260" s="191" t="s">
        <v>3582</v>
      </c>
    </row>
    <row r="261" spans="1:12" ht="12.75">
      <c r="A261" s="198" t="s">
        <v>301</v>
      </c>
      <c r="B261" s="41">
        <v>569</v>
      </c>
      <c r="C261" s="11"/>
      <c r="D261" s="178" t="s">
        <v>3027</v>
      </c>
      <c r="E261" s="107" t="s">
        <v>1153</v>
      </c>
      <c r="F261" s="107" t="s">
        <v>1153</v>
      </c>
      <c r="G261" s="107" t="s">
        <v>1154</v>
      </c>
      <c r="H261" s="184" t="s">
        <v>3028</v>
      </c>
      <c r="I261" s="72">
        <v>1909</v>
      </c>
      <c r="J261" s="62" t="s">
        <v>3029</v>
      </c>
      <c r="K261" s="72">
        <v>2012</v>
      </c>
      <c r="L261" s="62" t="s">
        <v>3030</v>
      </c>
    </row>
    <row r="262" spans="1:12" ht="12.75">
      <c r="A262" s="23" t="s">
        <v>301</v>
      </c>
      <c r="B262" s="41">
        <v>570</v>
      </c>
      <c r="C262" s="182">
        <f>B261</f>
        <v>569</v>
      </c>
      <c r="D262" s="178" t="s">
        <v>3027</v>
      </c>
      <c r="E262" s="79" t="s">
        <v>1152</v>
      </c>
      <c r="F262" s="79" t="s">
        <v>1169</v>
      </c>
      <c r="G262" s="107" t="s">
        <v>1170</v>
      </c>
      <c r="H262" s="184" t="s">
        <v>3031</v>
      </c>
      <c r="I262" s="124">
        <v>1912</v>
      </c>
      <c r="J262" s="107" t="s">
        <v>3032</v>
      </c>
      <c r="K262" s="124">
        <v>2015</v>
      </c>
      <c r="L262" s="107" t="s">
        <v>3033</v>
      </c>
    </row>
    <row r="263" spans="1:12" ht="12.6" customHeight="1">
      <c r="A263" s="23" t="s">
        <v>301</v>
      </c>
      <c r="B263" s="41">
        <v>571</v>
      </c>
      <c r="C263" s="182" t="str">
        <f>CONCATENATE(B262,", ",B261)</f>
        <v>570, 569</v>
      </c>
      <c r="D263" s="201" t="s">
        <v>3034</v>
      </c>
      <c r="E263" s="79" t="s">
        <v>1158</v>
      </c>
      <c r="F263" s="79" t="s">
        <v>1214</v>
      </c>
      <c r="G263" s="107" t="s">
        <v>1174</v>
      </c>
      <c r="H263" s="184" t="s">
        <v>3035</v>
      </c>
      <c r="I263" s="124">
        <v>1923</v>
      </c>
      <c r="J263" s="107" t="s">
        <v>3036</v>
      </c>
      <c r="K263" s="124">
        <v>2015</v>
      </c>
      <c r="L263" s="205" t="s">
        <v>3037</v>
      </c>
    </row>
    <row r="264" spans="1:12" ht="12.75">
      <c r="A264" s="23" t="s">
        <v>301</v>
      </c>
      <c r="B264" s="41">
        <v>572</v>
      </c>
      <c r="C264" s="182">
        <f>B263</f>
        <v>571</v>
      </c>
      <c r="D264" s="191" t="s">
        <v>3038</v>
      </c>
      <c r="E264" s="79" t="s">
        <v>1158</v>
      </c>
      <c r="F264" s="79" t="s">
        <v>1159</v>
      </c>
      <c r="G264" s="107" t="s">
        <v>1165</v>
      </c>
      <c r="H264" s="184" t="s">
        <v>3039</v>
      </c>
      <c r="I264" s="124">
        <v>1939</v>
      </c>
      <c r="J264" s="107" t="s">
        <v>3040</v>
      </c>
      <c r="K264" s="124">
        <v>2009</v>
      </c>
      <c r="L264" s="107" t="s">
        <v>3041</v>
      </c>
    </row>
    <row r="265" spans="1:12" ht="12.75">
      <c r="A265" s="182" t="s">
        <v>129</v>
      </c>
      <c r="B265" s="41">
        <v>316</v>
      </c>
      <c r="C265" s="182"/>
      <c r="D265" s="144" t="s">
        <v>2234</v>
      </c>
      <c r="E265" s="79" t="s">
        <v>1153</v>
      </c>
      <c r="F265" s="79" t="s">
        <v>1153</v>
      </c>
      <c r="G265" s="107" t="s">
        <v>2235</v>
      </c>
      <c r="H265" s="107" t="s">
        <v>2236</v>
      </c>
      <c r="I265" s="124" t="s">
        <v>2237</v>
      </c>
      <c r="J265" s="107" t="s">
        <v>2238</v>
      </c>
      <c r="K265" s="124">
        <v>2019</v>
      </c>
      <c r="L265" s="107" t="s">
        <v>2239</v>
      </c>
    </row>
    <row r="266" spans="1:12" ht="12.75">
      <c r="A266" s="182" t="s">
        <v>129</v>
      </c>
      <c r="B266" s="41">
        <v>317</v>
      </c>
      <c r="C266" s="182"/>
      <c r="D266" s="144" t="s">
        <v>2240</v>
      </c>
      <c r="E266" s="79" t="s">
        <v>1152</v>
      </c>
      <c r="F266" s="79" t="s">
        <v>1190</v>
      </c>
      <c r="G266" s="107" t="s">
        <v>1585</v>
      </c>
      <c r="H266" s="107" t="s">
        <v>2241</v>
      </c>
      <c r="I266" s="124" t="s">
        <v>2237</v>
      </c>
      <c r="J266" s="107" t="s">
        <v>2238</v>
      </c>
      <c r="K266" s="124">
        <v>2019</v>
      </c>
      <c r="L266" s="107" t="s">
        <v>2239</v>
      </c>
    </row>
    <row r="267" spans="1:12" ht="12.75">
      <c r="A267" s="182" t="s">
        <v>129</v>
      </c>
      <c r="B267" s="41">
        <v>318</v>
      </c>
      <c r="C267" s="182"/>
      <c r="D267" s="144" t="s">
        <v>2242</v>
      </c>
      <c r="E267" s="79" t="s">
        <v>1152</v>
      </c>
      <c r="F267" s="79" t="s">
        <v>1190</v>
      </c>
      <c r="G267" s="107" t="s">
        <v>1585</v>
      </c>
      <c r="H267" s="107" t="s">
        <v>2243</v>
      </c>
      <c r="I267" s="124" t="s">
        <v>2237</v>
      </c>
      <c r="J267" s="107" t="s">
        <v>2238</v>
      </c>
      <c r="K267" s="124">
        <v>2019</v>
      </c>
      <c r="L267" s="107" t="s">
        <v>2239</v>
      </c>
    </row>
    <row r="268" spans="1:12" ht="12.75">
      <c r="A268" s="9" t="s">
        <v>129</v>
      </c>
      <c r="B268" s="41">
        <v>319</v>
      </c>
      <c r="C268" s="182" t="str">
        <f>CONCATENATE(B265,", ",B266,", ",B267)</f>
        <v>316, 317, 318</v>
      </c>
      <c r="D268" s="144" t="s">
        <v>2244</v>
      </c>
      <c r="E268" s="79" t="s">
        <v>1158</v>
      </c>
      <c r="F268" s="79" t="s">
        <v>1159</v>
      </c>
      <c r="G268" s="107" t="s">
        <v>1165</v>
      </c>
      <c r="H268" s="107" t="s">
        <v>2245</v>
      </c>
      <c r="I268" s="165">
        <v>1832</v>
      </c>
      <c r="J268" s="107" t="s">
        <v>2246</v>
      </c>
      <c r="K268" s="124" t="s">
        <v>2247</v>
      </c>
      <c r="L268" s="107" t="s">
        <v>2248</v>
      </c>
    </row>
    <row r="269" spans="1:12" ht="12.75">
      <c r="A269" s="9" t="s">
        <v>129</v>
      </c>
      <c r="B269" s="41">
        <v>320</v>
      </c>
      <c r="C269" s="182" t="str">
        <f>CONCATENATE(B265,", ",B266,", ",B267)</f>
        <v>316, 317, 318</v>
      </c>
      <c r="D269" s="144" t="s">
        <v>2249</v>
      </c>
      <c r="E269" s="107" t="s">
        <v>1152</v>
      </c>
      <c r="F269" s="107" t="s">
        <v>1190</v>
      </c>
      <c r="G269" s="107" t="s">
        <v>1191</v>
      </c>
      <c r="H269" s="107" t="s">
        <v>2250</v>
      </c>
      <c r="I269" s="165">
        <v>1832</v>
      </c>
      <c r="J269" s="107" t="s">
        <v>2246</v>
      </c>
      <c r="K269" s="124">
        <v>2003</v>
      </c>
      <c r="L269" s="107" t="s">
        <v>2251</v>
      </c>
    </row>
    <row r="270" spans="1:12" ht="12.75">
      <c r="A270" s="182" t="s">
        <v>129</v>
      </c>
      <c r="B270" s="41">
        <v>321</v>
      </c>
      <c r="C270" s="182" t="str">
        <f>CONCATENATE(B265,", ",B266,", ",B267)</f>
        <v>316, 317, 318</v>
      </c>
      <c r="D270" s="144" t="s">
        <v>2252</v>
      </c>
      <c r="E270" s="79" t="s">
        <v>1158</v>
      </c>
      <c r="F270" s="79" t="s">
        <v>1173</v>
      </c>
      <c r="G270" s="107" t="s">
        <v>1282</v>
      </c>
      <c r="H270" s="107" t="s">
        <v>2253</v>
      </c>
      <c r="I270" s="165">
        <v>1832</v>
      </c>
      <c r="J270" s="107" t="s">
        <v>2246</v>
      </c>
      <c r="K270" s="124">
        <v>1903</v>
      </c>
      <c r="L270" s="107" t="s">
        <v>2254</v>
      </c>
    </row>
    <row r="271" spans="1:12" ht="12.75">
      <c r="A271" s="182" t="s">
        <v>129</v>
      </c>
      <c r="B271" s="41">
        <v>322</v>
      </c>
      <c r="C271" s="182" t="str">
        <f>CONCATENATE(B268,", ",B269,", ",B270)</f>
        <v>319, 320, 321</v>
      </c>
      <c r="D271" s="144" t="s">
        <v>2240</v>
      </c>
      <c r="E271" s="79" t="s">
        <v>1152</v>
      </c>
      <c r="F271" s="79" t="s">
        <v>1190</v>
      </c>
      <c r="G271" s="107" t="s">
        <v>1191</v>
      </c>
      <c r="H271" s="107" t="s">
        <v>2255</v>
      </c>
      <c r="I271" s="124" t="s">
        <v>2256</v>
      </c>
      <c r="J271" s="107" t="s">
        <v>2257</v>
      </c>
      <c r="K271" s="124">
        <v>1998</v>
      </c>
      <c r="L271" s="107" t="s">
        <v>2258</v>
      </c>
    </row>
    <row r="272" spans="1:12" ht="12.75">
      <c r="A272" s="182" t="s">
        <v>129</v>
      </c>
      <c r="B272" s="41">
        <v>323</v>
      </c>
      <c r="C272" s="182">
        <f>B271</f>
        <v>322</v>
      </c>
      <c r="D272" s="144" t="s">
        <v>2259</v>
      </c>
      <c r="E272" s="79" t="s">
        <v>1158</v>
      </c>
      <c r="F272" s="79" t="s">
        <v>1173</v>
      </c>
      <c r="G272" s="107" t="s">
        <v>1282</v>
      </c>
      <c r="H272" s="107" t="s">
        <v>2260</v>
      </c>
      <c r="I272" s="124">
        <v>1864</v>
      </c>
      <c r="J272" s="107" t="s">
        <v>2261</v>
      </c>
      <c r="K272" s="124">
        <v>1977</v>
      </c>
      <c r="L272" s="107" t="s">
        <v>2262</v>
      </c>
    </row>
    <row r="273" spans="1:12" ht="12.75">
      <c r="A273" s="182" t="s">
        <v>129</v>
      </c>
      <c r="B273" s="41">
        <v>324</v>
      </c>
      <c r="C273" s="182">
        <f>B272</f>
        <v>323</v>
      </c>
      <c r="D273" s="144" t="s">
        <v>2240</v>
      </c>
      <c r="E273" s="79" t="s">
        <v>1152</v>
      </c>
      <c r="F273" s="79" t="s">
        <v>1169</v>
      </c>
      <c r="G273" s="107" t="s">
        <v>1367</v>
      </c>
      <c r="H273" s="107" t="s">
        <v>2263</v>
      </c>
      <c r="I273" s="124">
        <v>1881</v>
      </c>
      <c r="J273" s="107" t="s">
        <v>2264</v>
      </c>
      <c r="K273" s="124">
        <v>1978</v>
      </c>
      <c r="L273" s="107" t="s">
        <v>2265</v>
      </c>
    </row>
    <row r="274" spans="1:12" ht="12.6" customHeight="1">
      <c r="A274" s="180" t="s">
        <v>10</v>
      </c>
      <c r="B274" s="41">
        <v>170</v>
      </c>
      <c r="C274" s="182"/>
      <c r="D274" s="144" t="s">
        <v>1758</v>
      </c>
      <c r="E274" s="79" t="s">
        <v>1153</v>
      </c>
      <c r="F274" s="124" t="s">
        <v>1153</v>
      </c>
      <c r="G274" s="115" t="s">
        <v>1154</v>
      </c>
      <c r="H274" s="107" t="s">
        <v>1759</v>
      </c>
      <c r="I274" s="124">
        <v>1717</v>
      </c>
      <c r="J274" s="107" t="s">
        <v>1760</v>
      </c>
      <c r="K274" s="102">
        <v>2011</v>
      </c>
      <c r="L274" s="107" t="s">
        <v>1761</v>
      </c>
    </row>
    <row r="275" spans="1:12" ht="12.6" customHeight="1">
      <c r="A275" s="180" t="s">
        <v>10</v>
      </c>
      <c r="B275" s="41">
        <v>171</v>
      </c>
      <c r="C275" s="182">
        <f>B274</f>
        <v>170</v>
      </c>
      <c r="D275" s="144" t="s">
        <v>1762</v>
      </c>
      <c r="E275" s="79" t="s">
        <v>1158</v>
      </c>
      <c r="F275" s="124" t="s">
        <v>1214</v>
      </c>
      <c r="G275" s="141" t="s">
        <v>1258</v>
      </c>
      <c r="H275" s="107" t="s">
        <v>1763</v>
      </c>
      <c r="I275" s="124">
        <v>1763</v>
      </c>
      <c r="J275" s="107" t="s">
        <v>1764</v>
      </c>
      <c r="K275" s="102">
        <v>2018</v>
      </c>
      <c r="L275" s="107" t="s">
        <v>1765</v>
      </c>
    </row>
    <row r="276" spans="1:12" ht="12.6" customHeight="1">
      <c r="A276" s="180" t="s">
        <v>10</v>
      </c>
      <c r="B276" s="41">
        <v>172</v>
      </c>
      <c r="C276" s="182">
        <f>B275</f>
        <v>171</v>
      </c>
      <c r="D276" s="144" t="s">
        <v>1766</v>
      </c>
      <c r="E276" s="79" t="s">
        <v>1158</v>
      </c>
      <c r="F276" s="204" t="s">
        <v>1214</v>
      </c>
      <c r="G276" s="115" t="s">
        <v>1392</v>
      </c>
      <c r="H276" s="107" t="s">
        <v>1767</v>
      </c>
      <c r="I276" s="102">
        <v>2001</v>
      </c>
      <c r="J276" s="181" t="s">
        <v>1768</v>
      </c>
      <c r="K276" s="102">
        <v>2016</v>
      </c>
      <c r="L276" s="181" t="s">
        <v>1769</v>
      </c>
    </row>
    <row r="277" spans="1:12" ht="12.75">
      <c r="A277" s="182" t="s">
        <v>194</v>
      </c>
      <c r="B277" s="41">
        <v>265</v>
      </c>
      <c r="C277" s="182"/>
      <c r="D277" s="144" t="s">
        <v>2061</v>
      </c>
      <c r="E277" s="79" t="s">
        <v>1153</v>
      </c>
      <c r="F277" s="79" t="s">
        <v>1153</v>
      </c>
      <c r="G277" s="107" t="s">
        <v>1186</v>
      </c>
      <c r="H277" s="107" t="s">
        <v>2062</v>
      </c>
      <c r="I277" s="124" t="s">
        <v>1616</v>
      </c>
      <c r="J277" s="107" t="s">
        <v>2063</v>
      </c>
      <c r="K277" s="124">
        <v>2011</v>
      </c>
      <c r="L277" s="107" t="s">
        <v>2064</v>
      </c>
    </row>
    <row r="278" spans="1:12" ht="12.6" customHeight="1">
      <c r="A278" s="182" t="s">
        <v>194</v>
      </c>
      <c r="B278" s="41">
        <v>266</v>
      </c>
      <c r="C278" s="182">
        <f>B277</f>
        <v>265</v>
      </c>
      <c r="D278" s="144" t="s">
        <v>2065</v>
      </c>
      <c r="E278" s="79" t="s">
        <v>1158</v>
      </c>
      <c r="F278" s="79" t="s">
        <v>1159</v>
      </c>
      <c r="G278" s="317" t="s">
        <v>4309</v>
      </c>
      <c r="H278" s="107" t="s">
        <v>2066</v>
      </c>
      <c r="I278" s="124">
        <v>1880</v>
      </c>
      <c r="J278" s="107" t="s">
        <v>2067</v>
      </c>
      <c r="K278" s="124">
        <v>2019</v>
      </c>
      <c r="L278" s="107" t="s">
        <v>2068</v>
      </c>
    </row>
    <row r="279" spans="1:12" ht="12.75">
      <c r="A279" s="11" t="s">
        <v>194</v>
      </c>
      <c r="B279" s="41">
        <v>267</v>
      </c>
      <c r="C279" s="11">
        <f>B277</f>
        <v>265</v>
      </c>
      <c r="D279" s="10" t="s">
        <v>2065</v>
      </c>
      <c r="E279" s="107" t="s">
        <v>1152</v>
      </c>
      <c r="F279" s="107" t="s">
        <v>1169</v>
      </c>
      <c r="G279" s="107" t="s">
        <v>1202</v>
      </c>
      <c r="H279" s="68" t="s">
        <v>2069</v>
      </c>
      <c r="I279" s="72">
        <v>1880</v>
      </c>
      <c r="J279" s="107" t="s">
        <v>2067</v>
      </c>
      <c r="K279" s="124">
        <v>2019</v>
      </c>
      <c r="L279" s="62" t="s">
        <v>2068</v>
      </c>
    </row>
    <row r="280" spans="1:12" ht="12.6" customHeight="1">
      <c r="A280" s="11" t="s">
        <v>194</v>
      </c>
      <c r="B280" s="41">
        <v>268</v>
      </c>
      <c r="C280" s="11">
        <f>B277</f>
        <v>265</v>
      </c>
      <c r="D280" s="10" t="s">
        <v>2070</v>
      </c>
      <c r="E280" s="107" t="s">
        <v>1158</v>
      </c>
      <c r="F280" s="107" t="s">
        <v>1173</v>
      </c>
      <c r="G280" s="107" t="s">
        <v>1371</v>
      </c>
      <c r="H280" s="71" t="s">
        <v>2071</v>
      </c>
      <c r="I280" s="72">
        <v>1880</v>
      </c>
      <c r="J280" s="62" t="s">
        <v>2067</v>
      </c>
      <c r="K280" s="72">
        <v>2019</v>
      </c>
      <c r="L280" s="62" t="s">
        <v>2072</v>
      </c>
    </row>
    <row r="281" spans="1:12" ht="14.45" customHeight="1">
      <c r="A281" s="11" t="s">
        <v>194</v>
      </c>
      <c r="B281" s="41">
        <v>269</v>
      </c>
      <c r="C281" s="11">
        <f>B277</f>
        <v>265</v>
      </c>
      <c r="D281" s="10" t="s">
        <v>2073</v>
      </c>
      <c r="E281" s="107" t="s">
        <v>1158</v>
      </c>
      <c r="F281" s="107" t="s">
        <v>1159</v>
      </c>
      <c r="G281" s="317" t="s">
        <v>4309</v>
      </c>
      <c r="H281" s="68" t="s">
        <v>2066</v>
      </c>
      <c r="I281" s="124" t="s">
        <v>1547</v>
      </c>
      <c r="J281" s="62" t="s">
        <v>2074</v>
      </c>
      <c r="K281" s="124">
        <v>2003</v>
      </c>
      <c r="L281" s="62" t="s">
        <v>2075</v>
      </c>
    </row>
    <row r="282" spans="1:12" ht="12.6" customHeight="1">
      <c r="A282" s="11" t="s">
        <v>194</v>
      </c>
      <c r="B282" s="41">
        <v>270</v>
      </c>
      <c r="C282" s="11">
        <f>B277</f>
        <v>265</v>
      </c>
      <c r="D282" s="10" t="s">
        <v>2073</v>
      </c>
      <c r="E282" s="107" t="s">
        <v>1152</v>
      </c>
      <c r="F282" s="107" t="s">
        <v>1169</v>
      </c>
      <c r="G282" s="107" t="s">
        <v>1202</v>
      </c>
      <c r="H282" s="71" t="s">
        <v>2069</v>
      </c>
      <c r="I282" s="124" t="s">
        <v>1547</v>
      </c>
      <c r="J282" s="62" t="s">
        <v>2074</v>
      </c>
      <c r="K282" s="72">
        <v>2003</v>
      </c>
      <c r="L282" s="62" t="s">
        <v>2075</v>
      </c>
    </row>
    <row r="283" spans="1:12" ht="12.75">
      <c r="A283" s="11" t="s">
        <v>194</v>
      </c>
      <c r="B283" s="41">
        <v>271</v>
      </c>
      <c r="C283" s="11">
        <f>B277</f>
        <v>265</v>
      </c>
      <c r="D283" s="10" t="s">
        <v>2076</v>
      </c>
      <c r="E283" s="107" t="s">
        <v>1158</v>
      </c>
      <c r="F283" s="107" t="s">
        <v>1173</v>
      </c>
      <c r="G283" s="107" t="s">
        <v>1371</v>
      </c>
      <c r="H283" s="71" t="s">
        <v>2071</v>
      </c>
      <c r="I283" s="124" t="s">
        <v>1547</v>
      </c>
      <c r="J283" s="62" t="s">
        <v>2074</v>
      </c>
      <c r="K283" s="124">
        <v>2003</v>
      </c>
      <c r="L283" s="62" t="s">
        <v>2075</v>
      </c>
    </row>
    <row r="284" spans="1:12" ht="12.75">
      <c r="A284" s="11" t="s">
        <v>196</v>
      </c>
      <c r="B284" s="41">
        <v>272</v>
      </c>
      <c r="C284" s="11"/>
      <c r="D284" s="10" t="s">
        <v>197</v>
      </c>
      <c r="E284" s="107" t="s">
        <v>1153</v>
      </c>
      <c r="F284" s="107" t="s">
        <v>1153</v>
      </c>
      <c r="G284" s="107" t="s">
        <v>1186</v>
      </c>
      <c r="H284" s="68" t="s">
        <v>2077</v>
      </c>
      <c r="I284" s="72" t="s">
        <v>2078</v>
      </c>
      <c r="J284" s="62" t="s">
        <v>2079</v>
      </c>
      <c r="K284" s="72">
        <v>2015</v>
      </c>
      <c r="L284" s="62" t="s">
        <v>2080</v>
      </c>
    </row>
    <row r="285" spans="1:12" ht="12.6" customHeight="1">
      <c r="A285" s="11" t="s">
        <v>196</v>
      </c>
      <c r="B285" s="41">
        <v>273</v>
      </c>
      <c r="C285" s="155">
        <f>B284</f>
        <v>272</v>
      </c>
      <c r="D285" s="10" t="s">
        <v>2081</v>
      </c>
      <c r="E285" s="107" t="s">
        <v>1152</v>
      </c>
      <c r="F285" s="107" t="s">
        <v>1190</v>
      </c>
      <c r="G285" s="107" t="s">
        <v>1585</v>
      </c>
      <c r="H285" s="71" t="s">
        <v>2082</v>
      </c>
      <c r="I285" s="72">
        <v>1832</v>
      </c>
      <c r="J285" s="62" t="s">
        <v>2083</v>
      </c>
      <c r="K285" s="72">
        <v>2015</v>
      </c>
      <c r="L285" s="62" t="s">
        <v>2080</v>
      </c>
    </row>
    <row r="286" spans="1:12" ht="12.75">
      <c r="A286" s="182" t="s">
        <v>196</v>
      </c>
      <c r="B286" s="41">
        <v>274</v>
      </c>
      <c r="C286" s="11">
        <f>B285</f>
        <v>273</v>
      </c>
      <c r="D286" s="10" t="s">
        <v>2084</v>
      </c>
      <c r="E286" s="107" t="s">
        <v>1158</v>
      </c>
      <c r="F286" s="107" t="s">
        <v>1159</v>
      </c>
      <c r="G286" s="107" t="s">
        <v>1395</v>
      </c>
      <c r="H286" s="68" t="s">
        <v>2085</v>
      </c>
      <c r="I286" s="124">
        <v>1827</v>
      </c>
      <c r="J286" s="62" t="s">
        <v>2086</v>
      </c>
      <c r="K286" s="72">
        <v>2011</v>
      </c>
      <c r="L286" s="62" t="s">
        <v>2087</v>
      </c>
    </row>
    <row r="287" spans="1:12" ht="12.75">
      <c r="A287" s="182" t="s">
        <v>196</v>
      </c>
      <c r="B287" s="41">
        <v>275</v>
      </c>
      <c r="C287" s="11">
        <f>B286</f>
        <v>274</v>
      </c>
      <c r="D287" s="10" t="s">
        <v>2081</v>
      </c>
      <c r="E287" s="107" t="s">
        <v>1158</v>
      </c>
      <c r="F287" s="107" t="s">
        <v>1173</v>
      </c>
      <c r="G287" s="70" t="s">
        <v>1250</v>
      </c>
      <c r="H287" s="71" t="s">
        <v>2088</v>
      </c>
      <c r="I287" s="72">
        <v>1952</v>
      </c>
      <c r="J287" s="62" t="s">
        <v>2089</v>
      </c>
      <c r="K287" s="124">
        <v>2013</v>
      </c>
      <c r="L287" s="62" t="s">
        <v>2090</v>
      </c>
    </row>
    <row r="288" spans="1:12" ht="12.75">
      <c r="A288" s="182" t="s">
        <v>133</v>
      </c>
      <c r="B288" s="41">
        <v>325</v>
      </c>
      <c r="C288" s="11"/>
      <c r="D288" s="10" t="s">
        <v>707</v>
      </c>
      <c r="E288" s="107" t="s">
        <v>1153</v>
      </c>
      <c r="F288" s="107" t="s">
        <v>1153</v>
      </c>
      <c r="G288" s="107" t="s">
        <v>2235</v>
      </c>
      <c r="H288" s="71" t="s">
        <v>2266</v>
      </c>
      <c r="I288" s="72">
        <v>1812</v>
      </c>
      <c r="J288" s="62" t="s">
        <v>2267</v>
      </c>
      <c r="K288" s="124">
        <v>2012</v>
      </c>
      <c r="L288" s="62" t="s">
        <v>2268</v>
      </c>
    </row>
    <row r="289" spans="1:12" ht="12.75">
      <c r="A289" s="182" t="s">
        <v>133</v>
      </c>
      <c r="B289" s="41">
        <v>326</v>
      </c>
      <c r="C289" s="182">
        <f>B288</f>
        <v>325</v>
      </c>
      <c r="D289" s="144" t="s">
        <v>707</v>
      </c>
      <c r="E289" s="79" t="s">
        <v>1158</v>
      </c>
      <c r="F289" s="79" t="s">
        <v>1214</v>
      </c>
      <c r="G289" s="107" t="s">
        <v>1392</v>
      </c>
      <c r="H289" s="107" t="s">
        <v>2269</v>
      </c>
      <c r="I289" s="124">
        <v>1812</v>
      </c>
      <c r="J289" s="107" t="s">
        <v>2267</v>
      </c>
      <c r="K289" s="124">
        <v>2011</v>
      </c>
      <c r="L289" s="107" t="s">
        <v>2270</v>
      </c>
    </row>
    <row r="290" spans="1:12" ht="12.75">
      <c r="A290" s="182" t="s">
        <v>133</v>
      </c>
      <c r="B290" s="41">
        <v>327</v>
      </c>
      <c r="C290" s="182" t="str">
        <f>CONCATENATE(B288,", ",B289)</f>
        <v>325, 326</v>
      </c>
      <c r="D290" s="144" t="s">
        <v>2271</v>
      </c>
      <c r="E290" s="79" t="s">
        <v>1158</v>
      </c>
      <c r="F290" s="79" t="s">
        <v>1214</v>
      </c>
      <c r="G290" s="107" t="s">
        <v>1258</v>
      </c>
      <c r="H290" s="107" t="s">
        <v>2272</v>
      </c>
      <c r="I290" s="124">
        <v>1830</v>
      </c>
      <c r="J290" s="107" t="s">
        <v>2273</v>
      </c>
      <c r="K290" s="124">
        <v>2012</v>
      </c>
      <c r="L290" s="107" t="s">
        <v>2268</v>
      </c>
    </row>
    <row r="291" spans="1:12" ht="12.75">
      <c r="A291" s="182" t="s">
        <v>133</v>
      </c>
      <c r="B291" s="41">
        <v>328</v>
      </c>
      <c r="C291" s="182">
        <f>B290</f>
        <v>327</v>
      </c>
      <c r="D291" s="144" t="s">
        <v>2274</v>
      </c>
      <c r="E291" s="79" t="s">
        <v>1158</v>
      </c>
      <c r="F291" s="79" t="s">
        <v>1214</v>
      </c>
      <c r="G291" s="107" t="s">
        <v>1247</v>
      </c>
      <c r="H291" s="107" t="s">
        <v>2275</v>
      </c>
      <c r="I291" s="124">
        <v>1881</v>
      </c>
      <c r="J291" s="107" t="s">
        <v>2276</v>
      </c>
      <c r="K291" s="124">
        <v>2002</v>
      </c>
      <c r="L291" s="107" t="s">
        <v>2277</v>
      </c>
    </row>
    <row r="292" spans="1:12" ht="12.75">
      <c r="A292" s="182" t="s">
        <v>133</v>
      </c>
      <c r="B292" s="41">
        <v>329</v>
      </c>
      <c r="C292" s="182">
        <f>B291</f>
        <v>328</v>
      </c>
      <c r="D292" s="144" t="s">
        <v>2278</v>
      </c>
      <c r="E292" s="79" t="s">
        <v>1158</v>
      </c>
      <c r="F292" s="79" t="s">
        <v>1173</v>
      </c>
      <c r="G292" s="107" t="s">
        <v>1174</v>
      </c>
      <c r="H292" s="107" t="s">
        <v>2279</v>
      </c>
      <c r="I292" s="124">
        <v>1881</v>
      </c>
      <c r="J292" s="107" t="s">
        <v>2280</v>
      </c>
      <c r="K292" s="124">
        <v>2000</v>
      </c>
      <c r="L292" s="107" t="s">
        <v>2281</v>
      </c>
    </row>
    <row r="293" spans="1:12" ht="12.75">
      <c r="A293" s="182" t="s">
        <v>133</v>
      </c>
      <c r="B293" s="41">
        <v>330</v>
      </c>
      <c r="C293" s="182">
        <f>B292</f>
        <v>329</v>
      </c>
      <c r="D293" s="144" t="s">
        <v>134</v>
      </c>
      <c r="E293" s="79" t="s">
        <v>1152</v>
      </c>
      <c r="F293" s="79" t="s">
        <v>1169</v>
      </c>
      <c r="G293" s="107" t="s">
        <v>1367</v>
      </c>
      <c r="H293" s="107" t="s">
        <v>2282</v>
      </c>
      <c r="I293" s="124">
        <v>1881</v>
      </c>
      <c r="J293" s="107" t="s">
        <v>2280</v>
      </c>
      <c r="K293" s="124">
        <v>2012</v>
      </c>
      <c r="L293" s="107" t="s">
        <v>2283</v>
      </c>
    </row>
    <row r="294" spans="1:12" ht="12.75">
      <c r="A294" s="23" t="s">
        <v>214</v>
      </c>
      <c r="B294" s="41">
        <v>772</v>
      </c>
      <c r="C294" s="23"/>
      <c r="D294" s="191" t="s">
        <v>215</v>
      </c>
      <c r="E294" s="191" t="s">
        <v>1153</v>
      </c>
      <c r="F294" s="191" t="s">
        <v>1153</v>
      </c>
      <c r="G294" s="191" t="s">
        <v>3497</v>
      </c>
      <c r="H294" s="191" t="s">
        <v>3498</v>
      </c>
      <c r="I294" s="182">
        <v>1836</v>
      </c>
      <c r="J294" s="119" t="s">
        <v>3600</v>
      </c>
      <c r="K294" s="182">
        <v>2019</v>
      </c>
      <c r="L294" s="191" t="s">
        <v>3601</v>
      </c>
    </row>
    <row r="295" spans="1:12" ht="12.75">
      <c r="A295" s="23" t="s">
        <v>214</v>
      </c>
      <c r="B295" s="41">
        <v>773</v>
      </c>
      <c r="C295" s="23">
        <f>B294</f>
        <v>772</v>
      </c>
      <c r="D295" s="191" t="s">
        <v>3602</v>
      </c>
      <c r="E295" s="191" t="s">
        <v>1152</v>
      </c>
      <c r="F295" s="191" t="s">
        <v>1169</v>
      </c>
      <c r="G295" s="191" t="s">
        <v>1297</v>
      </c>
      <c r="H295" s="191" t="s">
        <v>3603</v>
      </c>
      <c r="I295" s="182">
        <v>1858</v>
      </c>
      <c r="J295" s="191" t="s">
        <v>3604</v>
      </c>
      <c r="K295" s="182">
        <v>2013</v>
      </c>
      <c r="L295" s="191" t="s">
        <v>3605</v>
      </c>
    </row>
    <row r="296" spans="1:12" ht="12.75">
      <c r="A296" s="23" t="s">
        <v>214</v>
      </c>
      <c r="B296" s="41">
        <v>774</v>
      </c>
      <c r="C296" s="23">
        <f>B295</f>
        <v>773</v>
      </c>
      <c r="D296" s="191" t="s">
        <v>3606</v>
      </c>
      <c r="E296" s="191" t="s">
        <v>1152</v>
      </c>
      <c r="F296" s="191" t="s">
        <v>1169</v>
      </c>
      <c r="G296" s="191" t="s">
        <v>1297</v>
      </c>
      <c r="H296" s="191" t="s">
        <v>3607</v>
      </c>
      <c r="I296" s="182">
        <v>1859</v>
      </c>
      <c r="J296" s="191" t="s">
        <v>3608</v>
      </c>
      <c r="K296" s="182">
        <v>2015</v>
      </c>
      <c r="L296" s="191" t="s">
        <v>3609</v>
      </c>
    </row>
    <row r="297" spans="1:12" ht="12.75">
      <c r="A297" s="23" t="s">
        <v>214</v>
      </c>
      <c r="B297" s="41">
        <v>775</v>
      </c>
      <c r="C297" s="23">
        <f>B295</f>
        <v>773</v>
      </c>
      <c r="D297" s="191" t="s">
        <v>3606</v>
      </c>
      <c r="E297" s="191" t="s">
        <v>1158</v>
      </c>
      <c r="F297" s="191" t="s">
        <v>1214</v>
      </c>
      <c r="G297" s="191" t="s">
        <v>1258</v>
      </c>
      <c r="H297" s="191" t="s">
        <v>3610</v>
      </c>
      <c r="I297" s="182">
        <v>1859</v>
      </c>
      <c r="J297" s="191" t="s">
        <v>3608</v>
      </c>
      <c r="K297" s="182">
        <v>2015</v>
      </c>
      <c r="L297" s="191" t="s">
        <v>3609</v>
      </c>
    </row>
    <row r="298" spans="1:12" ht="12.75">
      <c r="A298" s="198" t="s">
        <v>214</v>
      </c>
      <c r="B298" s="41">
        <v>776</v>
      </c>
      <c r="C298" s="198" t="str">
        <f>CONCATENATE(B296, ", ", B297)</f>
        <v>774, 775</v>
      </c>
      <c r="D298" s="191" t="s">
        <v>3611</v>
      </c>
      <c r="E298" s="191" t="s">
        <v>1158</v>
      </c>
      <c r="F298" s="191" t="s">
        <v>1214</v>
      </c>
      <c r="G298" s="191" t="s">
        <v>1247</v>
      </c>
      <c r="H298" s="191" t="s">
        <v>3612</v>
      </c>
      <c r="I298" s="182">
        <v>1864</v>
      </c>
      <c r="J298" s="191" t="s">
        <v>3613</v>
      </c>
      <c r="K298" s="182">
        <v>2016</v>
      </c>
      <c r="L298" s="191" t="s">
        <v>3614</v>
      </c>
    </row>
    <row r="299" spans="1:12" ht="12.75">
      <c r="A299" s="198" t="s">
        <v>214</v>
      </c>
      <c r="B299" s="41">
        <v>777</v>
      </c>
      <c r="C299" s="198">
        <f>B295</f>
        <v>773</v>
      </c>
      <c r="D299" s="191" t="s">
        <v>3602</v>
      </c>
      <c r="E299" s="191" t="s">
        <v>1152</v>
      </c>
      <c r="F299" s="191" t="s">
        <v>1169</v>
      </c>
      <c r="G299" s="191" t="s">
        <v>3579</v>
      </c>
      <c r="H299" s="191" t="s">
        <v>3615</v>
      </c>
      <c r="I299" s="182">
        <v>1874</v>
      </c>
      <c r="J299" s="191" t="s">
        <v>3616</v>
      </c>
      <c r="K299" s="182">
        <v>2017</v>
      </c>
      <c r="L299" s="191" t="s">
        <v>3617</v>
      </c>
    </row>
    <row r="300" spans="1:12" ht="12.75">
      <c r="A300" s="198" t="s">
        <v>315</v>
      </c>
      <c r="B300" s="41">
        <v>597</v>
      </c>
      <c r="C300" s="11"/>
      <c r="D300" s="191" t="s">
        <v>927</v>
      </c>
      <c r="E300" s="107" t="s">
        <v>1152</v>
      </c>
      <c r="F300" s="107" t="s">
        <v>1169</v>
      </c>
      <c r="G300" s="107" t="s">
        <v>3107</v>
      </c>
      <c r="H300" s="71" t="s">
        <v>3108</v>
      </c>
      <c r="I300" s="72">
        <v>1812</v>
      </c>
      <c r="J300" s="82" t="s">
        <v>3109</v>
      </c>
      <c r="K300" s="72">
        <v>2023</v>
      </c>
      <c r="L300" s="82" t="s">
        <v>3110</v>
      </c>
    </row>
    <row r="301" spans="1:12" ht="12.75">
      <c r="A301" s="198" t="s">
        <v>315</v>
      </c>
      <c r="B301" s="41">
        <v>598</v>
      </c>
      <c r="C301" s="11">
        <f>B300</f>
        <v>597</v>
      </c>
      <c r="D301" s="191" t="s">
        <v>3111</v>
      </c>
      <c r="E301" s="107" t="s">
        <v>1158</v>
      </c>
      <c r="F301" s="107" t="s">
        <v>1159</v>
      </c>
      <c r="G301" s="107" t="s">
        <v>3112</v>
      </c>
      <c r="H301" s="68" t="s">
        <v>3113</v>
      </c>
      <c r="I301" s="124">
        <v>1827</v>
      </c>
      <c r="J301" s="82" t="s">
        <v>3114</v>
      </c>
      <c r="K301" s="72">
        <v>2022</v>
      </c>
      <c r="L301" s="82" t="s">
        <v>3115</v>
      </c>
    </row>
    <row r="302" spans="1:12" ht="12.75">
      <c r="A302" s="198" t="s">
        <v>315</v>
      </c>
      <c r="B302" s="41">
        <v>599</v>
      </c>
      <c r="C302" s="11">
        <f>B301</f>
        <v>598</v>
      </c>
      <c r="D302" s="191" t="s">
        <v>3116</v>
      </c>
      <c r="E302" s="107" t="s">
        <v>1158</v>
      </c>
      <c r="F302" s="107" t="s">
        <v>1159</v>
      </c>
      <c r="G302" s="107" t="s">
        <v>3112</v>
      </c>
      <c r="H302" s="68" t="s">
        <v>3117</v>
      </c>
      <c r="I302" s="124">
        <v>1928</v>
      </c>
      <c r="J302" s="82" t="s">
        <v>3118</v>
      </c>
      <c r="K302" s="72">
        <v>2021</v>
      </c>
      <c r="L302" s="82" t="s">
        <v>3119</v>
      </c>
    </row>
    <row r="303" spans="1:12" ht="12.75">
      <c r="A303" s="11" t="s">
        <v>45</v>
      </c>
      <c r="B303" s="41">
        <v>17</v>
      </c>
      <c r="C303" s="11"/>
      <c r="D303" s="10" t="s">
        <v>1219</v>
      </c>
      <c r="E303" s="181" t="s">
        <v>1153</v>
      </c>
      <c r="F303" s="107" t="s">
        <v>1153</v>
      </c>
      <c r="G303" s="107" t="s">
        <v>1154</v>
      </c>
      <c r="H303" s="68" t="s">
        <v>1220</v>
      </c>
      <c r="I303" s="124">
        <v>1814</v>
      </c>
      <c r="J303" s="82" t="s">
        <v>1221</v>
      </c>
      <c r="K303" s="72">
        <v>2019</v>
      </c>
      <c r="L303" s="259" t="s">
        <v>1222</v>
      </c>
    </row>
    <row r="304" spans="1:12" ht="12.75">
      <c r="A304" s="11" t="s">
        <v>45</v>
      </c>
      <c r="B304" s="41">
        <v>18</v>
      </c>
      <c r="C304" s="11">
        <f>B303</f>
        <v>17</v>
      </c>
      <c r="D304" s="10" t="s">
        <v>1219</v>
      </c>
      <c r="E304" s="181" t="s">
        <v>1152</v>
      </c>
      <c r="F304" s="107" t="s">
        <v>1169</v>
      </c>
      <c r="G304" s="107" t="s">
        <v>1170</v>
      </c>
      <c r="H304" s="71" t="s">
        <v>1223</v>
      </c>
      <c r="I304" s="72" t="s">
        <v>1224</v>
      </c>
      <c r="J304" s="82" t="s">
        <v>1225</v>
      </c>
      <c r="K304" s="72">
        <v>2015</v>
      </c>
      <c r="L304" s="82" t="s">
        <v>1226</v>
      </c>
    </row>
    <row r="305" spans="1:12" ht="12.75">
      <c r="A305" s="11" t="s">
        <v>45</v>
      </c>
      <c r="B305" s="41">
        <v>19</v>
      </c>
      <c r="C305" s="11">
        <f>B303</f>
        <v>17</v>
      </c>
      <c r="D305" s="10" t="s">
        <v>1227</v>
      </c>
      <c r="E305" s="181" t="s">
        <v>1152</v>
      </c>
      <c r="F305" s="107" t="s">
        <v>1190</v>
      </c>
      <c r="G305" s="107" t="s">
        <v>1228</v>
      </c>
      <c r="H305" s="71" t="s">
        <v>1229</v>
      </c>
      <c r="I305" s="72" t="s">
        <v>1224</v>
      </c>
      <c r="J305" s="62" t="s">
        <v>1225</v>
      </c>
      <c r="K305" s="72">
        <v>2016</v>
      </c>
      <c r="L305" s="62" t="s">
        <v>1230</v>
      </c>
    </row>
    <row r="306" spans="1:12" ht="12.75">
      <c r="A306" s="11" t="s">
        <v>45</v>
      </c>
      <c r="B306" s="41">
        <v>20</v>
      </c>
      <c r="C306" s="11">
        <f>B303</f>
        <v>17</v>
      </c>
      <c r="D306" s="10" t="s">
        <v>1231</v>
      </c>
      <c r="E306" s="181" t="s">
        <v>1152</v>
      </c>
      <c r="F306" s="107" t="s">
        <v>1190</v>
      </c>
      <c r="G306" s="107" t="s">
        <v>1232</v>
      </c>
      <c r="H306" s="71" t="s">
        <v>1233</v>
      </c>
      <c r="I306" s="72" t="s">
        <v>1224</v>
      </c>
      <c r="J306" s="62" t="s">
        <v>1225</v>
      </c>
      <c r="K306" s="72">
        <v>2012</v>
      </c>
      <c r="L306" s="62" t="s">
        <v>1234</v>
      </c>
    </row>
    <row r="307" spans="1:12" ht="12.75">
      <c r="A307" s="11" t="s">
        <v>45</v>
      </c>
      <c r="B307" s="41">
        <v>21</v>
      </c>
      <c r="C307" s="11" t="str">
        <f>CONCATENATE(B304, ", ",B305,", ",B306)</f>
        <v>18, 19, 20</v>
      </c>
      <c r="D307" s="10" t="s">
        <v>1235</v>
      </c>
      <c r="E307" s="201" t="s">
        <v>1152</v>
      </c>
      <c r="F307" s="191" t="s">
        <v>1190</v>
      </c>
      <c r="G307" s="191" t="s">
        <v>1228</v>
      </c>
      <c r="H307" s="191" t="s">
        <v>1236</v>
      </c>
      <c r="I307" s="182" t="s">
        <v>1237</v>
      </c>
      <c r="J307" s="191" t="s">
        <v>1238</v>
      </c>
      <c r="K307" s="182"/>
      <c r="L307" s="191"/>
    </row>
    <row r="308" spans="1:12" ht="12.75">
      <c r="A308" s="11" t="s">
        <v>45</v>
      </c>
      <c r="B308" s="41">
        <v>22</v>
      </c>
      <c r="C308" s="11" t="str">
        <f>CONCATENATE(B304, ", ", B305, ", ", B306)</f>
        <v>18, 19, 20</v>
      </c>
      <c r="D308" s="10" t="s">
        <v>46</v>
      </c>
      <c r="E308" s="107" t="s">
        <v>1152</v>
      </c>
      <c r="F308" s="107" t="s">
        <v>1214</v>
      </c>
      <c r="G308" s="107" t="s">
        <v>1239</v>
      </c>
      <c r="H308" s="71" t="s">
        <v>1240</v>
      </c>
      <c r="I308" s="72">
        <v>1841</v>
      </c>
      <c r="J308" s="62" t="s">
        <v>1241</v>
      </c>
      <c r="K308" s="72">
        <v>2021</v>
      </c>
      <c r="L308" s="62" t="s">
        <v>1242</v>
      </c>
    </row>
    <row r="309" spans="1:12" ht="12.75">
      <c r="A309" s="11" t="s">
        <v>45</v>
      </c>
      <c r="B309" s="41">
        <v>23</v>
      </c>
      <c r="C309" s="11">
        <f>B307</f>
        <v>21</v>
      </c>
      <c r="D309" s="10" t="s">
        <v>1235</v>
      </c>
      <c r="E309" s="181" t="s">
        <v>1152</v>
      </c>
      <c r="F309" s="107" t="s">
        <v>1190</v>
      </c>
      <c r="G309" s="107" t="s">
        <v>1228</v>
      </c>
      <c r="H309" s="71" t="s">
        <v>1243</v>
      </c>
      <c r="I309" s="72">
        <v>1916</v>
      </c>
      <c r="J309" s="62" t="s">
        <v>1244</v>
      </c>
      <c r="K309" s="72">
        <v>1971</v>
      </c>
      <c r="L309" s="62" t="s">
        <v>1245</v>
      </c>
    </row>
    <row r="310" spans="1:12" ht="12.75">
      <c r="A310" s="11" t="s">
        <v>45</v>
      </c>
      <c r="B310" s="41">
        <v>24</v>
      </c>
      <c r="C310" s="11">
        <f>B307</f>
        <v>21</v>
      </c>
      <c r="D310" s="10" t="s">
        <v>1246</v>
      </c>
      <c r="E310" s="107" t="s">
        <v>1158</v>
      </c>
      <c r="F310" s="107" t="s">
        <v>1214</v>
      </c>
      <c r="G310" s="107" t="s">
        <v>1247</v>
      </c>
      <c r="H310" s="71" t="s">
        <v>1248</v>
      </c>
      <c r="I310" s="72">
        <v>1892</v>
      </c>
      <c r="J310" s="62" t="s">
        <v>1249</v>
      </c>
      <c r="K310" s="72">
        <v>2016</v>
      </c>
      <c r="L310" s="62" t="s">
        <v>1230</v>
      </c>
    </row>
    <row r="311" spans="1:12" ht="12.75">
      <c r="A311" s="11" t="s">
        <v>45</v>
      </c>
      <c r="B311" s="41">
        <v>25</v>
      </c>
      <c r="C311" s="11">
        <f>B308</f>
        <v>22</v>
      </c>
      <c r="D311" s="10" t="s">
        <v>1246</v>
      </c>
      <c r="E311" s="191" t="s">
        <v>1158</v>
      </c>
      <c r="F311" s="191" t="s">
        <v>1173</v>
      </c>
      <c r="G311" s="70" t="s">
        <v>1250</v>
      </c>
      <c r="H311" s="191" t="s">
        <v>1251</v>
      </c>
      <c r="I311" s="182">
        <v>1873</v>
      </c>
      <c r="J311" s="191" t="s">
        <v>1252</v>
      </c>
      <c r="K311" s="182"/>
      <c r="L311" s="191"/>
    </row>
    <row r="312" spans="1:12" ht="12.75">
      <c r="A312" s="11" t="s">
        <v>135</v>
      </c>
      <c r="B312" s="41">
        <v>331</v>
      </c>
      <c r="C312" s="11"/>
      <c r="D312" s="10" t="s">
        <v>2284</v>
      </c>
      <c r="E312" s="107" t="s">
        <v>1153</v>
      </c>
      <c r="F312" s="107" t="s">
        <v>1153</v>
      </c>
      <c r="G312" s="107" t="s">
        <v>1154</v>
      </c>
      <c r="H312" s="71" t="s">
        <v>2285</v>
      </c>
      <c r="I312" s="72" t="s">
        <v>2286</v>
      </c>
      <c r="J312" s="62" t="s">
        <v>2287</v>
      </c>
      <c r="K312" s="72">
        <v>2019</v>
      </c>
      <c r="L312" s="62" t="s">
        <v>2288</v>
      </c>
    </row>
    <row r="313" spans="1:12" ht="12.75">
      <c r="A313" s="11" t="s">
        <v>135</v>
      </c>
      <c r="B313" s="41">
        <v>332</v>
      </c>
      <c r="C313" s="11">
        <f>B312</f>
        <v>331</v>
      </c>
      <c r="D313" s="10" t="s">
        <v>546</v>
      </c>
      <c r="E313" s="107" t="s">
        <v>1158</v>
      </c>
      <c r="F313" s="107" t="s">
        <v>1214</v>
      </c>
      <c r="G313" s="107" t="s">
        <v>1239</v>
      </c>
      <c r="H313" s="71" t="s">
        <v>2289</v>
      </c>
      <c r="I313" s="72">
        <v>1834</v>
      </c>
      <c r="J313" s="62" t="s">
        <v>2290</v>
      </c>
      <c r="K313" s="72">
        <v>2019</v>
      </c>
      <c r="L313" s="62" t="s">
        <v>2291</v>
      </c>
    </row>
    <row r="314" spans="1:12" ht="12.75">
      <c r="A314" s="11" t="s">
        <v>135</v>
      </c>
      <c r="B314" s="41">
        <v>333</v>
      </c>
      <c r="C314" s="11">
        <f>B313</f>
        <v>332</v>
      </c>
      <c r="D314" s="10" t="s">
        <v>2292</v>
      </c>
      <c r="E314" s="107" t="s">
        <v>1158</v>
      </c>
      <c r="F314" s="107" t="s">
        <v>1214</v>
      </c>
      <c r="G314" s="107" t="s">
        <v>1258</v>
      </c>
      <c r="H314" s="71" t="s">
        <v>2293</v>
      </c>
      <c r="I314" s="72">
        <v>1835</v>
      </c>
      <c r="J314" s="62" t="s">
        <v>2294</v>
      </c>
      <c r="K314" s="72">
        <v>2016</v>
      </c>
      <c r="L314" s="62" t="s">
        <v>2295</v>
      </c>
    </row>
    <row r="315" spans="1:12" ht="12.75">
      <c r="A315" s="11" t="s">
        <v>135</v>
      </c>
      <c r="B315" s="41">
        <v>334</v>
      </c>
      <c r="C315" s="11">
        <f>B314</f>
        <v>333</v>
      </c>
      <c r="D315" s="10" t="s">
        <v>2296</v>
      </c>
      <c r="E315" s="107" t="s">
        <v>1152</v>
      </c>
      <c r="F315" s="107" t="s">
        <v>1169</v>
      </c>
      <c r="G315" s="107" t="s">
        <v>1367</v>
      </c>
      <c r="H315" s="71" t="s">
        <v>2297</v>
      </c>
      <c r="I315" s="72">
        <v>1835</v>
      </c>
      <c r="J315" s="62" t="s">
        <v>2294</v>
      </c>
      <c r="K315" s="72">
        <v>2016</v>
      </c>
      <c r="L315" s="62" t="s">
        <v>2298</v>
      </c>
    </row>
    <row r="316" spans="1:12" ht="12.75">
      <c r="A316" s="11" t="s">
        <v>135</v>
      </c>
      <c r="B316" s="41">
        <v>335</v>
      </c>
      <c r="C316" s="11">
        <f>B313</f>
        <v>332</v>
      </c>
      <c r="D316" s="10" t="s">
        <v>546</v>
      </c>
      <c r="E316" s="107" t="s">
        <v>1152</v>
      </c>
      <c r="F316" s="107" t="s">
        <v>1190</v>
      </c>
      <c r="G316" s="107" t="s">
        <v>1191</v>
      </c>
      <c r="H316" s="71" t="s">
        <v>2299</v>
      </c>
      <c r="I316" s="72" t="s">
        <v>2300</v>
      </c>
      <c r="J316" s="62" t="s">
        <v>2301</v>
      </c>
      <c r="K316" s="72" t="s">
        <v>2302</v>
      </c>
      <c r="L316" s="62" t="s">
        <v>2303</v>
      </c>
    </row>
    <row r="317" spans="1:12" ht="12.75">
      <c r="A317" s="11" t="s">
        <v>135</v>
      </c>
      <c r="B317" s="41">
        <v>336</v>
      </c>
      <c r="C317" s="11">
        <f>B313</f>
        <v>332</v>
      </c>
      <c r="D317" s="10" t="s">
        <v>2304</v>
      </c>
      <c r="E317" s="107" t="s">
        <v>1158</v>
      </c>
      <c r="F317" s="107" t="s">
        <v>1214</v>
      </c>
      <c r="G317" s="107" t="s">
        <v>1392</v>
      </c>
      <c r="H317" s="71" t="s">
        <v>2305</v>
      </c>
      <c r="I317" s="72">
        <v>2003</v>
      </c>
      <c r="J317" s="62" t="s">
        <v>2306</v>
      </c>
      <c r="K317" s="72">
        <v>2014</v>
      </c>
      <c r="L317" s="62" t="s">
        <v>2307</v>
      </c>
    </row>
    <row r="318" spans="1:12" ht="12.75">
      <c r="A318" s="11" t="s">
        <v>135</v>
      </c>
      <c r="B318" s="41">
        <v>337</v>
      </c>
      <c r="C318" s="11" t="str">
        <f>CONCATENATE(B316,", ",B317)</f>
        <v>335, 336</v>
      </c>
      <c r="D318" s="10" t="s">
        <v>2304</v>
      </c>
      <c r="E318" s="107" t="s">
        <v>1152</v>
      </c>
      <c r="F318" s="107" t="s">
        <v>1169</v>
      </c>
      <c r="G318" s="107" t="s">
        <v>1170</v>
      </c>
      <c r="H318" s="71" t="s">
        <v>2308</v>
      </c>
      <c r="I318" s="72">
        <v>2008</v>
      </c>
      <c r="J318" s="62" t="s">
        <v>2309</v>
      </c>
      <c r="K318" s="72">
        <v>2010</v>
      </c>
      <c r="L318" s="62" t="s">
        <v>2310</v>
      </c>
    </row>
    <row r="319" spans="1:12" ht="12.75">
      <c r="A319" s="11" t="s">
        <v>157</v>
      </c>
      <c r="B319" s="41">
        <v>360</v>
      </c>
      <c r="C319" s="11"/>
      <c r="D319" s="191" t="s">
        <v>2394</v>
      </c>
      <c r="E319" s="107" t="s">
        <v>1153</v>
      </c>
      <c r="F319" s="107" t="s">
        <v>1153</v>
      </c>
      <c r="G319" s="107" t="s">
        <v>1324</v>
      </c>
      <c r="H319" s="71" t="s">
        <v>2395</v>
      </c>
      <c r="I319" s="165">
        <v>1666</v>
      </c>
      <c r="J319" s="62" t="s">
        <v>2396</v>
      </c>
      <c r="K319" s="72">
        <v>2019</v>
      </c>
      <c r="L319" s="62" t="s">
        <v>2397</v>
      </c>
    </row>
    <row r="320" spans="1:12" ht="12.75">
      <c r="A320" s="182" t="s">
        <v>157</v>
      </c>
      <c r="B320" s="41">
        <v>361</v>
      </c>
      <c r="C320" s="182">
        <f>B319</f>
        <v>360</v>
      </c>
      <c r="D320" s="191" t="s">
        <v>2398</v>
      </c>
      <c r="E320" s="79" t="s">
        <v>1152</v>
      </c>
      <c r="F320" s="79" t="s">
        <v>1169</v>
      </c>
      <c r="G320" s="107" t="s">
        <v>1297</v>
      </c>
      <c r="H320" s="107" t="s">
        <v>2399</v>
      </c>
      <c r="I320" s="165">
        <v>1689</v>
      </c>
      <c r="J320" s="107" t="s">
        <v>2400</v>
      </c>
      <c r="K320" s="124">
        <v>2019</v>
      </c>
      <c r="L320" s="107" t="s">
        <v>2401</v>
      </c>
    </row>
    <row r="321" spans="1:12" ht="12.75">
      <c r="A321" s="182" t="s">
        <v>157</v>
      </c>
      <c r="B321" s="41">
        <v>362</v>
      </c>
      <c r="C321" s="182">
        <f>B320</f>
        <v>361</v>
      </c>
      <c r="D321" s="191" t="s">
        <v>2398</v>
      </c>
      <c r="E321" s="79" t="s">
        <v>1152</v>
      </c>
      <c r="F321" s="79" t="s">
        <v>1190</v>
      </c>
      <c r="G321" s="107" t="s">
        <v>2402</v>
      </c>
      <c r="H321" s="107" t="s">
        <v>2403</v>
      </c>
      <c r="I321" s="165">
        <v>1718</v>
      </c>
      <c r="J321" s="107" t="s">
        <v>2404</v>
      </c>
      <c r="K321" s="124">
        <v>2019</v>
      </c>
      <c r="L321" s="107" t="s">
        <v>2405</v>
      </c>
    </row>
    <row r="322" spans="1:12" ht="12.6" customHeight="1">
      <c r="A322" s="182" t="s">
        <v>157</v>
      </c>
      <c r="B322" s="41">
        <v>363</v>
      </c>
      <c r="C322" s="182">
        <f>B321</f>
        <v>362</v>
      </c>
      <c r="D322" s="191" t="s">
        <v>2398</v>
      </c>
      <c r="E322" s="79" t="s">
        <v>1152</v>
      </c>
      <c r="F322" s="79" t="s">
        <v>1169</v>
      </c>
      <c r="G322" s="181" t="s">
        <v>2406</v>
      </c>
      <c r="H322" s="107" t="s">
        <v>2407</v>
      </c>
      <c r="I322" s="124" t="s">
        <v>1330</v>
      </c>
      <c r="J322" s="205" t="s">
        <v>2408</v>
      </c>
      <c r="K322" s="124">
        <v>2019</v>
      </c>
      <c r="L322" s="107" t="s">
        <v>2409</v>
      </c>
    </row>
    <row r="323" spans="1:12" ht="12.75">
      <c r="A323" s="182" t="s">
        <v>157</v>
      </c>
      <c r="B323" s="41">
        <v>364</v>
      </c>
      <c r="C323" s="182">
        <f>B322</f>
        <v>363</v>
      </c>
      <c r="D323" s="191" t="s">
        <v>2398</v>
      </c>
      <c r="E323" s="79" t="s">
        <v>1152</v>
      </c>
      <c r="F323" s="79" t="s">
        <v>1190</v>
      </c>
      <c r="G323" s="107" t="s">
        <v>2402</v>
      </c>
      <c r="H323" s="107" t="s">
        <v>2410</v>
      </c>
      <c r="I323" s="165">
        <v>1844</v>
      </c>
      <c r="J323" s="107" t="s">
        <v>2411</v>
      </c>
      <c r="K323" s="124">
        <v>2020</v>
      </c>
      <c r="L323" s="107" t="s">
        <v>2412</v>
      </c>
    </row>
    <row r="324" spans="1:12" ht="14.45" customHeight="1">
      <c r="A324" s="182" t="s">
        <v>157</v>
      </c>
      <c r="B324" s="41">
        <v>365</v>
      </c>
      <c r="C324" s="182">
        <f>B321</f>
        <v>362</v>
      </c>
      <c r="D324" s="191" t="s">
        <v>2413</v>
      </c>
      <c r="E324" s="79" t="s">
        <v>1158</v>
      </c>
      <c r="F324" s="79" t="s">
        <v>1159</v>
      </c>
      <c r="G324" s="107" t="s">
        <v>1165</v>
      </c>
      <c r="H324" s="107" t="s">
        <v>2414</v>
      </c>
      <c r="I324" s="165">
        <v>1846</v>
      </c>
      <c r="J324" s="107" t="s">
        <v>2415</v>
      </c>
      <c r="K324" s="165" t="s">
        <v>1423</v>
      </c>
      <c r="L324" s="107" t="s">
        <v>2416</v>
      </c>
    </row>
    <row r="325" spans="1:12" ht="14.45" customHeight="1">
      <c r="A325" s="182" t="s">
        <v>157</v>
      </c>
      <c r="B325" s="41">
        <v>366</v>
      </c>
      <c r="C325" s="182">
        <f>B321</f>
        <v>362</v>
      </c>
      <c r="D325" s="191" t="s">
        <v>2413</v>
      </c>
      <c r="E325" s="107" t="s">
        <v>1152</v>
      </c>
      <c r="F325" s="107" t="s">
        <v>1169</v>
      </c>
      <c r="G325" s="107" t="s">
        <v>1297</v>
      </c>
      <c r="H325" s="107" t="s">
        <v>2417</v>
      </c>
      <c r="I325" s="165">
        <v>1846</v>
      </c>
      <c r="J325" s="107" t="s">
        <v>2415</v>
      </c>
      <c r="K325" s="165" t="s">
        <v>1423</v>
      </c>
      <c r="L325" s="107" t="s">
        <v>2416</v>
      </c>
    </row>
    <row r="326" spans="1:12" ht="12.75">
      <c r="A326" s="182" t="s">
        <v>157</v>
      </c>
      <c r="B326" s="41">
        <v>367</v>
      </c>
      <c r="C326" s="182" t="str">
        <f>CONCATENATE(B324,", ",B325)</f>
        <v>365, 366</v>
      </c>
      <c r="D326" s="163" t="s">
        <v>2418</v>
      </c>
      <c r="E326" s="107" t="s">
        <v>1158</v>
      </c>
      <c r="F326" s="107" t="s">
        <v>1214</v>
      </c>
      <c r="G326" s="319" t="s">
        <v>4311</v>
      </c>
      <c r="H326" s="107" t="s">
        <v>2419</v>
      </c>
      <c r="I326" s="124" t="s">
        <v>2420</v>
      </c>
      <c r="J326" s="107" t="s">
        <v>2421</v>
      </c>
      <c r="K326" s="124">
        <v>2020</v>
      </c>
      <c r="L326" s="107" t="s">
        <v>2422</v>
      </c>
    </row>
    <row r="327" spans="1:12" ht="12.75">
      <c r="A327" s="182" t="s">
        <v>157</v>
      </c>
      <c r="B327" s="41">
        <v>368</v>
      </c>
      <c r="C327" s="182" t="str">
        <f>CONCATENATE(B324,", ",B325)</f>
        <v>365, 366</v>
      </c>
      <c r="D327" s="163" t="s">
        <v>2418</v>
      </c>
      <c r="E327" s="107" t="s">
        <v>1152</v>
      </c>
      <c r="F327" s="107" t="s">
        <v>1169</v>
      </c>
      <c r="G327" s="107" t="s">
        <v>1170</v>
      </c>
      <c r="H327" s="107" t="s">
        <v>2423</v>
      </c>
      <c r="I327" s="124" t="s">
        <v>2420</v>
      </c>
      <c r="J327" s="107" t="s">
        <v>2421</v>
      </c>
      <c r="K327" s="124">
        <v>2017</v>
      </c>
      <c r="L327" s="107" t="s">
        <v>2424</v>
      </c>
    </row>
    <row r="328" spans="1:12" ht="12.75">
      <c r="A328" s="23" t="s">
        <v>323</v>
      </c>
      <c r="B328" s="41">
        <v>619</v>
      </c>
      <c r="C328" s="182"/>
      <c r="D328" s="191" t="s">
        <v>3157</v>
      </c>
      <c r="E328" s="107" t="s">
        <v>1153</v>
      </c>
      <c r="F328" s="107" t="s">
        <v>1153</v>
      </c>
      <c r="G328" s="107" t="s">
        <v>1186</v>
      </c>
      <c r="H328" s="107" t="s">
        <v>3158</v>
      </c>
      <c r="I328" s="124" t="s">
        <v>3159</v>
      </c>
      <c r="J328" s="187" t="s">
        <v>3160</v>
      </c>
      <c r="K328" s="124">
        <v>2014</v>
      </c>
      <c r="L328" s="181" t="s">
        <v>3161</v>
      </c>
    </row>
    <row r="329" spans="1:12" ht="12.75">
      <c r="A329" s="23" t="s">
        <v>323</v>
      </c>
      <c r="B329" s="41">
        <v>620</v>
      </c>
      <c r="C329" s="182">
        <f>B328</f>
        <v>619</v>
      </c>
      <c r="D329" s="191" t="s">
        <v>942</v>
      </c>
      <c r="E329" s="107" t="s">
        <v>1152</v>
      </c>
      <c r="F329" s="107" t="s">
        <v>1159</v>
      </c>
      <c r="G329" s="107" t="s">
        <v>1267</v>
      </c>
      <c r="H329" s="107" t="s">
        <v>3162</v>
      </c>
      <c r="I329" s="124">
        <v>1769</v>
      </c>
      <c r="J329" s="107" t="s">
        <v>3163</v>
      </c>
      <c r="K329" s="124">
        <v>2013</v>
      </c>
      <c r="L329" s="181" t="s">
        <v>3164</v>
      </c>
    </row>
    <row r="330" spans="1:12" ht="13.15" customHeight="1">
      <c r="A330" s="23" t="s">
        <v>323</v>
      </c>
      <c r="B330" s="41">
        <v>621</v>
      </c>
      <c r="C330" s="9">
        <f>B329</f>
        <v>620</v>
      </c>
      <c r="D330" s="191" t="s">
        <v>942</v>
      </c>
      <c r="E330" s="79" t="s">
        <v>1158</v>
      </c>
      <c r="F330" s="107" t="s">
        <v>1169</v>
      </c>
      <c r="G330" s="107" t="s">
        <v>1367</v>
      </c>
      <c r="H330" s="68" t="s">
        <v>3165</v>
      </c>
      <c r="I330" s="124">
        <v>1872</v>
      </c>
      <c r="J330" s="82" t="s">
        <v>3166</v>
      </c>
      <c r="K330" s="124">
        <v>2014</v>
      </c>
      <c r="L330" s="181" t="s">
        <v>3167</v>
      </c>
    </row>
    <row r="331" spans="1:12" ht="12.75">
      <c r="A331" s="130" t="s">
        <v>143</v>
      </c>
      <c r="B331" s="41">
        <v>160</v>
      </c>
      <c r="C331" s="198"/>
      <c r="D331" s="50" t="s">
        <v>1722</v>
      </c>
      <c r="E331" s="115" t="s">
        <v>1153</v>
      </c>
      <c r="F331" s="131" t="s">
        <v>1153</v>
      </c>
      <c r="G331" s="115" t="s">
        <v>1154</v>
      </c>
      <c r="H331" s="68" t="s">
        <v>1723</v>
      </c>
      <c r="I331" s="131">
        <v>1782</v>
      </c>
      <c r="J331" s="225" t="s">
        <v>1724</v>
      </c>
      <c r="K331" s="124">
        <v>2016</v>
      </c>
      <c r="L331" s="225" t="s">
        <v>1725</v>
      </c>
    </row>
    <row r="332" spans="1:12" ht="13.15" customHeight="1">
      <c r="A332" s="130" t="s">
        <v>143</v>
      </c>
      <c r="B332" s="41">
        <v>161</v>
      </c>
      <c r="C332" s="198">
        <f>B331</f>
        <v>160</v>
      </c>
      <c r="D332" s="50" t="s">
        <v>1726</v>
      </c>
      <c r="E332" s="115" t="s">
        <v>1152</v>
      </c>
      <c r="F332" s="131" t="s">
        <v>1169</v>
      </c>
      <c r="G332" s="115" t="s">
        <v>1170</v>
      </c>
      <c r="H332" s="68" t="s">
        <v>1727</v>
      </c>
      <c r="I332" s="131">
        <v>1764</v>
      </c>
      <c r="J332" s="225" t="s">
        <v>1728</v>
      </c>
      <c r="K332" s="124">
        <v>2019</v>
      </c>
      <c r="L332" s="225" t="s">
        <v>1729</v>
      </c>
    </row>
    <row r="333" spans="1:12" ht="13.15" customHeight="1">
      <c r="A333" s="130" t="s">
        <v>143</v>
      </c>
      <c r="B333" s="41">
        <v>162</v>
      </c>
      <c r="C333" s="198">
        <f>B332</f>
        <v>161</v>
      </c>
      <c r="D333" s="50" t="s">
        <v>1730</v>
      </c>
      <c r="E333" s="225" t="s">
        <v>1158</v>
      </c>
      <c r="F333" s="225" t="s">
        <v>1173</v>
      </c>
      <c r="G333" s="141" t="s">
        <v>1472</v>
      </c>
      <c r="H333" s="107" t="s">
        <v>1731</v>
      </c>
      <c r="I333" s="131">
        <v>1832</v>
      </c>
      <c r="J333" s="225" t="s">
        <v>1732</v>
      </c>
      <c r="K333" s="124">
        <v>2016</v>
      </c>
      <c r="L333" s="77" t="s">
        <v>1733</v>
      </c>
    </row>
    <row r="334" spans="1:12" ht="12.75">
      <c r="A334" s="130" t="s">
        <v>143</v>
      </c>
      <c r="B334" s="41">
        <v>163</v>
      </c>
      <c r="C334" s="198">
        <f>B333</f>
        <v>162</v>
      </c>
      <c r="D334" s="50" t="s">
        <v>1734</v>
      </c>
      <c r="E334" s="225" t="s">
        <v>1152</v>
      </c>
      <c r="F334" s="225" t="s">
        <v>1190</v>
      </c>
      <c r="G334" s="225" t="s">
        <v>1232</v>
      </c>
      <c r="H334" s="68" t="s">
        <v>1735</v>
      </c>
      <c r="I334" s="131">
        <v>1847</v>
      </c>
      <c r="J334" s="77" t="s">
        <v>1736</v>
      </c>
      <c r="K334" s="99">
        <v>2015</v>
      </c>
      <c r="L334" s="225" t="s">
        <v>1737</v>
      </c>
    </row>
    <row r="335" spans="1:12" ht="16.5" customHeight="1">
      <c r="A335" s="130" t="s">
        <v>143</v>
      </c>
      <c r="B335" s="41">
        <v>164</v>
      </c>
      <c r="C335" s="198">
        <f>B334</f>
        <v>163</v>
      </c>
      <c r="D335" s="50" t="s">
        <v>1738</v>
      </c>
      <c r="E335" s="115" t="s">
        <v>1158</v>
      </c>
      <c r="F335" s="131" t="s">
        <v>1214</v>
      </c>
      <c r="G335" s="141" t="s">
        <v>1247</v>
      </c>
      <c r="H335" s="68" t="s">
        <v>1739</v>
      </c>
      <c r="I335" s="131">
        <v>1857</v>
      </c>
      <c r="J335" s="225" t="s">
        <v>1740</v>
      </c>
      <c r="K335" s="99">
        <v>2017</v>
      </c>
      <c r="L335" s="225" t="s">
        <v>1741</v>
      </c>
    </row>
    <row r="336" spans="1:12" ht="13.15" customHeight="1">
      <c r="A336" s="130" t="s">
        <v>143</v>
      </c>
      <c r="B336" s="41">
        <v>165</v>
      </c>
      <c r="C336" s="130">
        <f>B334</f>
        <v>163</v>
      </c>
      <c r="D336" s="50" t="s">
        <v>1738</v>
      </c>
      <c r="E336" s="115" t="s">
        <v>1152</v>
      </c>
      <c r="F336" s="131" t="s">
        <v>1169</v>
      </c>
      <c r="G336" s="115" t="s">
        <v>1742</v>
      </c>
      <c r="H336" s="107" t="s">
        <v>1743</v>
      </c>
      <c r="I336" s="131">
        <v>1857</v>
      </c>
      <c r="J336" s="77" t="s">
        <v>1740</v>
      </c>
      <c r="K336" s="124">
        <v>2012</v>
      </c>
      <c r="L336" s="77" t="s">
        <v>1744</v>
      </c>
    </row>
    <row r="337" spans="1:12" ht="25.5">
      <c r="A337" s="130" t="s">
        <v>143</v>
      </c>
      <c r="B337" s="41">
        <v>166</v>
      </c>
      <c r="C337" s="130" t="str">
        <f>CONCATENATE(B335,", ",B336)</f>
        <v>164, 165</v>
      </c>
      <c r="D337" s="50" t="s">
        <v>1738</v>
      </c>
      <c r="E337" s="115" t="s">
        <v>1158</v>
      </c>
      <c r="F337" s="131" t="s">
        <v>1173</v>
      </c>
      <c r="G337" s="115" t="s">
        <v>1174</v>
      </c>
      <c r="H337" s="107" t="s">
        <v>1745</v>
      </c>
      <c r="I337" s="131">
        <v>1932</v>
      </c>
      <c r="J337" s="77" t="s">
        <v>1746</v>
      </c>
      <c r="K337" s="124">
        <v>2012</v>
      </c>
      <c r="L337" s="77" t="s">
        <v>1744</v>
      </c>
    </row>
    <row r="338" spans="1:12" ht="13.15" customHeight="1">
      <c r="A338" s="130" t="s">
        <v>143</v>
      </c>
      <c r="B338" s="41">
        <v>167</v>
      </c>
      <c r="C338" s="130">
        <f>B337</f>
        <v>166</v>
      </c>
      <c r="D338" s="50" t="s">
        <v>1730</v>
      </c>
      <c r="E338" s="115" t="s">
        <v>1152</v>
      </c>
      <c r="F338" s="131" t="s">
        <v>1190</v>
      </c>
      <c r="G338" s="74" t="s">
        <v>1494</v>
      </c>
      <c r="H338" s="107" t="s">
        <v>1747</v>
      </c>
      <c r="I338" s="131">
        <v>1973</v>
      </c>
      <c r="J338" s="77" t="s">
        <v>1748</v>
      </c>
      <c r="K338" s="124">
        <v>2000</v>
      </c>
      <c r="L338" s="77" t="s">
        <v>1749</v>
      </c>
    </row>
    <row r="339" spans="1:12" ht="25.5">
      <c r="A339" s="130" t="s">
        <v>143</v>
      </c>
      <c r="B339" s="41">
        <v>168</v>
      </c>
      <c r="C339" s="130">
        <f>B338</f>
        <v>167</v>
      </c>
      <c r="D339" s="50" t="s">
        <v>1750</v>
      </c>
      <c r="E339" s="115" t="s">
        <v>1158</v>
      </c>
      <c r="F339" s="131" t="s">
        <v>1214</v>
      </c>
      <c r="G339" s="115" t="s">
        <v>1215</v>
      </c>
      <c r="H339" s="107" t="s">
        <v>1751</v>
      </c>
      <c r="I339" s="131">
        <v>1979</v>
      </c>
      <c r="J339" s="77" t="s">
        <v>1752</v>
      </c>
      <c r="K339" s="124">
        <v>2007</v>
      </c>
      <c r="L339" s="77" t="s">
        <v>1753</v>
      </c>
    </row>
    <row r="340" spans="1:12" ht="12.6" customHeight="1">
      <c r="A340" s="132" t="s">
        <v>143</v>
      </c>
      <c r="B340" s="41">
        <v>169</v>
      </c>
      <c r="C340" s="132">
        <f>B339</f>
        <v>168</v>
      </c>
      <c r="D340" s="133" t="s">
        <v>1754</v>
      </c>
      <c r="E340" s="134" t="s">
        <v>1152</v>
      </c>
      <c r="F340" s="135" t="s">
        <v>1169</v>
      </c>
      <c r="G340" s="204" t="s">
        <v>1367</v>
      </c>
      <c r="H340" s="181" t="s">
        <v>1755</v>
      </c>
      <c r="I340" s="135">
        <v>1976</v>
      </c>
      <c r="J340" s="104" t="s">
        <v>1756</v>
      </c>
      <c r="K340" s="165">
        <v>2003</v>
      </c>
      <c r="L340" s="104" t="s">
        <v>1757</v>
      </c>
    </row>
    <row r="341" spans="1:12" ht="12.6" customHeight="1">
      <c r="A341" s="198" t="s">
        <v>167</v>
      </c>
      <c r="B341" s="41">
        <v>226</v>
      </c>
      <c r="C341" s="11"/>
      <c r="D341" s="144" t="s">
        <v>1938</v>
      </c>
      <c r="E341" s="225" t="s">
        <v>1153</v>
      </c>
      <c r="F341" s="225" t="s">
        <v>1153</v>
      </c>
      <c r="G341" s="141" t="s">
        <v>1186</v>
      </c>
      <c r="H341" s="225" t="s">
        <v>1939</v>
      </c>
      <c r="I341" s="193">
        <v>1766</v>
      </c>
      <c r="J341" s="225" t="s">
        <v>1940</v>
      </c>
      <c r="K341" s="193"/>
      <c r="L341" s="150"/>
    </row>
    <row r="342" spans="1:12" ht="12.6" customHeight="1">
      <c r="A342" s="198" t="s">
        <v>167</v>
      </c>
      <c r="B342" s="41">
        <v>227</v>
      </c>
      <c r="C342" s="11">
        <f>B341</f>
        <v>226</v>
      </c>
      <c r="D342" s="144" t="s">
        <v>1941</v>
      </c>
      <c r="E342" s="225" t="s">
        <v>1158</v>
      </c>
      <c r="F342" s="225" t="s">
        <v>1173</v>
      </c>
      <c r="G342" s="141" t="s">
        <v>1174</v>
      </c>
      <c r="H342" s="225" t="s">
        <v>1942</v>
      </c>
      <c r="I342" s="193">
        <v>1823</v>
      </c>
      <c r="J342" s="225" t="s">
        <v>1943</v>
      </c>
      <c r="K342" s="193"/>
      <c r="L342" s="150"/>
    </row>
    <row r="343" spans="1:12" ht="38.25">
      <c r="A343" s="198" t="s">
        <v>167</v>
      </c>
      <c r="B343" s="41">
        <v>228</v>
      </c>
      <c r="C343" s="11">
        <f>B342</f>
        <v>227</v>
      </c>
      <c r="D343" s="144" t="s">
        <v>1944</v>
      </c>
      <c r="E343" s="225" t="s">
        <v>1158</v>
      </c>
      <c r="F343" s="225" t="s">
        <v>1173</v>
      </c>
      <c r="G343" s="141" t="s">
        <v>1282</v>
      </c>
      <c r="H343" s="225" t="s">
        <v>1945</v>
      </c>
      <c r="I343" s="193">
        <v>1833</v>
      </c>
      <c r="J343" s="225" t="s">
        <v>1946</v>
      </c>
      <c r="K343" s="193"/>
      <c r="L343" s="150"/>
    </row>
    <row r="344" spans="1:12" ht="12.75">
      <c r="A344" s="198" t="s">
        <v>167</v>
      </c>
      <c r="B344" s="41">
        <v>229</v>
      </c>
      <c r="C344" s="198">
        <f>B343</f>
        <v>228</v>
      </c>
      <c r="D344" s="144" t="s">
        <v>1947</v>
      </c>
      <c r="E344" s="225" t="s">
        <v>1158</v>
      </c>
      <c r="F344" s="225" t="s">
        <v>1173</v>
      </c>
      <c r="G344" s="246" t="s">
        <v>1282</v>
      </c>
      <c r="H344" s="246" t="s">
        <v>1948</v>
      </c>
      <c r="I344" s="246">
        <v>1855</v>
      </c>
      <c r="J344" s="246" t="s">
        <v>1949</v>
      </c>
      <c r="K344" s="151"/>
      <c r="L344" s="246"/>
    </row>
    <row r="345" spans="1:12" ht="12.75">
      <c r="A345" s="198" t="s">
        <v>167</v>
      </c>
      <c r="B345" s="41">
        <v>230</v>
      </c>
      <c r="C345" s="198">
        <f>B343</f>
        <v>228</v>
      </c>
      <c r="D345" s="246" t="s">
        <v>1950</v>
      </c>
      <c r="E345" s="246" t="s">
        <v>1158</v>
      </c>
      <c r="F345" s="246" t="s">
        <v>1173</v>
      </c>
      <c r="G345" s="246" t="s">
        <v>1437</v>
      </c>
      <c r="H345" s="246" t="s">
        <v>1951</v>
      </c>
      <c r="I345" s="246" t="s">
        <v>1952</v>
      </c>
      <c r="J345" s="246" t="s">
        <v>1953</v>
      </c>
      <c r="K345" s="151"/>
      <c r="L345" s="246"/>
    </row>
    <row r="346" spans="1:12" ht="12.6" customHeight="1">
      <c r="A346" s="180" t="s">
        <v>59</v>
      </c>
      <c r="B346" s="41">
        <v>45</v>
      </c>
      <c r="C346" s="180"/>
      <c r="D346" s="85" t="s">
        <v>1323</v>
      </c>
      <c r="E346" s="181" t="s">
        <v>1153</v>
      </c>
      <c r="F346" s="181" t="s">
        <v>1153</v>
      </c>
      <c r="G346" s="181" t="s">
        <v>1324</v>
      </c>
      <c r="H346" s="71" t="s">
        <v>1325</v>
      </c>
      <c r="I346" s="111">
        <v>1814</v>
      </c>
      <c r="J346" s="62" t="s">
        <v>1326</v>
      </c>
      <c r="K346" s="124">
        <v>1852</v>
      </c>
      <c r="L346" s="62" t="s">
        <v>1327</v>
      </c>
    </row>
    <row r="347" spans="1:12" ht="12.6" customHeight="1">
      <c r="A347" s="180" t="s">
        <v>59</v>
      </c>
      <c r="B347" s="41">
        <v>46</v>
      </c>
      <c r="C347" s="180">
        <f>B346</f>
        <v>45</v>
      </c>
      <c r="D347" s="85" t="s">
        <v>1328</v>
      </c>
      <c r="E347" s="181" t="s">
        <v>1158</v>
      </c>
      <c r="F347" s="181" t="s">
        <v>1214</v>
      </c>
      <c r="G347" s="181" t="s">
        <v>1174</v>
      </c>
      <c r="H347" s="181" t="s">
        <v>1329</v>
      </c>
      <c r="I347" s="72" t="s">
        <v>1330</v>
      </c>
      <c r="J347" s="181" t="s">
        <v>1331</v>
      </c>
      <c r="K347" s="111" t="s">
        <v>1332</v>
      </c>
      <c r="L347" s="181" t="s">
        <v>1333</v>
      </c>
    </row>
    <row r="348" spans="1:12" ht="12.6" customHeight="1">
      <c r="A348" s="180" t="s">
        <v>59</v>
      </c>
      <c r="B348" s="41">
        <v>47</v>
      </c>
      <c r="C348" s="180">
        <f>B346</f>
        <v>45</v>
      </c>
      <c r="D348" s="85" t="s">
        <v>1323</v>
      </c>
      <c r="E348" s="181" t="s">
        <v>1152</v>
      </c>
      <c r="F348" s="181" t="s">
        <v>1190</v>
      </c>
      <c r="G348" s="181" t="s">
        <v>1334</v>
      </c>
      <c r="H348" s="181" t="s">
        <v>1335</v>
      </c>
      <c r="I348" s="72" t="s">
        <v>1330</v>
      </c>
      <c r="J348" s="181" t="s">
        <v>1331</v>
      </c>
      <c r="K348" s="111" t="s">
        <v>1332</v>
      </c>
      <c r="L348" s="181" t="s">
        <v>1333</v>
      </c>
    </row>
    <row r="349" spans="1:12" ht="12.6" customHeight="1">
      <c r="A349" s="180" t="s">
        <v>59</v>
      </c>
      <c r="B349" s="41">
        <v>48</v>
      </c>
      <c r="C349" s="180" t="str">
        <f>CONCATENATE(B346, ", ", B347)</f>
        <v>45, 46</v>
      </c>
      <c r="D349" s="85" t="s">
        <v>60</v>
      </c>
      <c r="E349" s="126" t="s">
        <v>1158</v>
      </c>
      <c r="F349" s="181" t="s">
        <v>1159</v>
      </c>
      <c r="G349" s="126" t="s">
        <v>1165</v>
      </c>
      <c r="H349" s="181" t="s">
        <v>1336</v>
      </c>
      <c r="I349" s="165" t="s">
        <v>1337</v>
      </c>
      <c r="J349" s="181" t="s">
        <v>1338</v>
      </c>
      <c r="K349" s="111">
        <v>2017</v>
      </c>
      <c r="L349" s="181" t="s">
        <v>1339</v>
      </c>
    </row>
    <row r="350" spans="1:12" ht="12.6" customHeight="1">
      <c r="A350" s="180" t="s">
        <v>59</v>
      </c>
      <c r="B350" s="41">
        <v>49</v>
      </c>
      <c r="C350" s="92">
        <f>B348</f>
        <v>47</v>
      </c>
      <c r="D350" s="85" t="s">
        <v>1340</v>
      </c>
      <c r="E350" s="126" t="s">
        <v>1158</v>
      </c>
      <c r="F350" s="181" t="s">
        <v>1173</v>
      </c>
      <c r="G350" s="181" t="s">
        <v>1174</v>
      </c>
      <c r="H350" s="181" t="s">
        <v>1341</v>
      </c>
      <c r="I350" s="165" t="s">
        <v>1337</v>
      </c>
      <c r="J350" s="90" t="s">
        <v>1338</v>
      </c>
      <c r="K350" s="111">
        <v>1870</v>
      </c>
      <c r="L350" s="90" t="s">
        <v>1342</v>
      </c>
    </row>
    <row r="351" spans="1:12" ht="12.6" customHeight="1">
      <c r="A351" s="180" t="s">
        <v>59</v>
      </c>
      <c r="B351" s="41">
        <v>50</v>
      </c>
      <c r="C351" s="92">
        <f>B349</f>
        <v>48</v>
      </c>
      <c r="D351" s="85" t="s">
        <v>60</v>
      </c>
      <c r="E351" s="126" t="s">
        <v>1158</v>
      </c>
      <c r="F351" s="181" t="s">
        <v>1173</v>
      </c>
      <c r="G351" s="181" t="s">
        <v>1250</v>
      </c>
      <c r="H351" s="181" t="s">
        <v>1343</v>
      </c>
      <c r="I351" s="111">
        <v>1859</v>
      </c>
      <c r="J351" s="116" t="s">
        <v>1344</v>
      </c>
      <c r="K351" s="111">
        <v>2017</v>
      </c>
      <c r="L351" s="181" t="s">
        <v>1339</v>
      </c>
    </row>
    <row r="352" spans="1:12" ht="12.6" customHeight="1">
      <c r="A352" s="180" t="s">
        <v>59</v>
      </c>
      <c r="B352" s="41">
        <v>51</v>
      </c>
      <c r="C352" s="92">
        <f>B350</f>
        <v>49</v>
      </c>
      <c r="D352" s="85" t="s">
        <v>1345</v>
      </c>
      <c r="E352" s="126" t="s">
        <v>1158</v>
      </c>
      <c r="F352" s="181" t="s">
        <v>1173</v>
      </c>
      <c r="G352" s="181" t="s">
        <v>1174</v>
      </c>
      <c r="H352" s="181" t="s">
        <v>1346</v>
      </c>
      <c r="I352" s="165" t="s">
        <v>1347</v>
      </c>
      <c r="J352" s="129" t="s">
        <v>1348</v>
      </c>
      <c r="K352" s="165" t="s">
        <v>1349</v>
      </c>
      <c r="L352" s="90" t="s">
        <v>1350</v>
      </c>
    </row>
    <row r="353" spans="1:12" ht="12.6" customHeight="1">
      <c r="A353" s="180" t="s">
        <v>59</v>
      </c>
      <c r="B353" s="41">
        <v>52</v>
      </c>
      <c r="C353" s="92">
        <f>B351</f>
        <v>50</v>
      </c>
      <c r="D353" s="85" t="s">
        <v>1351</v>
      </c>
      <c r="E353" s="126" t="s">
        <v>1158</v>
      </c>
      <c r="F353" s="181" t="s">
        <v>1173</v>
      </c>
      <c r="G353" s="181" t="s">
        <v>1174</v>
      </c>
      <c r="H353" s="181" t="s">
        <v>1352</v>
      </c>
      <c r="I353" s="111">
        <v>1876</v>
      </c>
      <c r="J353" s="203" t="s">
        <v>1353</v>
      </c>
      <c r="K353" s="111">
        <v>2016</v>
      </c>
      <c r="L353" s="203" t="s">
        <v>1354</v>
      </c>
    </row>
    <row r="354" spans="1:12" ht="12.6" customHeight="1">
      <c r="A354" s="180" t="s">
        <v>59</v>
      </c>
      <c r="B354" s="41">
        <v>53</v>
      </c>
      <c r="C354" s="92">
        <f>B352</f>
        <v>51</v>
      </c>
      <c r="D354" s="93" t="s">
        <v>1355</v>
      </c>
      <c r="E354" s="126" t="s">
        <v>1158</v>
      </c>
      <c r="F354" s="181" t="s">
        <v>1214</v>
      </c>
      <c r="G354" s="316" t="s">
        <v>3779</v>
      </c>
      <c r="H354" s="181" t="s">
        <v>1356</v>
      </c>
      <c r="I354" s="91">
        <v>1881</v>
      </c>
      <c r="J354" s="203" t="s">
        <v>1357</v>
      </c>
      <c r="K354" s="111">
        <v>2014</v>
      </c>
      <c r="L354" s="203" t="s">
        <v>1358</v>
      </c>
    </row>
    <row r="355" spans="1:12" ht="12.75">
      <c r="A355" s="198" t="s">
        <v>171</v>
      </c>
      <c r="B355" s="41">
        <v>841</v>
      </c>
      <c r="C355" s="198"/>
      <c r="D355" s="246" t="s">
        <v>3747</v>
      </c>
      <c r="E355" s="201" t="s">
        <v>1153</v>
      </c>
      <c r="F355" s="201" t="s">
        <v>1153</v>
      </c>
      <c r="G355" s="201" t="s">
        <v>1154</v>
      </c>
      <c r="H355" s="246" t="s">
        <v>3748</v>
      </c>
      <c r="I355" s="246">
        <v>1200</v>
      </c>
      <c r="J355" s="246" t="s">
        <v>3749</v>
      </c>
      <c r="K355" s="151"/>
      <c r="L355" s="151"/>
    </row>
    <row r="356" spans="1:12" ht="12.75">
      <c r="A356" s="198" t="s">
        <v>171</v>
      </c>
      <c r="B356" s="41">
        <v>842</v>
      </c>
      <c r="C356" s="198">
        <f>B355</f>
        <v>841</v>
      </c>
      <c r="D356" s="246" t="s">
        <v>3750</v>
      </c>
      <c r="E356" s="201" t="s">
        <v>1152</v>
      </c>
      <c r="F356" s="201" t="s">
        <v>1173</v>
      </c>
      <c r="G356" s="246" t="s">
        <v>1174</v>
      </c>
      <c r="H356" s="246" t="s">
        <v>3751</v>
      </c>
      <c r="I356" s="246">
        <v>1750</v>
      </c>
      <c r="J356" s="246" t="s">
        <v>3752</v>
      </c>
      <c r="K356" s="151"/>
      <c r="L356" s="151"/>
    </row>
    <row r="357" spans="1:12" ht="13.15" customHeight="1">
      <c r="A357" s="198" t="s">
        <v>171</v>
      </c>
      <c r="B357" s="41">
        <v>843</v>
      </c>
      <c r="C357" s="198">
        <f>B356</f>
        <v>842</v>
      </c>
      <c r="D357" s="246" t="s">
        <v>3753</v>
      </c>
      <c r="E357" s="201" t="s">
        <v>1158</v>
      </c>
      <c r="F357" s="201" t="s">
        <v>1159</v>
      </c>
      <c r="G357" s="246" t="s">
        <v>1395</v>
      </c>
      <c r="H357" s="246" t="s">
        <v>3754</v>
      </c>
      <c r="I357" s="246" t="s">
        <v>2198</v>
      </c>
      <c r="J357" s="246" t="s">
        <v>3755</v>
      </c>
      <c r="K357" s="151"/>
      <c r="L357" s="151"/>
    </row>
    <row r="358" spans="1:12" ht="25.7" customHeight="1">
      <c r="A358" s="198" t="s">
        <v>171</v>
      </c>
      <c r="B358" s="41">
        <v>844</v>
      </c>
      <c r="C358" s="198">
        <f>B357</f>
        <v>843</v>
      </c>
      <c r="D358" s="120" t="s">
        <v>3756</v>
      </c>
      <c r="E358" s="201" t="s">
        <v>1152</v>
      </c>
      <c r="F358" s="201" t="s">
        <v>1169</v>
      </c>
      <c r="G358" s="246" t="s">
        <v>1297</v>
      </c>
      <c r="H358" s="246" t="s">
        <v>3757</v>
      </c>
      <c r="I358" s="198">
        <v>1787</v>
      </c>
      <c r="J358" s="246" t="s">
        <v>3758</v>
      </c>
      <c r="K358" s="151"/>
      <c r="L358" s="151"/>
    </row>
    <row r="359" spans="1:12" ht="12.75">
      <c r="A359" s="198" t="s">
        <v>171</v>
      </c>
      <c r="B359" s="41">
        <v>845</v>
      </c>
      <c r="C359" s="198">
        <f>B358</f>
        <v>844</v>
      </c>
      <c r="D359" s="120" t="s">
        <v>3756</v>
      </c>
      <c r="E359" s="201" t="s">
        <v>1152</v>
      </c>
      <c r="F359" s="201" t="s">
        <v>1169</v>
      </c>
      <c r="G359" s="201" t="s">
        <v>1297</v>
      </c>
      <c r="H359" s="246" t="s">
        <v>3759</v>
      </c>
      <c r="I359" s="198" t="s">
        <v>2213</v>
      </c>
      <c r="J359" s="246" t="s">
        <v>3760</v>
      </c>
      <c r="K359" s="151"/>
      <c r="L359" s="246"/>
    </row>
    <row r="360" spans="1:12" ht="12.75">
      <c r="A360" s="198" t="s">
        <v>171</v>
      </c>
      <c r="B360" s="41">
        <v>846</v>
      </c>
      <c r="C360" s="198">
        <f>B357</f>
        <v>843</v>
      </c>
      <c r="D360" s="120" t="s">
        <v>3761</v>
      </c>
      <c r="E360" s="201" t="s">
        <v>1158</v>
      </c>
      <c r="F360" s="201" t="s">
        <v>1173</v>
      </c>
      <c r="G360" s="201" t="s">
        <v>1878</v>
      </c>
      <c r="H360" s="246" t="s">
        <v>3762</v>
      </c>
      <c r="I360" s="198">
        <v>1829</v>
      </c>
      <c r="J360" s="246" t="s">
        <v>3763</v>
      </c>
      <c r="K360" s="151"/>
      <c r="L360" s="246"/>
    </row>
    <row r="361" spans="1:12" ht="12.75">
      <c r="A361" s="198" t="s">
        <v>171</v>
      </c>
      <c r="B361" s="41">
        <v>847</v>
      </c>
      <c r="C361" s="198">
        <f>B360</f>
        <v>846</v>
      </c>
      <c r="D361" s="246" t="s">
        <v>3764</v>
      </c>
      <c r="E361" s="201" t="s">
        <v>1158</v>
      </c>
      <c r="F361" s="201" t="s">
        <v>1159</v>
      </c>
      <c r="G361" s="246" t="s">
        <v>1165</v>
      </c>
      <c r="H361" s="246" t="s">
        <v>3765</v>
      </c>
      <c r="I361" s="246" t="s">
        <v>3766</v>
      </c>
      <c r="J361" s="246" t="s">
        <v>3767</v>
      </c>
      <c r="K361" s="151"/>
      <c r="L361" s="246"/>
    </row>
    <row r="362" spans="1:12" ht="12.75">
      <c r="A362" s="198" t="s">
        <v>171</v>
      </c>
      <c r="B362" s="41">
        <v>848</v>
      </c>
      <c r="C362" s="198">
        <f>B360</f>
        <v>846</v>
      </c>
      <c r="D362" s="246" t="s">
        <v>3764</v>
      </c>
      <c r="E362" s="201" t="s">
        <v>1152</v>
      </c>
      <c r="F362" s="201" t="s">
        <v>1169</v>
      </c>
      <c r="G362" s="246" t="s">
        <v>1297</v>
      </c>
      <c r="H362" s="246" t="s">
        <v>3768</v>
      </c>
      <c r="I362" s="246">
        <v>1849</v>
      </c>
      <c r="J362" s="246" t="s">
        <v>3769</v>
      </c>
      <c r="K362" s="151"/>
      <c r="L362" s="246"/>
    </row>
    <row r="363" spans="1:12" ht="12.75">
      <c r="A363" s="180" t="s">
        <v>262</v>
      </c>
      <c r="B363" s="41">
        <v>474</v>
      </c>
      <c r="C363" s="180"/>
      <c r="D363" s="13" t="s">
        <v>2742</v>
      </c>
      <c r="E363" s="201" t="s">
        <v>1153</v>
      </c>
      <c r="F363" s="201" t="s">
        <v>1153</v>
      </c>
      <c r="G363" s="201" t="s">
        <v>1154</v>
      </c>
      <c r="H363" s="201" t="s">
        <v>2743</v>
      </c>
      <c r="I363" s="201">
        <v>1627</v>
      </c>
      <c r="J363" s="201" t="s">
        <v>2744</v>
      </c>
      <c r="K363" s="201">
        <v>2019</v>
      </c>
      <c r="L363" s="191" t="s">
        <v>2745</v>
      </c>
    </row>
    <row r="364" spans="1:12" ht="16.5" customHeight="1">
      <c r="A364" s="180" t="s">
        <v>262</v>
      </c>
      <c r="B364" s="41">
        <v>475</v>
      </c>
      <c r="C364" s="180">
        <f>B363</f>
        <v>474</v>
      </c>
      <c r="D364" s="13" t="s">
        <v>2742</v>
      </c>
      <c r="E364" s="201" t="s">
        <v>1152</v>
      </c>
      <c r="F364" s="201" t="s">
        <v>1169</v>
      </c>
      <c r="G364" s="201" t="s">
        <v>1170</v>
      </c>
      <c r="H364" s="201" t="s">
        <v>2746</v>
      </c>
      <c r="I364" s="201">
        <v>1815</v>
      </c>
      <c r="J364" s="201" t="s">
        <v>2747</v>
      </c>
      <c r="K364" s="201">
        <v>1973</v>
      </c>
      <c r="L364" s="191" t="s">
        <v>2748</v>
      </c>
    </row>
    <row r="365" spans="1:12" ht="12.75">
      <c r="A365" s="180" t="s">
        <v>262</v>
      </c>
      <c r="B365" s="41">
        <v>476</v>
      </c>
      <c r="C365" s="180">
        <f>B363</f>
        <v>474</v>
      </c>
      <c r="D365" s="13" t="s">
        <v>2749</v>
      </c>
      <c r="E365" s="181" t="s">
        <v>1158</v>
      </c>
      <c r="F365" s="128" t="s">
        <v>1214</v>
      </c>
      <c r="G365" s="181" t="s">
        <v>1392</v>
      </c>
      <c r="H365" s="107" t="s">
        <v>2750</v>
      </c>
      <c r="I365" s="201">
        <v>1815</v>
      </c>
      <c r="J365" s="201" t="s">
        <v>2747</v>
      </c>
      <c r="K365" s="165">
        <v>2019</v>
      </c>
      <c r="L365" s="107" t="s">
        <v>2751</v>
      </c>
    </row>
    <row r="366" spans="1:12" ht="12.75">
      <c r="A366" s="180" t="s">
        <v>262</v>
      </c>
      <c r="B366" s="41">
        <v>477</v>
      </c>
      <c r="C366" s="180" t="str">
        <f>CONCATENATE(B364,", ",B365)</f>
        <v>475, 476</v>
      </c>
      <c r="D366" s="201" t="s">
        <v>2749</v>
      </c>
      <c r="E366" s="181" t="s">
        <v>1152</v>
      </c>
      <c r="F366" s="128" t="s">
        <v>1169</v>
      </c>
      <c r="G366" s="181" t="s">
        <v>1170</v>
      </c>
      <c r="H366" s="181" t="s">
        <v>2752</v>
      </c>
      <c r="I366" s="165">
        <v>1829</v>
      </c>
      <c r="J366" s="181" t="s">
        <v>2753</v>
      </c>
      <c r="K366" s="165">
        <v>2019</v>
      </c>
      <c r="L366" s="107" t="s">
        <v>2751</v>
      </c>
    </row>
    <row r="367" spans="1:12" ht="12.75">
      <c r="A367" s="180" t="s">
        <v>262</v>
      </c>
      <c r="B367" s="41">
        <v>478</v>
      </c>
      <c r="C367" s="182">
        <f>B366</f>
        <v>477</v>
      </c>
      <c r="D367" s="191" t="s">
        <v>2754</v>
      </c>
      <c r="E367" s="79" t="s">
        <v>1158</v>
      </c>
      <c r="F367" s="107" t="s">
        <v>1214</v>
      </c>
      <c r="G367" s="107" t="s">
        <v>1258</v>
      </c>
      <c r="H367" s="107" t="s">
        <v>2755</v>
      </c>
      <c r="I367" s="124">
        <v>1833</v>
      </c>
      <c r="J367" s="107" t="s">
        <v>2756</v>
      </c>
      <c r="K367" s="120" t="s">
        <v>2757</v>
      </c>
      <c r="L367" s="107" t="s">
        <v>2741</v>
      </c>
    </row>
    <row r="368" spans="1:12" ht="12.75">
      <c r="A368" s="180" t="s">
        <v>264</v>
      </c>
      <c r="B368" s="41">
        <v>482</v>
      </c>
      <c r="C368" s="182"/>
      <c r="D368" s="191" t="s">
        <v>2758</v>
      </c>
      <c r="E368" s="79" t="s">
        <v>1153</v>
      </c>
      <c r="F368" s="107" t="s">
        <v>1153</v>
      </c>
      <c r="G368" s="107" t="s">
        <v>1154</v>
      </c>
      <c r="H368" s="75" t="s">
        <v>2759</v>
      </c>
      <c r="I368" s="80">
        <v>2002</v>
      </c>
      <c r="J368" s="107" t="s">
        <v>2760</v>
      </c>
      <c r="K368" s="124">
        <v>2011</v>
      </c>
      <c r="L368" s="107" t="s">
        <v>2761</v>
      </c>
    </row>
    <row r="369" spans="1:12" ht="12.75">
      <c r="A369" s="180" t="s">
        <v>264</v>
      </c>
      <c r="B369" s="41">
        <v>483</v>
      </c>
      <c r="C369" s="11">
        <f>B368</f>
        <v>482</v>
      </c>
      <c r="D369" s="40" t="s">
        <v>2758</v>
      </c>
      <c r="E369" s="107" t="s">
        <v>1152</v>
      </c>
      <c r="F369" s="107" t="s">
        <v>1159</v>
      </c>
      <c r="G369" s="107" t="s">
        <v>1202</v>
      </c>
      <c r="H369" s="225" t="s">
        <v>2762</v>
      </c>
      <c r="I369" s="193" t="s">
        <v>2763</v>
      </c>
      <c r="J369" s="107" t="s">
        <v>2764</v>
      </c>
      <c r="K369" s="124">
        <v>2020</v>
      </c>
      <c r="L369" s="107" t="s">
        <v>2765</v>
      </c>
    </row>
    <row r="370" spans="1:12" ht="12.75">
      <c r="A370" s="180" t="s">
        <v>264</v>
      </c>
      <c r="B370" s="41">
        <v>484</v>
      </c>
      <c r="C370" s="11">
        <f>B369</f>
        <v>483</v>
      </c>
      <c r="D370" s="40" t="s">
        <v>2758</v>
      </c>
      <c r="E370" s="107" t="s">
        <v>1152</v>
      </c>
      <c r="F370" s="107" t="s">
        <v>1169</v>
      </c>
      <c r="G370" s="107" t="s">
        <v>1202</v>
      </c>
      <c r="H370" s="225" t="s">
        <v>2766</v>
      </c>
      <c r="I370" s="193" t="s">
        <v>2767</v>
      </c>
      <c r="J370" s="107" t="s">
        <v>2768</v>
      </c>
      <c r="K370" s="124">
        <v>2021</v>
      </c>
      <c r="L370" s="107" t="s">
        <v>2769</v>
      </c>
    </row>
    <row r="371" spans="1:12" ht="12.75">
      <c r="A371" s="180" t="s">
        <v>264</v>
      </c>
      <c r="B371" s="41">
        <v>485</v>
      </c>
      <c r="C371" s="11">
        <f>B370</f>
        <v>484</v>
      </c>
      <c r="D371" s="40" t="s">
        <v>2770</v>
      </c>
      <c r="E371" s="107" t="s">
        <v>1152</v>
      </c>
      <c r="F371" s="107" t="s">
        <v>1190</v>
      </c>
      <c r="G371" s="246" t="s">
        <v>2771</v>
      </c>
      <c r="H371" s="225" t="s">
        <v>2772</v>
      </c>
      <c r="I371" s="193">
        <v>1985</v>
      </c>
      <c r="J371" s="107" t="s">
        <v>2773</v>
      </c>
      <c r="K371" s="124">
        <v>2020</v>
      </c>
      <c r="L371" s="107" t="s">
        <v>2774</v>
      </c>
    </row>
    <row r="372" spans="1:12" ht="12.75">
      <c r="A372" s="180" t="s">
        <v>264</v>
      </c>
      <c r="B372" s="41">
        <v>486</v>
      </c>
      <c r="C372" s="11">
        <f>B371</f>
        <v>485</v>
      </c>
      <c r="D372" s="29" t="s">
        <v>2758</v>
      </c>
      <c r="E372" s="107" t="s">
        <v>1152</v>
      </c>
      <c r="F372" s="107" t="s">
        <v>1169</v>
      </c>
      <c r="G372" s="107" t="s">
        <v>1367</v>
      </c>
      <c r="H372" s="225" t="s">
        <v>2775</v>
      </c>
      <c r="I372" s="193">
        <v>1999</v>
      </c>
      <c r="J372" s="107" t="s">
        <v>2776</v>
      </c>
      <c r="K372" s="124">
        <v>2023</v>
      </c>
      <c r="L372" s="107" t="s">
        <v>2777</v>
      </c>
    </row>
    <row r="373" spans="1:12" ht="12.75">
      <c r="A373" s="180" t="s">
        <v>264</v>
      </c>
      <c r="B373" s="41">
        <v>487</v>
      </c>
      <c r="C373" s="11">
        <f>B372</f>
        <v>486</v>
      </c>
      <c r="D373" s="40" t="s">
        <v>2758</v>
      </c>
      <c r="E373" s="107" t="s">
        <v>1152</v>
      </c>
      <c r="F373" s="107" t="s">
        <v>1169</v>
      </c>
      <c r="G373" s="107" t="s">
        <v>1367</v>
      </c>
      <c r="H373" s="225" t="s">
        <v>2778</v>
      </c>
      <c r="I373" s="193">
        <v>2012</v>
      </c>
      <c r="J373" s="107" t="s">
        <v>2779</v>
      </c>
      <c r="K373" s="124">
        <v>2019</v>
      </c>
      <c r="L373" s="107" t="s">
        <v>2780</v>
      </c>
    </row>
    <row r="374" spans="1:12" ht="12.75">
      <c r="A374" s="198" t="s">
        <v>366</v>
      </c>
      <c r="B374" s="41">
        <v>804</v>
      </c>
      <c r="C374" s="198"/>
      <c r="D374" s="120" t="s">
        <v>3689</v>
      </c>
      <c r="E374" s="191" t="s">
        <v>1153</v>
      </c>
      <c r="F374" s="201" t="s">
        <v>1153</v>
      </c>
      <c r="G374" s="225" t="s">
        <v>1186</v>
      </c>
      <c r="H374" s="246" t="s">
        <v>3690</v>
      </c>
      <c r="I374" s="198">
        <v>1839</v>
      </c>
      <c r="J374" s="246" t="s">
        <v>3691</v>
      </c>
      <c r="K374" s="246">
        <v>2015</v>
      </c>
      <c r="L374" s="246" t="s">
        <v>3692</v>
      </c>
    </row>
    <row r="375" spans="1:12" ht="12.75">
      <c r="A375" s="198" t="s">
        <v>366</v>
      </c>
      <c r="B375" s="41">
        <v>805</v>
      </c>
      <c r="C375" s="198">
        <f>B374</f>
        <v>804</v>
      </c>
      <c r="D375" s="120" t="s">
        <v>1080</v>
      </c>
      <c r="E375" s="191" t="s">
        <v>1152</v>
      </c>
      <c r="F375" s="201" t="s">
        <v>1190</v>
      </c>
      <c r="G375" s="201" t="s">
        <v>1191</v>
      </c>
      <c r="H375" s="246" t="s">
        <v>3693</v>
      </c>
      <c r="I375" s="198" t="s">
        <v>3694</v>
      </c>
      <c r="J375" s="246" t="s">
        <v>3695</v>
      </c>
      <c r="K375" s="246">
        <v>2011</v>
      </c>
      <c r="L375" s="246" t="s">
        <v>3696</v>
      </c>
    </row>
    <row r="376" spans="1:12" ht="12.75">
      <c r="A376" s="198" t="s">
        <v>366</v>
      </c>
      <c r="B376" s="41">
        <v>806</v>
      </c>
      <c r="C376" s="198">
        <f>B374</f>
        <v>804</v>
      </c>
      <c r="D376" s="120" t="s">
        <v>1080</v>
      </c>
      <c r="E376" s="191" t="s">
        <v>1152</v>
      </c>
      <c r="F376" s="201" t="s">
        <v>1169</v>
      </c>
      <c r="G376" s="201" t="s">
        <v>1202</v>
      </c>
      <c r="H376" s="246" t="s">
        <v>3697</v>
      </c>
      <c r="I376" s="198">
        <v>1892</v>
      </c>
      <c r="J376" s="246" t="s">
        <v>3698</v>
      </c>
      <c r="K376" s="246">
        <v>2014</v>
      </c>
      <c r="L376" s="246" t="s">
        <v>3699</v>
      </c>
    </row>
    <row r="377" spans="1:12" ht="12.75">
      <c r="A377" s="198" t="s">
        <v>366</v>
      </c>
      <c r="B377" s="41">
        <v>807</v>
      </c>
      <c r="C377" s="198">
        <f>B376</f>
        <v>806</v>
      </c>
      <c r="D377" s="120" t="s">
        <v>3700</v>
      </c>
      <c r="E377" s="191" t="s">
        <v>1152</v>
      </c>
      <c r="F377" s="201" t="s">
        <v>1208</v>
      </c>
      <c r="G377" s="201" t="s">
        <v>1209</v>
      </c>
      <c r="H377" s="246" t="s">
        <v>3701</v>
      </c>
      <c r="I377" s="198">
        <v>1958</v>
      </c>
      <c r="J377" s="246" t="s">
        <v>3702</v>
      </c>
      <c r="K377" s="246">
        <v>2015</v>
      </c>
      <c r="L377" s="246" t="s">
        <v>3703</v>
      </c>
    </row>
    <row r="378" spans="1:12" ht="12.75">
      <c r="A378" s="198" t="s">
        <v>139</v>
      </c>
      <c r="B378" s="41">
        <v>344</v>
      </c>
      <c r="C378" s="130"/>
      <c r="D378" s="50" t="s">
        <v>2336</v>
      </c>
      <c r="E378" s="225" t="s">
        <v>1153</v>
      </c>
      <c r="F378" s="225" t="s">
        <v>1153</v>
      </c>
      <c r="G378" s="225" t="s">
        <v>1186</v>
      </c>
      <c r="H378" s="225" t="s">
        <v>2337</v>
      </c>
      <c r="I378" s="193">
        <v>1849</v>
      </c>
      <c r="J378" s="225" t="s">
        <v>2338</v>
      </c>
      <c r="K378" s="193">
        <v>2011</v>
      </c>
      <c r="L378" s="225" t="s">
        <v>2339</v>
      </c>
    </row>
    <row r="379" spans="1:12" ht="12.75">
      <c r="A379" s="198" t="s">
        <v>139</v>
      </c>
      <c r="B379" s="41">
        <v>345</v>
      </c>
      <c r="C379" s="198">
        <f>B378</f>
        <v>344</v>
      </c>
      <c r="D379" s="120" t="s">
        <v>2340</v>
      </c>
      <c r="E379" s="225" t="s">
        <v>1158</v>
      </c>
      <c r="F379" s="225" t="s">
        <v>1159</v>
      </c>
      <c r="G379" s="225" t="s">
        <v>1165</v>
      </c>
      <c r="H379" s="225" t="s">
        <v>2341</v>
      </c>
      <c r="I379" s="193">
        <v>1830</v>
      </c>
      <c r="J379" s="225" t="s">
        <v>2342</v>
      </c>
      <c r="K379" s="193">
        <v>2014</v>
      </c>
      <c r="L379" s="225" t="s">
        <v>2343</v>
      </c>
    </row>
    <row r="380" spans="1:12" ht="12.75">
      <c r="A380" s="198" t="s">
        <v>139</v>
      </c>
      <c r="B380" s="41">
        <v>346</v>
      </c>
      <c r="C380" s="198">
        <f>B379</f>
        <v>345</v>
      </c>
      <c r="D380" s="120" t="s">
        <v>2340</v>
      </c>
      <c r="E380" s="225" t="s">
        <v>1152</v>
      </c>
      <c r="F380" s="225" t="s">
        <v>1169</v>
      </c>
      <c r="G380" s="225" t="s">
        <v>1367</v>
      </c>
      <c r="H380" s="225" t="s">
        <v>2344</v>
      </c>
      <c r="I380" s="193">
        <v>1848</v>
      </c>
      <c r="J380" s="225" t="s">
        <v>2345</v>
      </c>
      <c r="K380" s="193">
        <v>2015</v>
      </c>
      <c r="L380" s="225" t="s">
        <v>2346</v>
      </c>
    </row>
    <row r="381" spans="1:12" ht="12.75">
      <c r="A381" s="198" t="s">
        <v>139</v>
      </c>
      <c r="B381" s="41">
        <v>347</v>
      </c>
      <c r="C381" s="198">
        <f>B380</f>
        <v>346</v>
      </c>
      <c r="D381" s="120" t="s">
        <v>2347</v>
      </c>
      <c r="E381" s="225" t="s">
        <v>1158</v>
      </c>
      <c r="F381" s="225" t="s">
        <v>1214</v>
      </c>
      <c r="G381" s="225" t="s">
        <v>1239</v>
      </c>
      <c r="H381" s="225" t="s">
        <v>2348</v>
      </c>
      <c r="I381" s="193">
        <v>1868</v>
      </c>
      <c r="J381" s="225" t="s">
        <v>2349</v>
      </c>
      <c r="K381" s="193">
        <v>2018</v>
      </c>
      <c r="L381" s="225" t="s">
        <v>2350</v>
      </c>
    </row>
    <row r="382" spans="1:12" ht="12.6" customHeight="1">
      <c r="A382" s="9" t="s">
        <v>19</v>
      </c>
      <c r="B382" s="41">
        <v>351</v>
      </c>
      <c r="C382" s="11"/>
      <c r="D382" s="144" t="s">
        <v>2362</v>
      </c>
      <c r="E382" s="107" t="s">
        <v>1153</v>
      </c>
      <c r="F382" s="207" t="s">
        <v>1153</v>
      </c>
      <c r="G382" s="225" t="s">
        <v>1186</v>
      </c>
      <c r="H382" s="71" t="s">
        <v>2363</v>
      </c>
      <c r="I382" s="207">
        <v>1869</v>
      </c>
      <c r="J382" s="62" t="s">
        <v>2364</v>
      </c>
      <c r="K382" s="102">
        <v>2008</v>
      </c>
      <c r="L382" s="107" t="s">
        <v>2365</v>
      </c>
    </row>
    <row r="383" spans="1:12" ht="12.6" customHeight="1">
      <c r="A383" s="9" t="s">
        <v>19</v>
      </c>
      <c r="B383" s="41">
        <v>352</v>
      </c>
      <c r="C383" s="160">
        <f>B382</f>
        <v>351</v>
      </c>
      <c r="D383" s="161" t="s">
        <v>2366</v>
      </c>
      <c r="E383" s="107" t="s">
        <v>1158</v>
      </c>
      <c r="F383" s="124" t="s">
        <v>1159</v>
      </c>
      <c r="G383" s="317" t="s">
        <v>4309</v>
      </c>
      <c r="H383" s="71" t="s">
        <v>2367</v>
      </c>
      <c r="I383" s="72">
        <v>1900</v>
      </c>
      <c r="J383" s="162" t="s">
        <v>2368</v>
      </c>
      <c r="K383" s="102">
        <v>2020</v>
      </c>
      <c r="L383" s="107" t="s">
        <v>2369</v>
      </c>
    </row>
    <row r="384" spans="1:12" ht="12.6" customHeight="1">
      <c r="A384" s="9" t="s">
        <v>19</v>
      </c>
      <c r="B384" s="41">
        <v>353</v>
      </c>
      <c r="C384" s="160">
        <f>B383</f>
        <v>352</v>
      </c>
      <c r="D384" s="120" t="s">
        <v>2370</v>
      </c>
      <c r="E384" s="107" t="s">
        <v>1158</v>
      </c>
      <c r="F384" s="124" t="s">
        <v>1214</v>
      </c>
      <c r="G384" s="225" t="s">
        <v>1215</v>
      </c>
      <c r="H384" s="225" t="s">
        <v>2371</v>
      </c>
      <c r="I384" s="124">
        <v>1907</v>
      </c>
      <c r="J384" s="107" t="s">
        <v>2372</v>
      </c>
      <c r="K384" s="193">
        <v>2018</v>
      </c>
      <c r="L384" s="225" t="s">
        <v>2373</v>
      </c>
    </row>
    <row r="385" spans="1:12" ht="12.6" customHeight="1">
      <c r="A385" s="9" t="s">
        <v>19</v>
      </c>
      <c r="B385" s="41">
        <v>354</v>
      </c>
      <c r="C385" s="160">
        <f>B383</f>
        <v>352</v>
      </c>
      <c r="D385" s="39" t="s">
        <v>2374</v>
      </c>
      <c r="E385" s="107" t="s">
        <v>1158</v>
      </c>
      <c r="F385" s="124" t="s">
        <v>1159</v>
      </c>
      <c r="G385" s="141" t="s">
        <v>1267</v>
      </c>
      <c r="H385" s="107" t="s">
        <v>2375</v>
      </c>
      <c r="I385" s="193">
        <v>1930</v>
      </c>
      <c r="J385" s="225" t="s">
        <v>2376</v>
      </c>
      <c r="K385" s="124">
        <v>2019</v>
      </c>
      <c r="L385" s="107" t="s">
        <v>2377</v>
      </c>
    </row>
    <row r="386" spans="1:12" ht="12.6" customHeight="1">
      <c r="A386" s="9" t="s">
        <v>19</v>
      </c>
      <c r="B386" s="41">
        <v>355</v>
      </c>
      <c r="C386" s="160">
        <f>B385</f>
        <v>354</v>
      </c>
      <c r="D386" s="144" t="s">
        <v>2378</v>
      </c>
      <c r="E386" s="107" t="s">
        <v>1158</v>
      </c>
      <c r="F386" s="124" t="s">
        <v>1173</v>
      </c>
      <c r="G386" s="70" t="s">
        <v>1250</v>
      </c>
      <c r="H386" s="107" t="s">
        <v>2379</v>
      </c>
      <c r="I386" s="124">
        <v>1927</v>
      </c>
      <c r="J386" s="107" t="s">
        <v>2380</v>
      </c>
      <c r="K386" s="124">
        <v>2019</v>
      </c>
      <c r="L386" s="107" t="s">
        <v>2381</v>
      </c>
    </row>
    <row r="387" spans="1:12" ht="12.6" customHeight="1">
      <c r="A387" s="9" t="s">
        <v>19</v>
      </c>
      <c r="B387" s="41">
        <v>356</v>
      </c>
      <c r="C387" s="160">
        <f>B386</f>
        <v>355</v>
      </c>
      <c r="D387" s="144" t="s">
        <v>2378</v>
      </c>
      <c r="E387" s="107" t="s">
        <v>1158</v>
      </c>
      <c r="F387" s="124" t="s">
        <v>1214</v>
      </c>
      <c r="G387" s="225" t="s">
        <v>1392</v>
      </c>
      <c r="H387" s="225" t="s">
        <v>2382</v>
      </c>
      <c r="I387" s="193" t="s">
        <v>2383</v>
      </c>
      <c r="J387" s="225" t="s">
        <v>2384</v>
      </c>
      <c r="K387" s="193">
        <v>2016</v>
      </c>
      <c r="L387" s="225" t="s">
        <v>2385</v>
      </c>
    </row>
    <row r="388" spans="1:12" ht="12.6" customHeight="1">
      <c r="A388" s="9" t="s">
        <v>19</v>
      </c>
      <c r="B388" s="41">
        <v>357</v>
      </c>
      <c r="C388" s="160">
        <f>B386</f>
        <v>355</v>
      </c>
      <c r="D388" s="144" t="s">
        <v>2378</v>
      </c>
      <c r="E388" s="107" t="s">
        <v>1158</v>
      </c>
      <c r="F388" s="124" t="s">
        <v>1214</v>
      </c>
      <c r="G388" s="225" t="s">
        <v>1247</v>
      </c>
      <c r="H388" s="225" t="s">
        <v>2386</v>
      </c>
      <c r="I388" s="193">
        <v>2001</v>
      </c>
      <c r="J388" s="225" t="s">
        <v>2387</v>
      </c>
      <c r="K388" s="193">
        <v>2001</v>
      </c>
      <c r="L388" s="225" t="s">
        <v>2387</v>
      </c>
    </row>
    <row r="389" spans="1:12" ht="12.6" customHeight="1">
      <c r="A389" s="9" t="s">
        <v>19</v>
      </c>
      <c r="B389" s="41">
        <v>358</v>
      </c>
      <c r="C389" s="160">
        <f>B386</f>
        <v>355</v>
      </c>
      <c r="D389" s="144" t="s">
        <v>2378</v>
      </c>
      <c r="E389" s="107" t="s">
        <v>1158</v>
      </c>
      <c r="F389" s="124" t="s">
        <v>1214</v>
      </c>
      <c r="G389" s="225" t="s">
        <v>1258</v>
      </c>
      <c r="H389" s="225" t="s">
        <v>2388</v>
      </c>
      <c r="I389" s="193">
        <v>1963</v>
      </c>
      <c r="J389" s="225" t="s">
        <v>2389</v>
      </c>
      <c r="K389" s="193">
        <v>2017</v>
      </c>
      <c r="L389" s="225" t="s">
        <v>2390</v>
      </c>
    </row>
    <row r="390" spans="1:12" ht="12.6" customHeight="1">
      <c r="A390" s="9" t="s">
        <v>19</v>
      </c>
      <c r="B390" s="41">
        <v>359</v>
      </c>
      <c r="C390" s="160" t="str">
        <f>CONCATENATE(B384,", ",B385)</f>
        <v>353, 354</v>
      </c>
      <c r="D390" s="161" t="s">
        <v>2374</v>
      </c>
      <c r="E390" s="107" t="s">
        <v>1158</v>
      </c>
      <c r="F390" s="107" t="s">
        <v>1159</v>
      </c>
      <c r="G390" s="317" t="s">
        <v>4309</v>
      </c>
      <c r="H390" s="225" t="s">
        <v>2391</v>
      </c>
      <c r="I390" s="193">
        <v>1954</v>
      </c>
      <c r="J390" s="225" t="s">
        <v>2392</v>
      </c>
      <c r="K390" s="193">
        <v>2014</v>
      </c>
      <c r="L390" s="225" t="s">
        <v>2393</v>
      </c>
    </row>
    <row r="391" spans="1:12" ht="12.75">
      <c r="A391" s="198" t="s">
        <v>47</v>
      </c>
      <c r="B391" s="41">
        <v>277</v>
      </c>
      <c r="C391" s="198"/>
      <c r="D391" s="120" t="s">
        <v>2091</v>
      </c>
      <c r="E391" s="107" t="s">
        <v>1153</v>
      </c>
      <c r="F391" s="107" t="s">
        <v>1153</v>
      </c>
      <c r="G391" s="225" t="s">
        <v>1186</v>
      </c>
      <c r="H391" s="225" t="s">
        <v>2092</v>
      </c>
      <c r="I391" s="193">
        <v>1780</v>
      </c>
      <c r="J391" s="225" t="s">
        <v>2093</v>
      </c>
      <c r="K391" s="193">
        <v>2012</v>
      </c>
      <c r="L391" s="225" t="s">
        <v>2094</v>
      </c>
    </row>
    <row r="392" spans="1:12" ht="12.75">
      <c r="A392" s="198" t="s">
        <v>47</v>
      </c>
      <c r="B392" s="41">
        <v>278</v>
      </c>
      <c r="C392" s="198">
        <f>B391</f>
        <v>277</v>
      </c>
      <c r="D392" s="120" t="s">
        <v>2095</v>
      </c>
      <c r="E392" s="107" t="s">
        <v>1158</v>
      </c>
      <c r="F392" s="107" t="s">
        <v>1159</v>
      </c>
      <c r="G392" s="225" t="s">
        <v>1267</v>
      </c>
      <c r="H392" s="225" t="s">
        <v>2096</v>
      </c>
      <c r="I392" s="193">
        <v>1800</v>
      </c>
      <c r="J392" s="225" t="s">
        <v>2097</v>
      </c>
      <c r="K392" s="193">
        <v>2019</v>
      </c>
      <c r="L392" s="225" t="s">
        <v>2098</v>
      </c>
    </row>
    <row r="393" spans="1:12" ht="12.75">
      <c r="A393" s="198" t="s">
        <v>47</v>
      </c>
      <c r="B393" s="41">
        <v>279</v>
      </c>
      <c r="C393" s="198" t="str">
        <f>CONCATENATE(B391,", ",B392)</f>
        <v>277, 278</v>
      </c>
      <c r="D393" s="120" t="s">
        <v>2095</v>
      </c>
      <c r="E393" s="107" t="s">
        <v>1152</v>
      </c>
      <c r="F393" s="107" t="s">
        <v>1208</v>
      </c>
      <c r="G393" s="225" t="s">
        <v>1209</v>
      </c>
      <c r="H393" s="225" t="s">
        <v>2099</v>
      </c>
      <c r="I393" s="193">
        <v>1831</v>
      </c>
      <c r="J393" s="225" t="s">
        <v>2100</v>
      </c>
      <c r="K393" s="193">
        <v>2013</v>
      </c>
      <c r="L393" s="225" t="s">
        <v>2101</v>
      </c>
    </row>
    <row r="394" spans="1:12" ht="12.75">
      <c r="A394" s="198" t="s">
        <v>47</v>
      </c>
      <c r="B394" s="41">
        <v>280</v>
      </c>
      <c r="C394" s="198" t="str">
        <f>CONCATENATE(B391,", ",B392)</f>
        <v>277, 278</v>
      </c>
      <c r="D394" s="120" t="s">
        <v>2095</v>
      </c>
      <c r="E394" s="107" t="s">
        <v>1152</v>
      </c>
      <c r="F394" s="107" t="s">
        <v>1169</v>
      </c>
      <c r="G394" s="225" t="s">
        <v>1448</v>
      </c>
      <c r="H394" s="225" t="s">
        <v>2102</v>
      </c>
      <c r="I394" s="193" t="s">
        <v>2103</v>
      </c>
      <c r="J394" s="225" t="s">
        <v>2104</v>
      </c>
      <c r="K394" s="193">
        <v>2015</v>
      </c>
      <c r="L394" s="225" t="s">
        <v>2105</v>
      </c>
    </row>
    <row r="395" spans="1:12" ht="12.75">
      <c r="A395" s="198" t="s">
        <v>47</v>
      </c>
      <c r="B395" s="41">
        <v>281</v>
      </c>
      <c r="C395" s="198">
        <f>B392</f>
        <v>278</v>
      </c>
      <c r="D395" s="120" t="s">
        <v>2106</v>
      </c>
      <c r="E395" s="107" t="s">
        <v>1158</v>
      </c>
      <c r="F395" s="107" t="s">
        <v>1173</v>
      </c>
      <c r="G395" s="225" t="s">
        <v>1165</v>
      </c>
      <c r="H395" s="225" t="s">
        <v>2107</v>
      </c>
      <c r="I395" s="193">
        <v>1800</v>
      </c>
      <c r="J395" s="225" t="s">
        <v>2108</v>
      </c>
      <c r="K395" s="193">
        <v>2014</v>
      </c>
      <c r="L395" s="225" t="s">
        <v>2109</v>
      </c>
    </row>
    <row r="396" spans="1:12" ht="12.75">
      <c r="A396" s="49" t="s">
        <v>47</v>
      </c>
      <c r="B396" s="41">
        <v>282</v>
      </c>
      <c r="C396" s="49">
        <f>B395</f>
        <v>281</v>
      </c>
      <c r="D396" s="120" t="s">
        <v>2110</v>
      </c>
      <c r="E396" s="107" t="s">
        <v>1158</v>
      </c>
      <c r="F396" s="107" t="s">
        <v>1173</v>
      </c>
      <c r="G396" s="70" t="s">
        <v>1250</v>
      </c>
      <c r="H396" s="225" t="s">
        <v>2111</v>
      </c>
      <c r="I396" s="193">
        <v>1843</v>
      </c>
      <c r="J396" s="225" t="s">
        <v>2112</v>
      </c>
      <c r="K396" s="193">
        <v>2019</v>
      </c>
      <c r="L396" s="225" t="s">
        <v>2113</v>
      </c>
    </row>
    <row r="397" spans="1:12" ht="12.75">
      <c r="A397" s="113" t="s">
        <v>217</v>
      </c>
      <c r="B397" s="41">
        <v>209</v>
      </c>
      <c r="C397" s="180"/>
      <c r="D397" s="191" t="s">
        <v>1887</v>
      </c>
      <c r="E397" s="107" t="s">
        <v>1153</v>
      </c>
      <c r="F397" s="104" t="s">
        <v>1153</v>
      </c>
      <c r="G397" s="141" t="s">
        <v>1186</v>
      </c>
      <c r="H397" s="191" t="s">
        <v>1888</v>
      </c>
      <c r="I397" s="191" t="s">
        <v>1361</v>
      </c>
      <c r="J397" s="191" t="s">
        <v>1889</v>
      </c>
      <c r="K397" s="182">
        <v>2009</v>
      </c>
      <c r="L397" s="191" t="s">
        <v>1890</v>
      </c>
    </row>
    <row r="398" spans="1:12" ht="12.75">
      <c r="A398" s="113" t="s">
        <v>217</v>
      </c>
      <c r="B398" s="41">
        <v>210</v>
      </c>
      <c r="C398" s="182"/>
      <c r="D398" s="191" t="s">
        <v>1887</v>
      </c>
      <c r="E398" s="107" t="s">
        <v>1153</v>
      </c>
      <c r="F398" s="104" t="s">
        <v>1153</v>
      </c>
      <c r="G398" s="141" t="s">
        <v>1186</v>
      </c>
      <c r="H398" s="191" t="s">
        <v>1891</v>
      </c>
      <c r="I398" s="182">
        <v>1793</v>
      </c>
      <c r="J398" s="191" t="s">
        <v>1892</v>
      </c>
      <c r="K398" s="182">
        <v>2019</v>
      </c>
      <c r="L398" s="191" t="s">
        <v>1893</v>
      </c>
    </row>
    <row r="399" spans="1:12" ht="12.75">
      <c r="A399" s="113" t="s">
        <v>217</v>
      </c>
      <c r="B399" s="41">
        <v>211</v>
      </c>
      <c r="C399" s="11">
        <f>B398</f>
        <v>210</v>
      </c>
      <c r="D399" s="29" t="s">
        <v>1894</v>
      </c>
      <c r="E399" s="107" t="s">
        <v>1158</v>
      </c>
      <c r="F399" s="107" t="s">
        <v>1159</v>
      </c>
      <c r="G399" s="107" t="s">
        <v>1165</v>
      </c>
      <c r="H399" s="191" t="s">
        <v>1895</v>
      </c>
      <c r="I399" s="182" t="s">
        <v>1896</v>
      </c>
      <c r="J399" s="191" t="s">
        <v>1897</v>
      </c>
      <c r="K399" s="182">
        <v>2015</v>
      </c>
      <c r="L399" s="191" t="s">
        <v>1898</v>
      </c>
    </row>
    <row r="400" spans="1:12" ht="12.75">
      <c r="A400" s="113" t="s">
        <v>217</v>
      </c>
      <c r="B400" s="41">
        <v>212</v>
      </c>
      <c r="C400" s="11">
        <f>B399</f>
        <v>211</v>
      </c>
      <c r="D400" s="16" t="s">
        <v>1899</v>
      </c>
      <c r="E400" s="107" t="s">
        <v>1158</v>
      </c>
      <c r="F400" s="107" t="s">
        <v>1159</v>
      </c>
      <c r="G400" s="107" t="s">
        <v>1165</v>
      </c>
      <c r="H400" s="191" t="s">
        <v>1900</v>
      </c>
      <c r="I400" s="182">
        <v>1829</v>
      </c>
      <c r="J400" s="191" t="s">
        <v>1901</v>
      </c>
      <c r="K400" s="182">
        <v>2015</v>
      </c>
      <c r="L400" s="191" t="s">
        <v>1902</v>
      </c>
    </row>
    <row r="401" spans="1:12" ht="25.5">
      <c r="A401" s="113" t="s">
        <v>217</v>
      </c>
      <c r="B401" s="41">
        <v>213</v>
      </c>
      <c r="C401" s="182">
        <f>B400</f>
        <v>212</v>
      </c>
      <c r="D401" s="16" t="s">
        <v>1903</v>
      </c>
      <c r="E401" s="107" t="s">
        <v>1158</v>
      </c>
      <c r="F401" s="107" t="s">
        <v>1159</v>
      </c>
      <c r="G401" s="317" t="s">
        <v>4309</v>
      </c>
      <c r="H401" s="191" t="s">
        <v>1904</v>
      </c>
      <c r="I401" s="72">
        <v>1850</v>
      </c>
      <c r="J401" s="62" t="s">
        <v>1905</v>
      </c>
      <c r="K401" s="72">
        <v>2016</v>
      </c>
      <c r="L401" s="62" t="s">
        <v>1906</v>
      </c>
    </row>
    <row r="402" spans="1:12" ht="12.75">
      <c r="A402" s="198" t="s">
        <v>331</v>
      </c>
      <c r="B402" s="41">
        <v>633</v>
      </c>
      <c r="C402" s="11"/>
      <c r="D402" s="16" t="s">
        <v>3203</v>
      </c>
      <c r="E402" s="107" t="s">
        <v>1153</v>
      </c>
      <c r="F402" s="191" t="s">
        <v>1153</v>
      </c>
      <c r="G402" s="201" t="s">
        <v>1186</v>
      </c>
      <c r="H402" s="191" t="s">
        <v>3204</v>
      </c>
      <c r="I402" s="182">
        <v>1838</v>
      </c>
      <c r="J402" s="210" t="s">
        <v>3205</v>
      </c>
      <c r="K402" s="182">
        <v>2019</v>
      </c>
      <c r="L402" s="210" t="s">
        <v>3206</v>
      </c>
    </row>
    <row r="403" spans="1:12" ht="25.5">
      <c r="A403" s="198" t="s">
        <v>331</v>
      </c>
      <c r="B403" s="41">
        <v>634</v>
      </c>
      <c r="C403" s="11">
        <f>B402</f>
        <v>633</v>
      </c>
      <c r="D403" s="16" t="s">
        <v>3203</v>
      </c>
      <c r="E403" s="107" t="s">
        <v>1152</v>
      </c>
      <c r="F403" s="107" t="s">
        <v>1190</v>
      </c>
      <c r="G403" s="110" t="s">
        <v>1494</v>
      </c>
      <c r="H403" s="68" t="s">
        <v>3207</v>
      </c>
      <c r="I403" s="72">
        <v>1873</v>
      </c>
      <c r="J403" s="62" t="s">
        <v>3208</v>
      </c>
      <c r="K403" s="72">
        <v>2017</v>
      </c>
      <c r="L403" s="62" t="s">
        <v>3209</v>
      </c>
    </row>
    <row r="404" spans="1:12" ht="27.2" customHeight="1">
      <c r="A404" s="198" t="s">
        <v>331</v>
      </c>
      <c r="B404" s="41">
        <v>635</v>
      </c>
      <c r="C404" s="11">
        <f>B402</f>
        <v>633</v>
      </c>
      <c r="D404" s="29" t="s">
        <v>3203</v>
      </c>
      <c r="E404" s="107" t="s">
        <v>1152</v>
      </c>
      <c r="F404" s="107" t="s">
        <v>1190</v>
      </c>
      <c r="G404" s="181" t="s">
        <v>1494</v>
      </c>
      <c r="H404" s="68" t="s">
        <v>3210</v>
      </c>
      <c r="I404" s="72">
        <v>1932</v>
      </c>
      <c r="J404" s="62" t="s">
        <v>3211</v>
      </c>
      <c r="K404" s="72">
        <v>2013</v>
      </c>
      <c r="L404" s="62" t="s">
        <v>3212</v>
      </c>
    </row>
    <row r="405" spans="1:12" ht="12.75">
      <c r="A405" s="198" t="s">
        <v>331</v>
      </c>
      <c r="B405" s="41">
        <v>636</v>
      </c>
      <c r="C405" s="11" t="str">
        <f>CONCATENATE(B403,", ",B404,", ",B402)</f>
        <v>634, 635, 633</v>
      </c>
      <c r="D405" s="16" t="s">
        <v>3213</v>
      </c>
      <c r="E405" s="107" t="s">
        <v>1158</v>
      </c>
      <c r="F405" s="107" t="s">
        <v>1173</v>
      </c>
      <c r="G405" s="107" t="s">
        <v>1174</v>
      </c>
      <c r="H405" s="68" t="s">
        <v>3214</v>
      </c>
      <c r="I405" s="72" t="s">
        <v>1937</v>
      </c>
      <c r="J405" s="62" t="s">
        <v>3215</v>
      </c>
      <c r="K405" s="72">
        <v>2023</v>
      </c>
      <c r="L405" s="62" t="s">
        <v>3216</v>
      </c>
    </row>
    <row r="406" spans="1:12" ht="12.75">
      <c r="A406" s="9" t="s">
        <v>51</v>
      </c>
      <c r="B406" s="41">
        <v>9</v>
      </c>
      <c r="C406" s="11"/>
      <c r="D406" s="144" t="s">
        <v>52</v>
      </c>
      <c r="E406" s="107" t="s">
        <v>1153</v>
      </c>
      <c r="F406" s="107" t="s">
        <v>1153</v>
      </c>
      <c r="G406" s="107" t="s">
        <v>1186</v>
      </c>
      <c r="H406" s="68" t="s">
        <v>1187</v>
      </c>
      <c r="I406" s="72">
        <v>1767</v>
      </c>
      <c r="J406" s="62" t="s">
        <v>1188</v>
      </c>
      <c r="K406" s="72">
        <v>2019</v>
      </c>
      <c r="L406" s="62" t="s">
        <v>1189</v>
      </c>
    </row>
    <row r="407" spans="1:12" ht="12.75">
      <c r="A407" s="9" t="s">
        <v>51</v>
      </c>
      <c r="B407" s="41">
        <v>10</v>
      </c>
      <c r="C407" s="182">
        <f>B406</f>
        <v>9</v>
      </c>
      <c r="D407" s="144" t="s">
        <v>52</v>
      </c>
      <c r="E407" s="107" t="s">
        <v>1152</v>
      </c>
      <c r="F407" s="107" t="s">
        <v>1190</v>
      </c>
      <c r="G407" s="107" t="s">
        <v>1191</v>
      </c>
      <c r="H407" s="68" t="s">
        <v>1192</v>
      </c>
      <c r="I407" s="72">
        <v>1791</v>
      </c>
      <c r="J407" s="62" t="s">
        <v>1193</v>
      </c>
      <c r="K407" s="72">
        <v>2018</v>
      </c>
      <c r="L407" s="62" t="s">
        <v>1194</v>
      </c>
    </row>
    <row r="408" spans="1:12" ht="12.75">
      <c r="A408" s="9" t="s">
        <v>51</v>
      </c>
      <c r="B408" s="41">
        <v>11</v>
      </c>
      <c r="C408" s="182">
        <f>B406</f>
        <v>9</v>
      </c>
      <c r="D408" s="144" t="s">
        <v>52</v>
      </c>
      <c r="E408" s="107" t="s">
        <v>1152</v>
      </c>
      <c r="F408" s="107" t="s">
        <v>1190</v>
      </c>
      <c r="G408" s="79" t="s">
        <v>1191</v>
      </c>
      <c r="H408" s="68" t="s">
        <v>1195</v>
      </c>
      <c r="I408" s="72">
        <v>1920</v>
      </c>
      <c r="J408" s="62" t="s">
        <v>1196</v>
      </c>
      <c r="K408" s="72">
        <v>2018</v>
      </c>
      <c r="L408" s="62" t="s">
        <v>1194</v>
      </c>
    </row>
    <row r="409" spans="1:12" ht="12.6" customHeight="1">
      <c r="A409" s="9" t="s">
        <v>51</v>
      </c>
      <c r="B409" s="41">
        <v>12</v>
      </c>
      <c r="C409" s="9" t="str">
        <f>CONCATENATE(B407, ", ",B408)</f>
        <v>10, 11</v>
      </c>
      <c r="D409" s="144" t="s">
        <v>1197</v>
      </c>
      <c r="E409" s="107" t="s">
        <v>1158</v>
      </c>
      <c r="F409" s="107" t="s">
        <v>1173</v>
      </c>
      <c r="G409" s="203" t="s">
        <v>1174</v>
      </c>
      <c r="H409" s="68" t="s">
        <v>1198</v>
      </c>
      <c r="I409" s="72">
        <v>1915</v>
      </c>
      <c r="J409" s="62" t="s">
        <v>1199</v>
      </c>
      <c r="K409" s="72">
        <v>2015</v>
      </c>
      <c r="L409" s="62" t="s">
        <v>1200</v>
      </c>
    </row>
    <row r="410" spans="1:12" ht="12.75">
      <c r="A410" s="9" t="s">
        <v>51</v>
      </c>
      <c r="B410" s="41">
        <v>13</v>
      </c>
      <c r="C410" s="11">
        <f>B407</f>
        <v>10</v>
      </c>
      <c r="D410" s="144" t="s">
        <v>1201</v>
      </c>
      <c r="E410" s="107" t="s">
        <v>1152</v>
      </c>
      <c r="F410" s="107" t="s">
        <v>1169</v>
      </c>
      <c r="G410" s="134" t="s">
        <v>1202</v>
      </c>
      <c r="H410" s="68" t="s">
        <v>1203</v>
      </c>
      <c r="I410" s="72">
        <v>1921</v>
      </c>
      <c r="J410" s="62" t="s">
        <v>1204</v>
      </c>
      <c r="K410" s="72">
        <v>2018</v>
      </c>
      <c r="L410" s="62" t="s">
        <v>1205</v>
      </c>
    </row>
    <row r="411" spans="1:12" ht="12.75">
      <c r="A411" s="9" t="s">
        <v>51</v>
      </c>
      <c r="B411" s="41">
        <v>14</v>
      </c>
      <c r="C411" s="11">
        <f>B407</f>
        <v>10</v>
      </c>
      <c r="D411" s="144" t="s">
        <v>1201</v>
      </c>
      <c r="E411" s="107" t="s">
        <v>1158</v>
      </c>
      <c r="F411" s="107" t="s">
        <v>1159</v>
      </c>
      <c r="G411" s="134" t="s">
        <v>1165</v>
      </c>
      <c r="H411" s="68" t="s">
        <v>1206</v>
      </c>
      <c r="I411" s="72">
        <v>1921</v>
      </c>
      <c r="J411" s="62" t="s">
        <v>1204</v>
      </c>
      <c r="K411" s="72">
        <v>2018</v>
      </c>
      <c r="L411" s="62" t="s">
        <v>1205</v>
      </c>
    </row>
    <row r="412" spans="1:12" ht="12.75">
      <c r="A412" s="9" t="s">
        <v>51</v>
      </c>
      <c r="B412" s="41">
        <v>15</v>
      </c>
      <c r="C412" s="11">
        <f>B406</f>
        <v>9</v>
      </c>
      <c r="D412" s="144" t="s">
        <v>1207</v>
      </c>
      <c r="E412" s="107" t="s">
        <v>1152</v>
      </c>
      <c r="F412" s="107" t="s">
        <v>1208</v>
      </c>
      <c r="G412" s="107" t="s">
        <v>1209</v>
      </c>
      <c r="H412" s="68" t="s">
        <v>1210</v>
      </c>
      <c r="I412" s="72">
        <v>1923</v>
      </c>
      <c r="J412" s="62" t="s">
        <v>1211</v>
      </c>
      <c r="K412" s="72">
        <v>2013</v>
      </c>
      <c r="L412" s="62" t="s">
        <v>1212</v>
      </c>
    </row>
    <row r="413" spans="1:12" ht="12.75">
      <c r="A413" s="9" t="s">
        <v>51</v>
      </c>
      <c r="B413" s="41">
        <v>16</v>
      </c>
      <c r="C413" s="11" t="str">
        <f>CONCATENATE(B407,", ",B408)</f>
        <v>10, 11</v>
      </c>
      <c r="D413" s="144" t="s">
        <v>1213</v>
      </c>
      <c r="E413" s="79" t="s">
        <v>1158</v>
      </c>
      <c r="F413" s="79" t="s">
        <v>1214</v>
      </c>
      <c r="G413" s="79" t="s">
        <v>1215</v>
      </c>
      <c r="H413" s="68" t="s">
        <v>1216</v>
      </c>
      <c r="I413" s="72">
        <v>1985</v>
      </c>
      <c r="J413" s="62" t="s">
        <v>1217</v>
      </c>
      <c r="K413" s="72">
        <v>2003</v>
      </c>
      <c r="L413" s="62" t="s">
        <v>1218</v>
      </c>
    </row>
    <row r="414" spans="1:12" ht="12.75">
      <c r="A414" s="198" t="s">
        <v>145</v>
      </c>
      <c r="B414" s="41">
        <v>173</v>
      </c>
      <c r="C414" s="198"/>
      <c r="D414" s="120" t="s">
        <v>1770</v>
      </c>
      <c r="E414" s="107" t="s">
        <v>1153</v>
      </c>
      <c r="F414" s="225" t="s">
        <v>1153</v>
      </c>
      <c r="G414" s="115" t="s">
        <v>1154</v>
      </c>
      <c r="H414" s="225" t="s">
        <v>1771</v>
      </c>
      <c r="I414" s="193" t="s">
        <v>1772</v>
      </c>
      <c r="J414" s="225" t="s">
        <v>1773</v>
      </c>
      <c r="K414" s="193">
        <v>2020</v>
      </c>
      <c r="L414" s="225" t="s">
        <v>1774</v>
      </c>
    </row>
    <row r="415" spans="1:12" ht="12.75">
      <c r="A415" s="198" t="s">
        <v>145</v>
      </c>
      <c r="B415" s="41">
        <v>174</v>
      </c>
      <c r="C415" s="198"/>
      <c r="D415" s="120" t="s">
        <v>1775</v>
      </c>
      <c r="E415" s="107" t="s">
        <v>1153</v>
      </c>
      <c r="F415" s="225" t="s">
        <v>1153</v>
      </c>
      <c r="G415" s="115" t="s">
        <v>1154</v>
      </c>
      <c r="H415" s="225" t="s">
        <v>1776</v>
      </c>
      <c r="I415" s="188">
        <v>1839</v>
      </c>
      <c r="J415" s="225" t="s">
        <v>1777</v>
      </c>
      <c r="K415" s="193">
        <v>1917</v>
      </c>
      <c r="L415" s="225" t="s">
        <v>1778</v>
      </c>
    </row>
    <row r="416" spans="1:12" ht="12.75">
      <c r="A416" s="198" t="s">
        <v>145</v>
      </c>
      <c r="B416" s="41">
        <v>175</v>
      </c>
      <c r="C416" s="198">
        <f>B415</f>
        <v>174</v>
      </c>
      <c r="D416" s="120" t="s">
        <v>1775</v>
      </c>
      <c r="E416" s="107" t="s">
        <v>1158</v>
      </c>
      <c r="F416" s="225" t="s">
        <v>1214</v>
      </c>
      <c r="G416" s="115" t="s">
        <v>1154</v>
      </c>
      <c r="H416" s="225" t="s">
        <v>1779</v>
      </c>
      <c r="I416" s="193">
        <v>1859</v>
      </c>
      <c r="J416" s="225" t="s">
        <v>1780</v>
      </c>
      <c r="K416" s="193">
        <v>2014</v>
      </c>
      <c r="L416" s="225" t="s">
        <v>1781</v>
      </c>
    </row>
    <row r="417" spans="1:12" ht="13.15" customHeight="1">
      <c r="A417" s="198" t="s">
        <v>145</v>
      </c>
      <c r="B417" s="41">
        <v>176</v>
      </c>
      <c r="C417" s="49">
        <f>B414</f>
        <v>173</v>
      </c>
      <c r="D417" s="120" t="s">
        <v>1782</v>
      </c>
      <c r="E417" s="107" t="s">
        <v>1158</v>
      </c>
      <c r="F417" s="225" t="s">
        <v>1173</v>
      </c>
      <c r="G417" s="115" t="s">
        <v>1174</v>
      </c>
      <c r="H417" s="225" t="s">
        <v>1783</v>
      </c>
      <c r="I417" s="193">
        <v>1839</v>
      </c>
      <c r="J417" s="225" t="s">
        <v>1784</v>
      </c>
      <c r="K417" s="193">
        <v>2015</v>
      </c>
      <c r="L417" s="225" t="s">
        <v>1785</v>
      </c>
    </row>
    <row r="418" spans="1:12" ht="12.75">
      <c r="A418" s="198" t="s">
        <v>145</v>
      </c>
      <c r="B418" s="41">
        <v>177</v>
      </c>
      <c r="C418" s="198">
        <f>B416</f>
        <v>175</v>
      </c>
      <c r="D418" s="188" t="s">
        <v>1770</v>
      </c>
      <c r="E418" s="107" t="s">
        <v>1152</v>
      </c>
      <c r="F418" s="225" t="s">
        <v>1190</v>
      </c>
      <c r="G418" s="225" t="s">
        <v>1228</v>
      </c>
      <c r="H418" s="225" t="s">
        <v>1786</v>
      </c>
      <c r="I418" s="188">
        <v>1855</v>
      </c>
      <c r="J418" s="225" t="s">
        <v>1787</v>
      </c>
      <c r="K418" s="193">
        <v>2012</v>
      </c>
      <c r="L418" s="225" t="s">
        <v>1788</v>
      </c>
    </row>
    <row r="419" spans="1:12" ht="12.75">
      <c r="A419" s="198" t="s">
        <v>145</v>
      </c>
      <c r="B419" s="41">
        <v>178</v>
      </c>
      <c r="C419" s="136" t="str">
        <f>CONCATENATE(B416,", ",B418)</f>
        <v>175, 177</v>
      </c>
      <c r="D419" s="188" t="s">
        <v>1789</v>
      </c>
      <c r="E419" s="225" t="s">
        <v>1158</v>
      </c>
      <c r="F419" s="137" t="s">
        <v>1159</v>
      </c>
      <c r="G419" s="225" t="s">
        <v>1395</v>
      </c>
      <c r="H419" s="68" t="s">
        <v>1790</v>
      </c>
      <c r="I419" s="72">
        <v>1944</v>
      </c>
      <c r="J419" s="107" t="s">
        <v>1791</v>
      </c>
      <c r="K419" s="72">
        <v>2015</v>
      </c>
      <c r="L419" s="82" t="s">
        <v>1792</v>
      </c>
    </row>
    <row r="420" spans="1:12" ht="12.75">
      <c r="A420" s="9" t="s">
        <v>160</v>
      </c>
      <c r="B420" s="41">
        <v>193</v>
      </c>
      <c r="C420" s="136"/>
      <c r="D420" s="120" t="s">
        <v>1828</v>
      </c>
      <c r="E420" s="107" t="s">
        <v>1153</v>
      </c>
      <c r="F420" s="124" t="s">
        <v>1153</v>
      </c>
      <c r="G420" s="141" t="s">
        <v>1154</v>
      </c>
      <c r="H420" s="68" t="s">
        <v>1829</v>
      </c>
      <c r="I420" s="102">
        <v>1775</v>
      </c>
      <c r="J420" s="107" t="s">
        <v>1830</v>
      </c>
      <c r="K420" s="98">
        <v>1936</v>
      </c>
      <c r="L420" s="82" t="s">
        <v>1831</v>
      </c>
    </row>
    <row r="421" spans="1:12" ht="12.75">
      <c r="A421" s="9" t="s">
        <v>160</v>
      </c>
      <c r="B421" s="41">
        <v>194</v>
      </c>
      <c r="C421" s="136">
        <f>B420</f>
        <v>193</v>
      </c>
      <c r="D421" s="120" t="s">
        <v>1828</v>
      </c>
      <c r="E421" s="107" t="s">
        <v>1158</v>
      </c>
      <c r="F421" s="124" t="s">
        <v>1173</v>
      </c>
      <c r="G421" s="70" t="s">
        <v>1250</v>
      </c>
      <c r="H421" s="68" t="s">
        <v>1832</v>
      </c>
      <c r="I421" s="98">
        <v>1814</v>
      </c>
      <c r="J421" s="147" t="s">
        <v>1833</v>
      </c>
      <c r="K421" s="102">
        <v>2017</v>
      </c>
      <c r="L421" s="107" t="s">
        <v>1834</v>
      </c>
    </row>
    <row r="422" spans="1:12" ht="12.6" customHeight="1">
      <c r="A422" s="9" t="s">
        <v>160</v>
      </c>
      <c r="B422" s="41">
        <v>195</v>
      </c>
      <c r="C422" s="136">
        <f>B421</f>
        <v>194</v>
      </c>
      <c r="D422" s="120" t="s">
        <v>1828</v>
      </c>
      <c r="E422" s="107" t="s">
        <v>1152</v>
      </c>
      <c r="F422" s="124" t="s">
        <v>1190</v>
      </c>
      <c r="G422" s="141" t="s">
        <v>1228</v>
      </c>
      <c r="H422" s="181" t="s">
        <v>1835</v>
      </c>
      <c r="I422" s="102">
        <v>1843</v>
      </c>
      <c r="J422" s="62" t="s">
        <v>1836</v>
      </c>
      <c r="K422" s="102" t="s">
        <v>1837</v>
      </c>
      <c r="L422" s="62" t="s">
        <v>1838</v>
      </c>
    </row>
    <row r="423" spans="1:12" ht="12.6" customHeight="1">
      <c r="A423" s="9" t="s">
        <v>160</v>
      </c>
      <c r="B423" s="41">
        <v>196</v>
      </c>
      <c r="C423" s="136">
        <f>B422</f>
        <v>195</v>
      </c>
      <c r="D423" s="39" t="s">
        <v>1463</v>
      </c>
      <c r="E423" s="107" t="s">
        <v>1158</v>
      </c>
      <c r="F423" s="124" t="s">
        <v>1173</v>
      </c>
      <c r="G423" s="115" t="s">
        <v>1472</v>
      </c>
      <c r="H423" s="68" t="s">
        <v>1839</v>
      </c>
      <c r="I423" s="142">
        <v>1883</v>
      </c>
      <c r="J423" s="62" t="s">
        <v>1840</v>
      </c>
      <c r="K423" s="102">
        <v>2015</v>
      </c>
      <c r="L423" s="82" t="s">
        <v>1841</v>
      </c>
    </row>
    <row r="424" spans="1:12" ht="12.6" customHeight="1">
      <c r="A424" s="9" t="s">
        <v>160</v>
      </c>
      <c r="B424" s="41">
        <v>197</v>
      </c>
      <c r="C424" s="136">
        <f>B422</f>
        <v>195</v>
      </c>
      <c r="D424" s="120" t="s">
        <v>18</v>
      </c>
      <c r="E424" s="107" t="s">
        <v>1152</v>
      </c>
      <c r="F424" s="124" t="s">
        <v>1190</v>
      </c>
      <c r="G424" s="225" t="s">
        <v>1232</v>
      </c>
      <c r="H424" s="68" t="s">
        <v>1842</v>
      </c>
      <c r="I424" s="102">
        <v>1883</v>
      </c>
      <c r="J424" s="62" t="s">
        <v>1840</v>
      </c>
      <c r="K424" s="102">
        <v>2015</v>
      </c>
      <c r="L424" s="62" t="s">
        <v>1841</v>
      </c>
    </row>
    <row r="425" spans="1:12" ht="12.75">
      <c r="A425" s="198" t="s">
        <v>333</v>
      </c>
      <c r="B425" s="41">
        <v>637</v>
      </c>
      <c r="C425" s="11"/>
      <c r="D425" s="29" t="s">
        <v>3217</v>
      </c>
      <c r="E425" s="107" t="s">
        <v>1153</v>
      </c>
      <c r="F425" s="107" t="s">
        <v>1153</v>
      </c>
      <c r="G425" s="107" t="s">
        <v>1154</v>
      </c>
      <c r="H425" s="68" t="s">
        <v>3218</v>
      </c>
      <c r="I425" s="72" t="s">
        <v>3219</v>
      </c>
      <c r="J425" s="62" t="s">
        <v>3220</v>
      </c>
      <c r="K425" s="72">
        <v>2019</v>
      </c>
      <c r="L425" s="82" t="s">
        <v>3221</v>
      </c>
    </row>
    <row r="426" spans="1:12" ht="12.75">
      <c r="A426" s="198" t="s">
        <v>333</v>
      </c>
      <c r="B426" s="41">
        <v>638</v>
      </c>
      <c r="C426" s="11">
        <f>B425</f>
        <v>637</v>
      </c>
      <c r="D426" s="191" t="s">
        <v>3217</v>
      </c>
      <c r="E426" s="107" t="s">
        <v>1152</v>
      </c>
      <c r="F426" s="107" t="s">
        <v>1169</v>
      </c>
      <c r="G426" s="107" t="s">
        <v>1170</v>
      </c>
      <c r="H426" s="68" t="s">
        <v>3222</v>
      </c>
      <c r="I426" s="72">
        <v>1863</v>
      </c>
      <c r="J426" s="62" t="s">
        <v>3223</v>
      </c>
      <c r="K426" s="72">
        <v>2017</v>
      </c>
      <c r="L426" s="62" t="s">
        <v>3224</v>
      </c>
    </row>
    <row r="427" spans="1:12" ht="12.75">
      <c r="A427" s="198" t="s">
        <v>333</v>
      </c>
      <c r="B427" s="41">
        <v>639</v>
      </c>
      <c r="C427" s="11">
        <f>B426</f>
        <v>638</v>
      </c>
      <c r="D427" s="29" t="s">
        <v>3217</v>
      </c>
      <c r="E427" s="107" t="s">
        <v>1152</v>
      </c>
      <c r="F427" s="107" t="s">
        <v>1190</v>
      </c>
      <c r="G427" s="181" t="s">
        <v>1494</v>
      </c>
      <c r="H427" s="68" t="s">
        <v>3225</v>
      </c>
      <c r="I427" s="72">
        <v>1877</v>
      </c>
      <c r="J427" s="62" t="s">
        <v>3226</v>
      </c>
      <c r="K427" s="72">
        <v>2019</v>
      </c>
      <c r="L427" s="62" t="s">
        <v>3227</v>
      </c>
    </row>
    <row r="428" spans="1:12" ht="12.75">
      <c r="A428" s="9" t="s">
        <v>53</v>
      </c>
      <c r="B428" s="41">
        <v>26</v>
      </c>
      <c r="C428" s="11"/>
      <c r="D428" s="144" t="s">
        <v>1253</v>
      </c>
      <c r="E428" s="107" t="s">
        <v>1153</v>
      </c>
      <c r="F428" s="107" t="s">
        <v>1153</v>
      </c>
      <c r="G428" s="107" t="s">
        <v>1186</v>
      </c>
      <c r="H428" s="68" t="s">
        <v>1254</v>
      </c>
      <c r="I428" s="72">
        <v>1895</v>
      </c>
      <c r="J428" s="62" t="s">
        <v>1255</v>
      </c>
      <c r="K428" s="72">
        <v>2019</v>
      </c>
      <c r="L428" s="62" t="s">
        <v>1256</v>
      </c>
    </row>
    <row r="429" spans="1:12" ht="13.15" customHeight="1">
      <c r="A429" s="182" t="s">
        <v>53</v>
      </c>
      <c r="B429" s="41">
        <v>27</v>
      </c>
      <c r="C429" s="182">
        <f>B428</f>
        <v>26</v>
      </c>
      <c r="D429" s="144" t="s">
        <v>1257</v>
      </c>
      <c r="E429" s="107" t="s">
        <v>1158</v>
      </c>
      <c r="F429" s="107" t="s">
        <v>1214</v>
      </c>
      <c r="G429" s="115" t="s">
        <v>1258</v>
      </c>
      <c r="H429" s="107" t="s">
        <v>1259</v>
      </c>
      <c r="I429" s="124">
        <v>1935</v>
      </c>
      <c r="J429" s="107" t="s">
        <v>1260</v>
      </c>
      <c r="K429" s="124">
        <v>2014</v>
      </c>
      <c r="L429" s="259" t="s">
        <v>1261</v>
      </c>
    </row>
    <row r="430" spans="1:12" ht="12.6" customHeight="1">
      <c r="A430" s="182" t="s">
        <v>53</v>
      </c>
      <c r="B430" s="41">
        <v>28</v>
      </c>
      <c r="C430" s="182">
        <f>B429</f>
        <v>27</v>
      </c>
      <c r="D430" s="144" t="s">
        <v>1262</v>
      </c>
      <c r="E430" s="107" t="s">
        <v>1158</v>
      </c>
      <c r="F430" s="203" t="s">
        <v>1214</v>
      </c>
      <c r="G430" s="115" t="s">
        <v>1247</v>
      </c>
      <c r="H430" s="107" t="s">
        <v>1263</v>
      </c>
      <c r="I430" s="256">
        <v>1962</v>
      </c>
      <c r="J430" s="203" t="s">
        <v>1264</v>
      </c>
      <c r="K430" s="124">
        <v>2014</v>
      </c>
      <c r="L430" s="82" t="s">
        <v>1265</v>
      </c>
    </row>
    <row r="431" spans="1:12" ht="12.6" customHeight="1">
      <c r="A431" s="182" t="s">
        <v>53</v>
      </c>
      <c r="B431" s="41">
        <v>29</v>
      </c>
      <c r="C431" s="182">
        <f>B428</f>
        <v>26</v>
      </c>
      <c r="D431" s="144" t="s">
        <v>1266</v>
      </c>
      <c r="E431" s="107" t="s">
        <v>1158</v>
      </c>
      <c r="F431" s="79" t="s">
        <v>1159</v>
      </c>
      <c r="G431" s="107" t="s">
        <v>1267</v>
      </c>
      <c r="H431" s="107" t="s">
        <v>1268</v>
      </c>
      <c r="I431" s="124">
        <v>1979</v>
      </c>
      <c r="J431" s="107" t="s">
        <v>1269</v>
      </c>
      <c r="K431" s="111">
        <v>2003</v>
      </c>
      <c r="L431" s="107" t="s">
        <v>1270</v>
      </c>
    </row>
    <row r="432" spans="1:12" ht="12.6" customHeight="1">
      <c r="A432" s="182" t="s">
        <v>53</v>
      </c>
      <c r="B432" s="41">
        <v>30</v>
      </c>
      <c r="C432" s="182">
        <f>B428</f>
        <v>26</v>
      </c>
      <c r="D432" s="144" t="s">
        <v>1271</v>
      </c>
      <c r="E432" s="107" t="s">
        <v>1158</v>
      </c>
      <c r="F432" s="107" t="s">
        <v>1159</v>
      </c>
      <c r="G432" s="79" t="s">
        <v>1267</v>
      </c>
      <c r="H432" s="107" t="s">
        <v>1272</v>
      </c>
      <c r="I432" s="111">
        <v>1926</v>
      </c>
      <c r="J432" s="107" t="s">
        <v>1273</v>
      </c>
      <c r="K432" s="111">
        <v>1993</v>
      </c>
      <c r="L432" s="107" t="s">
        <v>1274</v>
      </c>
    </row>
    <row r="433" spans="1:12" ht="13.15" customHeight="1">
      <c r="A433" s="198" t="s">
        <v>13</v>
      </c>
      <c r="B433" s="41">
        <v>179</v>
      </c>
      <c r="C433" s="198"/>
      <c r="D433" s="120" t="s">
        <v>1793</v>
      </c>
      <c r="E433" s="225" t="s">
        <v>1153</v>
      </c>
      <c r="F433" s="137" t="s">
        <v>1153</v>
      </c>
      <c r="G433" s="225" t="s">
        <v>1186</v>
      </c>
      <c r="H433" s="107" t="s">
        <v>1794</v>
      </c>
      <c r="I433" s="124">
        <v>1839</v>
      </c>
      <c r="J433" s="107" t="s">
        <v>1795</v>
      </c>
      <c r="K433" s="124">
        <v>2016</v>
      </c>
      <c r="L433" s="82" t="s">
        <v>1796</v>
      </c>
    </row>
    <row r="434" spans="1:12" ht="14.25">
      <c r="A434" s="198" t="s">
        <v>13</v>
      </c>
      <c r="B434" s="41">
        <v>180</v>
      </c>
      <c r="C434" s="182">
        <f>B433</f>
        <v>179</v>
      </c>
      <c r="D434" s="138" t="s">
        <v>1797</v>
      </c>
      <c r="E434" s="225" t="s">
        <v>1158</v>
      </c>
      <c r="F434" s="137" t="s">
        <v>1214</v>
      </c>
      <c r="G434" s="225" t="s">
        <v>1392</v>
      </c>
      <c r="H434" s="107" t="s">
        <v>1798</v>
      </c>
      <c r="I434" s="124">
        <v>1855</v>
      </c>
      <c r="J434" s="62" t="s">
        <v>1799</v>
      </c>
      <c r="K434" s="124">
        <v>2016</v>
      </c>
      <c r="L434" s="149" t="s">
        <v>1800</v>
      </c>
    </row>
    <row r="435" spans="1:12" ht="14.25">
      <c r="A435" s="198" t="s">
        <v>13</v>
      </c>
      <c r="B435" s="41">
        <v>181</v>
      </c>
      <c r="C435" s="190">
        <f>B434</f>
        <v>180</v>
      </c>
      <c r="D435" s="138" t="s">
        <v>1797</v>
      </c>
      <c r="E435" s="225" t="s">
        <v>1158</v>
      </c>
      <c r="F435" s="137" t="s">
        <v>1173</v>
      </c>
      <c r="G435" s="209" t="s">
        <v>1174</v>
      </c>
      <c r="H435" s="206" t="s">
        <v>1801</v>
      </c>
      <c r="I435" s="124">
        <v>1855</v>
      </c>
      <c r="J435" s="107" t="s">
        <v>1799</v>
      </c>
      <c r="K435" s="124">
        <v>2004</v>
      </c>
      <c r="L435" s="149" t="s">
        <v>1802</v>
      </c>
    </row>
    <row r="436" spans="1:12" ht="12.6" customHeight="1">
      <c r="A436" s="49" t="s">
        <v>13</v>
      </c>
      <c r="B436" s="41">
        <v>182</v>
      </c>
      <c r="C436" s="136" t="str">
        <f>CONCATENATE(B433,", ",B434)</f>
        <v>179, 180</v>
      </c>
      <c r="D436" s="138" t="s">
        <v>1803</v>
      </c>
      <c r="E436" s="225" t="s">
        <v>1158</v>
      </c>
      <c r="F436" s="137" t="s">
        <v>1173</v>
      </c>
      <c r="G436" s="225" t="s">
        <v>1174</v>
      </c>
      <c r="H436" s="206" t="s">
        <v>1804</v>
      </c>
      <c r="I436" s="193">
        <v>1876</v>
      </c>
      <c r="J436" s="225" t="s">
        <v>1805</v>
      </c>
      <c r="K436" s="193">
        <v>2013</v>
      </c>
      <c r="L436" s="225" t="s">
        <v>1806</v>
      </c>
    </row>
    <row r="437" spans="1:12" ht="12.75">
      <c r="A437" s="182" t="s">
        <v>219</v>
      </c>
      <c r="B437" s="41">
        <v>391</v>
      </c>
      <c r="C437" s="182"/>
      <c r="D437" s="191" t="s">
        <v>2496</v>
      </c>
      <c r="E437" s="191" t="s">
        <v>1153</v>
      </c>
      <c r="F437" s="201" t="s">
        <v>1153</v>
      </c>
      <c r="G437" s="191" t="s">
        <v>1154</v>
      </c>
      <c r="H437" s="191" t="s">
        <v>2497</v>
      </c>
      <c r="I437" s="182">
        <v>1814</v>
      </c>
      <c r="J437" s="191" t="s">
        <v>2498</v>
      </c>
      <c r="K437" s="180" t="s">
        <v>2499</v>
      </c>
      <c r="L437" s="191" t="s">
        <v>2500</v>
      </c>
    </row>
    <row r="438" spans="1:12" ht="12.75">
      <c r="A438" s="182" t="s">
        <v>219</v>
      </c>
      <c r="B438" s="41">
        <v>392</v>
      </c>
      <c r="C438" s="182">
        <f>B370</f>
        <v>484</v>
      </c>
      <c r="D438" s="191" t="s">
        <v>2501</v>
      </c>
      <c r="E438" s="191" t="s">
        <v>1152</v>
      </c>
      <c r="F438" s="201" t="s">
        <v>1169</v>
      </c>
      <c r="G438" s="191" t="s">
        <v>1170</v>
      </c>
      <c r="H438" s="191" t="s">
        <v>2502</v>
      </c>
      <c r="I438" s="182" t="s">
        <v>2114</v>
      </c>
      <c r="J438" s="191" t="s">
        <v>2503</v>
      </c>
      <c r="K438" s="182">
        <v>2019</v>
      </c>
      <c r="L438" s="191" t="s">
        <v>2504</v>
      </c>
    </row>
    <row r="439" spans="1:12" ht="12.75">
      <c r="A439" s="182" t="s">
        <v>219</v>
      </c>
      <c r="B439" s="41">
        <v>393</v>
      </c>
      <c r="C439" s="182">
        <f>B438</f>
        <v>392</v>
      </c>
      <c r="D439" s="191" t="s">
        <v>2505</v>
      </c>
      <c r="E439" s="191" t="s">
        <v>1158</v>
      </c>
      <c r="F439" s="201" t="s">
        <v>1159</v>
      </c>
      <c r="G439" s="191" t="s">
        <v>1165</v>
      </c>
      <c r="H439" s="191" t="s">
        <v>2506</v>
      </c>
      <c r="I439" s="182" t="s">
        <v>2237</v>
      </c>
      <c r="J439" s="191" t="s">
        <v>2507</v>
      </c>
      <c r="K439" s="182">
        <v>2011</v>
      </c>
      <c r="L439" s="191" t="s">
        <v>2508</v>
      </c>
    </row>
    <row r="440" spans="1:12" ht="12.75">
      <c r="A440" s="9" t="s">
        <v>219</v>
      </c>
      <c r="B440" s="41">
        <v>394</v>
      </c>
      <c r="C440" s="11">
        <f>B439</f>
        <v>393</v>
      </c>
      <c r="D440" s="29" t="s">
        <v>2509</v>
      </c>
      <c r="E440" s="16" t="s">
        <v>1158</v>
      </c>
      <c r="F440" s="201" t="s">
        <v>1159</v>
      </c>
      <c r="G440" s="16" t="s">
        <v>1395</v>
      </c>
      <c r="H440" s="172" t="s">
        <v>2510</v>
      </c>
      <c r="I440" s="182">
        <v>1790</v>
      </c>
      <c r="J440" s="12" t="s">
        <v>2511</v>
      </c>
      <c r="K440" s="11">
        <v>2018</v>
      </c>
      <c r="L440" s="12" t="s">
        <v>2512</v>
      </c>
    </row>
    <row r="441" spans="1:12" ht="12.75">
      <c r="A441" s="9" t="s">
        <v>219</v>
      </c>
      <c r="B441" s="41">
        <v>395</v>
      </c>
      <c r="C441" s="11">
        <f>B438</f>
        <v>392</v>
      </c>
      <c r="D441" s="29" t="s">
        <v>2513</v>
      </c>
      <c r="E441" s="191" t="s">
        <v>1152</v>
      </c>
      <c r="F441" s="201" t="s">
        <v>1169</v>
      </c>
      <c r="G441" s="191" t="s">
        <v>1170</v>
      </c>
      <c r="H441" s="191" t="s">
        <v>2514</v>
      </c>
      <c r="I441" s="182">
        <v>1815</v>
      </c>
      <c r="J441" s="191" t="s">
        <v>2515</v>
      </c>
      <c r="K441" s="182">
        <v>2019</v>
      </c>
      <c r="L441" s="191" t="s">
        <v>2516</v>
      </c>
    </row>
    <row r="442" spans="1:12" ht="12.75">
      <c r="A442" s="198" t="s">
        <v>149</v>
      </c>
      <c r="B442" s="41">
        <v>186</v>
      </c>
      <c r="C442" s="198"/>
      <c r="D442" s="120" t="s">
        <v>1807</v>
      </c>
      <c r="E442" s="225" t="s">
        <v>1153</v>
      </c>
      <c r="F442" s="225" t="s">
        <v>1153</v>
      </c>
      <c r="G442" s="225" t="s">
        <v>1186</v>
      </c>
      <c r="H442" s="225" t="s">
        <v>1808</v>
      </c>
      <c r="I442" s="193">
        <v>1833</v>
      </c>
      <c r="J442" s="225" t="s">
        <v>1809</v>
      </c>
      <c r="K442" s="193">
        <v>2016</v>
      </c>
      <c r="L442" s="225" t="s">
        <v>1810</v>
      </c>
    </row>
    <row r="443" spans="1:12" ht="12.75">
      <c r="A443" s="198" t="s">
        <v>149</v>
      </c>
      <c r="B443" s="41">
        <v>187</v>
      </c>
      <c r="C443" s="198"/>
      <c r="D443" s="120" t="s">
        <v>1811</v>
      </c>
      <c r="E443" s="225" t="s">
        <v>1158</v>
      </c>
      <c r="F443" s="104" t="s">
        <v>1159</v>
      </c>
      <c r="G443" s="225" t="s">
        <v>1395</v>
      </c>
      <c r="H443" s="225" t="s">
        <v>1812</v>
      </c>
      <c r="I443" s="193">
        <v>1833</v>
      </c>
      <c r="J443" s="225" t="s">
        <v>1813</v>
      </c>
      <c r="K443" s="193">
        <v>1949</v>
      </c>
      <c r="L443" s="225" t="s">
        <v>1814</v>
      </c>
    </row>
    <row r="444" spans="1:12" ht="12.75">
      <c r="A444" s="198" t="s">
        <v>149</v>
      </c>
      <c r="B444" s="41">
        <v>188</v>
      </c>
      <c r="C444" s="198">
        <f>B442</f>
        <v>186</v>
      </c>
      <c r="D444" s="120" t="s">
        <v>1815</v>
      </c>
      <c r="E444" s="225" t="s">
        <v>1158</v>
      </c>
      <c r="F444" s="225" t="s">
        <v>1159</v>
      </c>
      <c r="G444" s="141" t="s">
        <v>1267</v>
      </c>
      <c r="H444" s="225" t="s">
        <v>1816</v>
      </c>
      <c r="I444" s="193" t="s">
        <v>1817</v>
      </c>
      <c r="J444" s="225" t="s">
        <v>1818</v>
      </c>
      <c r="K444" s="193">
        <v>2009</v>
      </c>
      <c r="L444" s="225" t="s">
        <v>1819</v>
      </c>
    </row>
    <row r="445" spans="1:12" ht="12.75">
      <c r="A445" s="198" t="s">
        <v>149</v>
      </c>
      <c r="B445" s="41">
        <v>189</v>
      </c>
      <c r="C445" s="198">
        <f>B444</f>
        <v>188</v>
      </c>
      <c r="D445" s="120" t="s">
        <v>1820</v>
      </c>
      <c r="E445" s="225" t="s">
        <v>1158</v>
      </c>
      <c r="F445" s="225" t="s">
        <v>1159</v>
      </c>
      <c r="G445" s="141" t="s">
        <v>1267</v>
      </c>
      <c r="H445" s="225" t="s">
        <v>1821</v>
      </c>
      <c r="I445" s="193">
        <v>1897</v>
      </c>
      <c r="J445" s="225" t="s">
        <v>1822</v>
      </c>
      <c r="K445" s="193">
        <v>2012</v>
      </c>
      <c r="L445" s="225" t="s">
        <v>1823</v>
      </c>
    </row>
    <row r="446" spans="1:12" ht="12.75">
      <c r="A446" s="198" t="s">
        <v>149</v>
      </c>
      <c r="B446" s="41">
        <v>190</v>
      </c>
      <c r="C446" s="198">
        <f>B445</f>
        <v>189</v>
      </c>
      <c r="D446" s="120" t="s">
        <v>150</v>
      </c>
      <c r="E446" s="225" t="s">
        <v>1152</v>
      </c>
      <c r="F446" s="225" t="s">
        <v>1169</v>
      </c>
      <c r="G446" s="225" t="s">
        <v>1202</v>
      </c>
      <c r="H446" s="225" t="s">
        <v>1824</v>
      </c>
      <c r="I446" s="193">
        <v>1930</v>
      </c>
      <c r="J446" s="225" t="s">
        <v>1825</v>
      </c>
      <c r="K446" s="193">
        <v>2011</v>
      </c>
      <c r="L446" s="225" t="s">
        <v>1826</v>
      </c>
    </row>
    <row r="447" spans="1:12" ht="12.75">
      <c r="A447" s="198" t="s">
        <v>55</v>
      </c>
      <c r="B447" s="41">
        <v>31</v>
      </c>
      <c r="C447" s="198"/>
      <c r="D447" s="188" t="s">
        <v>1275</v>
      </c>
      <c r="E447" s="225" t="s">
        <v>1153</v>
      </c>
      <c r="F447" s="225" t="s">
        <v>1153</v>
      </c>
      <c r="G447" s="225" t="s">
        <v>1154</v>
      </c>
      <c r="H447" s="225" t="s">
        <v>1276</v>
      </c>
      <c r="I447" s="193">
        <v>1795</v>
      </c>
      <c r="J447" s="225" t="s">
        <v>1277</v>
      </c>
      <c r="K447" s="193">
        <v>2017</v>
      </c>
      <c r="L447" s="225" t="s">
        <v>1278</v>
      </c>
    </row>
    <row r="448" spans="1:12" ht="12.75">
      <c r="A448" s="198" t="s">
        <v>55</v>
      </c>
      <c r="B448" s="41">
        <v>32</v>
      </c>
      <c r="C448" s="198">
        <f>B447</f>
        <v>31</v>
      </c>
      <c r="D448" s="188" t="s">
        <v>1275</v>
      </c>
      <c r="E448" s="225" t="s">
        <v>1152</v>
      </c>
      <c r="F448" s="225" t="s">
        <v>1169</v>
      </c>
      <c r="G448" s="225" t="s">
        <v>1170</v>
      </c>
      <c r="H448" s="225" t="s">
        <v>1279</v>
      </c>
      <c r="I448" s="193">
        <v>1830</v>
      </c>
      <c r="J448" s="225" t="s">
        <v>1280</v>
      </c>
      <c r="K448" s="193">
        <v>2018</v>
      </c>
      <c r="L448" s="225" t="s">
        <v>1281</v>
      </c>
    </row>
    <row r="449" spans="1:12" ht="38.25">
      <c r="A449" s="198" t="s">
        <v>55</v>
      </c>
      <c r="B449" s="41">
        <v>33</v>
      </c>
      <c r="C449" s="198">
        <f>B448</f>
        <v>32</v>
      </c>
      <c r="D449" s="120" t="s">
        <v>1235</v>
      </c>
      <c r="E449" s="225" t="s">
        <v>1158</v>
      </c>
      <c r="F449" s="225" t="s">
        <v>1173</v>
      </c>
      <c r="G449" s="141" t="s">
        <v>1282</v>
      </c>
      <c r="H449" s="225" t="s">
        <v>1283</v>
      </c>
      <c r="I449" s="193">
        <v>1924</v>
      </c>
      <c r="J449" s="225" t="s">
        <v>1284</v>
      </c>
      <c r="K449" s="193">
        <v>2014</v>
      </c>
      <c r="L449" s="225" t="s">
        <v>1285</v>
      </c>
    </row>
    <row r="450" spans="1:12" ht="38.25">
      <c r="A450" s="198" t="s">
        <v>55</v>
      </c>
      <c r="B450" s="41">
        <v>34</v>
      </c>
      <c r="C450" s="198">
        <f>B449</f>
        <v>33</v>
      </c>
      <c r="D450" s="120" t="s">
        <v>1235</v>
      </c>
      <c r="E450" s="225" t="s">
        <v>1158</v>
      </c>
      <c r="F450" s="225" t="s">
        <v>1173</v>
      </c>
      <c r="G450" s="141" t="s">
        <v>1177</v>
      </c>
      <c r="H450" s="225" t="s">
        <v>1286</v>
      </c>
      <c r="I450" s="193" t="s">
        <v>1287</v>
      </c>
      <c r="J450" s="225" t="s">
        <v>1288</v>
      </c>
      <c r="K450" s="193">
        <v>2015</v>
      </c>
      <c r="L450" s="225" t="s">
        <v>1289</v>
      </c>
    </row>
    <row r="451" spans="1:12" ht="12.75">
      <c r="A451" s="182" t="s">
        <v>153</v>
      </c>
      <c r="B451" s="41">
        <v>786</v>
      </c>
      <c r="C451" s="198"/>
      <c r="D451" s="191" t="s">
        <v>3647</v>
      </c>
      <c r="E451" s="191" t="s">
        <v>1153</v>
      </c>
      <c r="F451" s="201" t="s">
        <v>1153</v>
      </c>
      <c r="G451" s="225" t="s">
        <v>1186</v>
      </c>
      <c r="H451" s="144" t="s">
        <v>3648</v>
      </c>
      <c r="I451" s="182">
        <v>1964</v>
      </c>
      <c r="J451" s="191" t="s">
        <v>3649</v>
      </c>
      <c r="K451" s="191">
        <v>2010</v>
      </c>
      <c r="L451" s="21" t="s">
        <v>3650</v>
      </c>
    </row>
    <row r="452" spans="1:12" ht="12.75">
      <c r="A452" s="182" t="s">
        <v>153</v>
      </c>
      <c r="B452" s="41">
        <v>787</v>
      </c>
      <c r="C452" s="198"/>
      <c r="D452" s="29" t="s">
        <v>3647</v>
      </c>
      <c r="E452" s="191" t="s">
        <v>1153</v>
      </c>
      <c r="F452" s="201" t="s">
        <v>1153</v>
      </c>
      <c r="G452" s="225" t="s">
        <v>1186</v>
      </c>
      <c r="H452" s="246" t="s">
        <v>3651</v>
      </c>
      <c r="I452" s="182">
        <v>1964</v>
      </c>
      <c r="J452" s="191" t="s">
        <v>3649</v>
      </c>
      <c r="K452" s="191">
        <v>2010</v>
      </c>
      <c r="L452" s="21" t="s">
        <v>3652</v>
      </c>
    </row>
    <row r="453" spans="1:12" ht="12.6" customHeight="1">
      <c r="A453" s="182" t="s">
        <v>153</v>
      </c>
      <c r="B453" s="41">
        <v>788</v>
      </c>
      <c r="C453" s="198"/>
      <c r="D453" s="29" t="s">
        <v>3647</v>
      </c>
      <c r="E453" s="191" t="s">
        <v>1153</v>
      </c>
      <c r="F453" s="201" t="s">
        <v>1153</v>
      </c>
      <c r="G453" s="225" t="s">
        <v>1186</v>
      </c>
      <c r="H453" s="246" t="s">
        <v>3653</v>
      </c>
      <c r="I453" s="182">
        <v>1964</v>
      </c>
      <c r="J453" s="191" t="s">
        <v>3649</v>
      </c>
      <c r="K453" s="246">
        <v>2010</v>
      </c>
      <c r="L453" s="196" t="s">
        <v>3654</v>
      </c>
    </row>
    <row r="454" spans="1:12" ht="12.75">
      <c r="A454" s="182" t="s">
        <v>153</v>
      </c>
      <c r="B454" s="41">
        <v>789</v>
      </c>
      <c r="C454" s="198" t="str">
        <f>CONCATENATE(B451, ", ", B452, ", ", B453)</f>
        <v>786, 787, 788</v>
      </c>
      <c r="D454" s="120" t="s">
        <v>3655</v>
      </c>
      <c r="E454" s="191" t="s">
        <v>1158</v>
      </c>
      <c r="F454" s="201" t="s">
        <v>1159</v>
      </c>
      <c r="G454" s="70" t="s">
        <v>1165</v>
      </c>
      <c r="H454" s="246" t="s">
        <v>3656</v>
      </c>
      <c r="I454" s="198">
        <v>1989</v>
      </c>
      <c r="J454" s="246" t="s">
        <v>3657</v>
      </c>
      <c r="K454" s="246">
        <v>2015</v>
      </c>
      <c r="L454" s="37" t="s">
        <v>3658</v>
      </c>
    </row>
    <row r="455" spans="1:12" ht="12.75">
      <c r="A455" s="182" t="s">
        <v>153</v>
      </c>
      <c r="B455" s="41">
        <v>790</v>
      </c>
      <c r="C455" s="198">
        <f>B454</f>
        <v>789</v>
      </c>
      <c r="D455" s="120" t="s">
        <v>3659</v>
      </c>
      <c r="E455" s="191" t="s">
        <v>1158</v>
      </c>
      <c r="F455" s="201" t="s">
        <v>1159</v>
      </c>
      <c r="G455" s="70" t="s">
        <v>1165</v>
      </c>
      <c r="H455" s="246" t="s">
        <v>3660</v>
      </c>
      <c r="I455" s="188" t="s">
        <v>3661</v>
      </c>
      <c r="J455" s="246" t="s">
        <v>3662</v>
      </c>
      <c r="K455" s="246">
        <v>2003</v>
      </c>
      <c r="L455" s="37" t="s">
        <v>3663</v>
      </c>
    </row>
    <row r="456" spans="1:12" ht="12.75">
      <c r="A456" s="182" t="s">
        <v>153</v>
      </c>
      <c r="B456" s="41">
        <v>791</v>
      </c>
      <c r="C456" s="198">
        <f>B454</f>
        <v>789</v>
      </c>
      <c r="D456" s="120" t="s">
        <v>3659</v>
      </c>
      <c r="E456" s="191" t="s">
        <v>1158</v>
      </c>
      <c r="F456" s="201" t="s">
        <v>1214</v>
      </c>
      <c r="G456" s="201" t="s">
        <v>3299</v>
      </c>
      <c r="H456" s="246" t="s">
        <v>3664</v>
      </c>
      <c r="I456" s="188" t="s">
        <v>3661</v>
      </c>
      <c r="J456" s="246" t="s">
        <v>3662</v>
      </c>
      <c r="K456" s="246">
        <v>2003</v>
      </c>
      <c r="L456" s="37" t="s">
        <v>3665</v>
      </c>
    </row>
    <row r="457" spans="1:12" ht="12.6" customHeight="1">
      <c r="A457" s="182" t="s">
        <v>153</v>
      </c>
      <c r="B457" s="41">
        <v>792</v>
      </c>
      <c r="C457" s="198" t="str">
        <f>CONCATENATE(B451, ", ", B452, ", ", B453)</f>
        <v>786, 787, 788</v>
      </c>
      <c r="D457" s="120" t="s">
        <v>1074</v>
      </c>
      <c r="E457" s="191" t="s">
        <v>1158</v>
      </c>
      <c r="F457" s="201" t="s">
        <v>1214</v>
      </c>
      <c r="G457" s="201" t="s">
        <v>1392</v>
      </c>
      <c r="H457" s="246" t="s">
        <v>3666</v>
      </c>
      <c r="I457" s="188" t="s">
        <v>3667</v>
      </c>
      <c r="J457" s="246" t="s">
        <v>3668</v>
      </c>
      <c r="K457" s="246">
        <v>2010</v>
      </c>
      <c r="L457" s="196" t="s">
        <v>3669</v>
      </c>
    </row>
    <row r="458" spans="1:12" ht="12.6" customHeight="1">
      <c r="A458" s="182" t="s">
        <v>153</v>
      </c>
      <c r="B458" s="9">
        <v>793</v>
      </c>
      <c r="C458" s="198" t="str">
        <f>CONCATENATE(B451, ", ", B452, ", ", B453)</f>
        <v>786, 787, 788</v>
      </c>
      <c r="D458" s="120" t="s">
        <v>3670</v>
      </c>
      <c r="E458" s="191" t="s">
        <v>1152</v>
      </c>
      <c r="F458" s="201" t="s">
        <v>1169</v>
      </c>
      <c r="G458" s="201" t="s">
        <v>1367</v>
      </c>
      <c r="H458" s="246" t="s">
        <v>3671</v>
      </c>
      <c r="I458" s="188" t="s">
        <v>3667</v>
      </c>
      <c r="J458" s="246" t="s">
        <v>3668</v>
      </c>
      <c r="K458" s="246">
        <v>2010</v>
      </c>
      <c r="L458" s="196" t="s">
        <v>3672</v>
      </c>
    </row>
    <row r="459" spans="1:12" ht="12.75">
      <c r="A459" s="198" t="s">
        <v>25</v>
      </c>
      <c r="B459" s="41">
        <v>781</v>
      </c>
      <c r="C459" s="198"/>
      <c r="D459" s="29" t="s">
        <v>3630</v>
      </c>
      <c r="E459" s="181" t="s">
        <v>1153</v>
      </c>
      <c r="F459" s="181" t="s">
        <v>1153</v>
      </c>
      <c r="G459" s="181" t="s">
        <v>1186</v>
      </c>
      <c r="H459" s="75" t="s">
        <v>3631</v>
      </c>
      <c r="I459" s="173" t="s">
        <v>3632</v>
      </c>
      <c r="J459" s="77" t="s">
        <v>3633</v>
      </c>
      <c r="K459" s="173">
        <v>2018</v>
      </c>
      <c r="L459" s="225" t="s">
        <v>3634</v>
      </c>
    </row>
    <row r="460" spans="1:12" ht="12.75">
      <c r="A460" s="198" t="s">
        <v>25</v>
      </c>
      <c r="B460" s="9">
        <v>782</v>
      </c>
      <c r="C460" s="198"/>
      <c r="D460" s="29" t="s">
        <v>3630</v>
      </c>
      <c r="E460" s="107" t="s">
        <v>1152</v>
      </c>
      <c r="F460" s="181" t="s">
        <v>1169</v>
      </c>
      <c r="G460" s="107" t="s">
        <v>1186</v>
      </c>
      <c r="H460" s="184" t="s">
        <v>3635</v>
      </c>
      <c r="I460" s="124">
        <v>1829</v>
      </c>
      <c r="J460" s="107" t="s">
        <v>3636</v>
      </c>
      <c r="K460" s="124">
        <v>2018</v>
      </c>
      <c r="L460" s="225" t="s">
        <v>3637</v>
      </c>
    </row>
    <row r="461" spans="1:12" ht="12.75">
      <c r="A461" s="198" t="s">
        <v>25</v>
      </c>
      <c r="B461" s="41">
        <v>783</v>
      </c>
      <c r="C461" s="198">
        <f>B460</f>
        <v>782</v>
      </c>
      <c r="D461" s="29" t="s">
        <v>3630</v>
      </c>
      <c r="E461" s="191" t="s">
        <v>1152</v>
      </c>
      <c r="F461" s="315" t="s">
        <v>1190</v>
      </c>
      <c r="G461" s="107" t="s">
        <v>3638</v>
      </c>
      <c r="H461" s="184" t="s">
        <v>3639</v>
      </c>
      <c r="I461" s="124">
        <v>1829</v>
      </c>
      <c r="J461" s="107" t="s">
        <v>3636</v>
      </c>
      <c r="K461" s="124">
        <v>2018</v>
      </c>
      <c r="L461" s="225" t="s">
        <v>3637</v>
      </c>
    </row>
    <row r="462" spans="1:12" ht="14.45" customHeight="1">
      <c r="A462" s="198" t="s">
        <v>25</v>
      </c>
      <c r="B462" s="41">
        <v>784</v>
      </c>
      <c r="C462" s="198">
        <f>B461</f>
        <v>783</v>
      </c>
      <c r="D462" s="191" t="s">
        <v>3640</v>
      </c>
      <c r="E462" s="107" t="s">
        <v>1158</v>
      </c>
      <c r="F462" s="181" t="s">
        <v>1214</v>
      </c>
      <c r="G462" s="107" t="s">
        <v>1258</v>
      </c>
      <c r="H462" s="184" t="s">
        <v>3641</v>
      </c>
      <c r="I462" s="124">
        <v>1869</v>
      </c>
      <c r="J462" s="107" t="s">
        <v>3642</v>
      </c>
      <c r="K462" s="124">
        <v>2013</v>
      </c>
      <c r="L462" s="225" t="s">
        <v>3643</v>
      </c>
    </row>
    <row r="463" spans="1:12" ht="14.45" customHeight="1">
      <c r="A463" s="198" t="s">
        <v>25</v>
      </c>
      <c r="B463" s="9">
        <v>785</v>
      </c>
      <c r="C463" s="198">
        <f>B462</f>
        <v>784</v>
      </c>
      <c r="D463" s="188" t="s">
        <v>26</v>
      </c>
      <c r="E463" s="107" t="s">
        <v>1152</v>
      </c>
      <c r="F463" s="181" t="s">
        <v>1169</v>
      </c>
      <c r="G463" s="107" t="s">
        <v>1202</v>
      </c>
      <c r="H463" s="184" t="s">
        <v>3644</v>
      </c>
      <c r="I463" s="124">
        <v>1896</v>
      </c>
      <c r="J463" s="107" t="s">
        <v>3645</v>
      </c>
      <c r="K463" s="124">
        <v>2011</v>
      </c>
      <c r="L463" s="225" t="s">
        <v>3646</v>
      </c>
    </row>
    <row r="464" spans="1:12" ht="14.45" customHeight="1">
      <c r="A464" s="198" t="s">
        <v>57</v>
      </c>
      <c r="B464" s="41">
        <v>338</v>
      </c>
      <c r="C464" s="198"/>
      <c r="D464" s="157" t="s">
        <v>2311</v>
      </c>
      <c r="E464" s="107" t="s">
        <v>1153</v>
      </c>
      <c r="F464" s="107" t="s">
        <v>1153</v>
      </c>
      <c r="G464" s="107" t="s">
        <v>2235</v>
      </c>
      <c r="H464" s="225" t="s">
        <v>2312</v>
      </c>
      <c r="I464" s="193" t="s">
        <v>2313</v>
      </c>
      <c r="J464" s="225" t="s">
        <v>2314</v>
      </c>
      <c r="K464" s="193">
        <v>2019</v>
      </c>
      <c r="L464" s="225" t="s">
        <v>2315</v>
      </c>
    </row>
    <row r="465" spans="1:12" ht="14.45" customHeight="1">
      <c r="A465" s="198" t="s">
        <v>57</v>
      </c>
      <c r="B465" s="41">
        <v>339</v>
      </c>
      <c r="C465" s="198">
        <f>B464</f>
        <v>338</v>
      </c>
      <c r="D465" s="157" t="s">
        <v>2311</v>
      </c>
      <c r="E465" s="107" t="s">
        <v>1152</v>
      </c>
      <c r="F465" s="107" t="s">
        <v>1190</v>
      </c>
      <c r="G465" s="158" t="s">
        <v>1494</v>
      </c>
      <c r="H465" s="225" t="s">
        <v>2316</v>
      </c>
      <c r="I465" s="193" t="s">
        <v>2317</v>
      </c>
      <c r="J465" s="158" t="s">
        <v>2318</v>
      </c>
      <c r="K465" s="193">
        <v>2019</v>
      </c>
      <c r="L465" s="225" t="s">
        <v>2319</v>
      </c>
    </row>
    <row r="466" spans="1:12" ht="14.45" customHeight="1">
      <c r="A466" s="198" t="s">
        <v>57</v>
      </c>
      <c r="B466" s="9">
        <v>340</v>
      </c>
      <c r="C466" s="198">
        <f>B464</f>
        <v>338</v>
      </c>
      <c r="D466" s="157" t="s">
        <v>2320</v>
      </c>
      <c r="E466" s="107" t="s">
        <v>1152</v>
      </c>
      <c r="F466" s="107" t="s">
        <v>1190</v>
      </c>
      <c r="G466" s="158" t="s">
        <v>1494</v>
      </c>
      <c r="H466" s="158" t="s">
        <v>2321</v>
      </c>
      <c r="I466" s="193">
        <v>1882</v>
      </c>
      <c r="J466" s="158" t="s">
        <v>2322</v>
      </c>
      <c r="K466" s="193">
        <v>2003</v>
      </c>
      <c r="L466" s="225" t="s">
        <v>2323</v>
      </c>
    </row>
    <row r="467" spans="1:12" ht="14.45" customHeight="1">
      <c r="A467" s="198" t="s">
        <v>57</v>
      </c>
      <c r="B467" s="41">
        <v>341</v>
      </c>
      <c r="C467" s="198" t="str">
        <f>CONCATENATE(B466,", ",B465)</f>
        <v>340, 339</v>
      </c>
      <c r="D467" s="157" t="s">
        <v>2311</v>
      </c>
      <c r="E467" s="107" t="s">
        <v>1158</v>
      </c>
      <c r="F467" s="107" t="s">
        <v>1159</v>
      </c>
      <c r="G467" s="225" t="s">
        <v>1267</v>
      </c>
      <c r="H467" s="225" t="s">
        <v>2324</v>
      </c>
      <c r="I467" s="193">
        <v>1768</v>
      </c>
      <c r="J467" s="158" t="s">
        <v>2325</v>
      </c>
      <c r="K467" s="193" t="s">
        <v>2326</v>
      </c>
      <c r="L467" s="225" t="s">
        <v>2327</v>
      </c>
    </row>
    <row r="468" spans="1:12" ht="12.6" customHeight="1">
      <c r="A468" s="198" t="s">
        <v>57</v>
      </c>
      <c r="B468" s="41">
        <v>342</v>
      </c>
      <c r="C468" s="198">
        <f>B467</f>
        <v>341</v>
      </c>
      <c r="D468" s="138" t="s">
        <v>2328</v>
      </c>
      <c r="E468" s="107" t="s">
        <v>1158</v>
      </c>
      <c r="F468" s="107" t="s">
        <v>1159</v>
      </c>
      <c r="G468" s="225" t="s">
        <v>1267</v>
      </c>
      <c r="H468" s="225" t="s">
        <v>2329</v>
      </c>
      <c r="I468" s="193">
        <v>1898</v>
      </c>
      <c r="J468" s="149" t="s">
        <v>2330</v>
      </c>
      <c r="K468" s="193">
        <v>1901</v>
      </c>
      <c r="L468" s="225" t="s">
        <v>2331</v>
      </c>
    </row>
    <row r="469" spans="1:12" ht="12.6" customHeight="1">
      <c r="A469" s="198" t="s">
        <v>57</v>
      </c>
      <c r="B469" s="9">
        <v>343</v>
      </c>
      <c r="C469" s="198">
        <f>B468</f>
        <v>342</v>
      </c>
      <c r="D469" s="138" t="s">
        <v>2332</v>
      </c>
      <c r="E469" s="225" t="s">
        <v>1158</v>
      </c>
      <c r="F469" s="225" t="s">
        <v>1214</v>
      </c>
      <c r="G469" s="225" t="s">
        <v>1239</v>
      </c>
      <c r="H469" s="225" t="s">
        <v>2333</v>
      </c>
      <c r="I469" s="193">
        <v>1911</v>
      </c>
      <c r="J469" s="159" t="s">
        <v>2334</v>
      </c>
      <c r="K469" s="193">
        <v>1969</v>
      </c>
      <c r="L469" s="225" t="s">
        <v>2335</v>
      </c>
    </row>
    <row r="470" spans="1:12" ht="12.75">
      <c r="A470" s="198" t="s">
        <v>221</v>
      </c>
      <c r="B470" s="41">
        <v>778</v>
      </c>
      <c r="C470" s="198"/>
      <c r="D470" s="120" t="s">
        <v>3618</v>
      </c>
      <c r="E470" s="107" t="s">
        <v>1153</v>
      </c>
      <c r="F470" s="181" t="s">
        <v>1153</v>
      </c>
      <c r="G470" s="107" t="s">
        <v>1154</v>
      </c>
      <c r="H470" s="225" t="s">
        <v>3619</v>
      </c>
      <c r="I470" s="193">
        <v>1750</v>
      </c>
      <c r="J470" s="225" t="s">
        <v>3620</v>
      </c>
      <c r="K470" s="193">
        <v>2004</v>
      </c>
      <c r="L470" s="225" t="s">
        <v>3621</v>
      </c>
    </row>
    <row r="471" spans="1:12" ht="12.75">
      <c r="A471" s="198" t="s">
        <v>221</v>
      </c>
      <c r="B471" s="41">
        <v>779</v>
      </c>
      <c r="C471" s="198">
        <f>B470</f>
        <v>778</v>
      </c>
      <c r="D471" s="120" t="s">
        <v>3622</v>
      </c>
      <c r="E471" s="107" t="s">
        <v>1152</v>
      </c>
      <c r="F471" s="181" t="s">
        <v>1208</v>
      </c>
      <c r="G471" s="107" t="s">
        <v>1209</v>
      </c>
      <c r="H471" s="225" t="s">
        <v>3623</v>
      </c>
      <c r="I471" s="120" t="s">
        <v>3624</v>
      </c>
      <c r="J471" s="225" t="s">
        <v>3625</v>
      </c>
      <c r="K471" s="72">
        <v>2019</v>
      </c>
      <c r="L471" s="225" t="s">
        <v>3626</v>
      </c>
    </row>
    <row r="472" spans="1:12" ht="12.75">
      <c r="A472" s="198" t="s">
        <v>221</v>
      </c>
      <c r="B472" s="9">
        <v>780</v>
      </c>
      <c r="C472" s="198">
        <f>B470</f>
        <v>778</v>
      </c>
      <c r="D472" s="120" t="s">
        <v>3618</v>
      </c>
      <c r="E472" s="107" t="s">
        <v>1152</v>
      </c>
      <c r="F472" s="181" t="s">
        <v>1169</v>
      </c>
      <c r="G472" s="107" t="s">
        <v>1170</v>
      </c>
      <c r="H472" s="225" t="s">
        <v>3627</v>
      </c>
      <c r="I472" s="72" t="s">
        <v>1616</v>
      </c>
      <c r="J472" s="62" t="s">
        <v>3628</v>
      </c>
      <c r="K472" s="72">
        <v>2019</v>
      </c>
      <c r="L472" s="225" t="s">
        <v>3629</v>
      </c>
    </row>
    <row r="473" spans="1:12" ht="12.75">
      <c r="A473" s="9" t="s">
        <v>223</v>
      </c>
      <c r="B473" s="41">
        <v>758</v>
      </c>
      <c r="C473" s="11"/>
      <c r="D473" s="29" t="s">
        <v>1058</v>
      </c>
      <c r="E473" s="107" t="s">
        <v>1153</v>
      </c>
      <c r="F473" s="107" t="s">
        <v>1153</v>
      </c>
      <c r="G473" s="225" t="s">
        <v>1154</v>
      </c>
      <c r="H473" s="184" t="s">
        <v>2781</v>
      </c>
      <c r="I473" s="72">
        <v>1791</v>
      </c>
      <c r="J473" s="62" t="s">
        <v>3546</v>
      </c>
      <c r="K473" s="72">
        <v>2015</v>
      </c>
      <c r="L473" s="62" t="s">
        <v>3547</v>
      </c>
    </row>
    <row r="474" spans="1:12" ht="12.75">
      <c r="A474" s="9" t="s">
        <v>223</v>
      </c>
      <c r="B474" s="41">
        <v>759</v>
      </c>
      <c r="C474" s="11">
        <f>B473</f>
        <v>758</v>
      </c>
      <c r="D474" s="29" t="s">
        <v>1058</v>
      </c>
      <c r="E474" s="107" t="s">
        <v>1152</v>
      </c>
      <c r="F474" s="107" t="s">
        <v>1169</v>
      </c>
      <c r="G474" s="225" t="s">
        <v>1367</v>
      </c>
      <c r="H474" s="184" t="s">
        <v>3548</v>
      </c>
      <c r="I474" s="72">
        <v>1788</v>
      </c>
      <c r="J474" s="62" t="s">
        <v>3549</v>
      </c>
      <c r="K474" s="72">
        <v>2019</v>
      </c>
      <c r="L474" s="62" t="s">
        <v>3550</v>
      </c>
    </row>
    <row r="475" spans="1:12" ht="12.75">
      <c r="A475" s="9" t="s">
        <v>223</v>
      </c>
      <c r="B475" s="9">
        <v>760</v>
      </c>
      <c r="C475" s="11">
        <f>B474</f>
        <v>759</v>
      </c>
      <c r="D475" s="29" t="s">
        <v>1058</v>
      </c>
      <c r="E475" s="107" t="s">
        <v>1152</v>
      </c>
      <c r="F475" s="107" t="s">
        <v>1169</v>
      </c>
      <c r="G475" s="225" t="s">
        <v>1170</v>
      </c>
      <c r="H475" s="68" t="s">
        <v>3551</v>
      </c>
      <c r="I475" s="72">
        <v>1841</v>
      </c>
      <c r="J475" s="62" t="s">
        <v>3552</v>
      </c>
      <c r="K475" s="72">
        <v>2000</v>
      </c>
      <c r="L475" s="62" t="s">
        <v>3553</v>
      </c>
    </row>
    <row r="476" spans="1:12" ht="12.75">
      <c r="A476" s="9" t="s">
        <v>227</v>
      </c>
      <c r="B476" s="41">
        <v>738</v>
      </c>
      <c r="C476" s="182"/>
      <c r="D476" s="29" t="s">
        <v>3483</v>
      </c>
      <c r="E476" s="107" t="s">
        <v>1153</v>
      </c>
      <c r="F476" s="107" t="s">
        <v>1153</v>
      </c>
      <c r="G476" s="181" t="s">
        <v>1186</v>
      </c>
      <c r="H476" s="71" t="s">
        <v>3484</v>
      </c>
      <c r="I476" s="124">
        <v>1844</v>
      </c>
      <c r="J476" s="62" t="s">
        <v>3485</v>
      </c>
      <c r="K476" s="193">
        <v>2012</v>
      </c>
      <c r="L476" s="225" t="s">
        <v>3486</v>
      </c>
    </row>
    <row r="477" spans="1:12" ht="12.75">
      <c r="A477" s="182" t="s">
        <v>227</v>
      </c>
      <c r="B477" s="41">
        <v>739</v>
      </c>
      <c r="C477" s="182">
        <f>B476</f>
        <v>738</v>
      </c>
      <c r="D477" s="191" t="s">
        <v>3487</v>
      </c>
      <c r="E477" s="191" t="s">
        <v>1158</v>
      </c>
      <c r="F477" s="107" t="s">
        <v>1173</v>
      </c>
      <c r="G477" s="318" t="s">
        <v>4310</v>
      </c>
      <c r="H477" s="191" t="s">
        <v>3488</v>
      </c>
      <c r="I477" s="182">
        <v>1844</v>
      </c>
      <c r="J477" s="191" t="s">
        <v>3489</v>
      </c>
      <c r="K477" s="246">
        <v>2001</v>
      </c>
      <c r="L477" s="246" t="s">
        <v>3490</v>
      </c>
    </row>
    <row r="478" spans="1:12" ht="12.75">
      <c r="A478" s="182" t="s">
        <v>227</v>
      </c>
      <c r="B478" s="9">
        <v>740</v>
      </c>
      <c r="C478" s="182" t="e">
        <f>CONCATENATE(#REF!, ", ", B477)</f>
        <v>#REF!</v>
      </c>
      <c r="D478" s="191" t="s">
        <v>3491</v>
      </c>
      <c r="E478" s="191" t="s">
        <v>1158</v>
      </c>
      <c r="F478" s="107" t="s">
        <v>1173</v>
      </c>
      <c r="G478" s="246" t="s">
        <v>3492</v>
      </c>
      <c r="H478" s="191" t="s">
        <v>3493</v>
      </c>
      <c r="I478" s="182">
        <v>1863</v>
      </c>
      <c r="J478" s="191" t="s">
        <v>3494</v>
      </c>
      <c r="K478" s="188">
        <v>2016</v>
      </c>
      <c r="L478" s="246" t="s">
        <v>3495</v>
      </c>
    </row>
    <row r="479" spans="1:12" ht="12.75">
      <c r="A479" s="198" t="s">
        <v>27</v>
      </c>
      <c r="B479" s="41">
        <v>231</v>
      </c>
      <c r="C479" s="198"/>
      <c r="D479" s="199" t="s">
        <v>350</v>
      </c>
      <c r="E479" s="225" t="s">
        <v>1153</v>
      </c>
      <c r="F479" s="208" t="s">
        <v>1153</v>
      </c>
      <c r="G479" s="208" t="s">
        <v>1154</v>
      </c>
      <c r="H479" s="208" t="s">
        <v>1954</v>
      </c>
      <c r="I479" s="193">
        <v>1765</v>
      </c>
      <c r="J479" s="100" t="s">
        <v>1955</v>
      </c>
      <c r="K479" s="193">
        <v>1982</v>
      </c>
      <c r="L479" s="225" t="s">
        <v>1956</v>
      </c>
    </row>
    <row r="480" spans="1:12" ht="12.75">
      <c r="A480" s="198" t="s">
        <v>27</v>
      </c>
      <c r="B480" s="9">
        <v>232</v>
      </c>
      <c r="C480" s="198">
        <f>B479</f>
        <v>231</v>
      </c>
      <c r="D480" s="199" t="s">
        <v>1235</v>
      </c>
      <c r="E480" s="225" t="s">
        <v>1158</v>
      </c>
      <c r="F480" s="208" t="s">
        <v>1173</v>
      </c>
      <c r="G480" s="208" t="s">
        <v>1174</v>
      </c>
      <c r="H480" s="208" t="s">
        <v>1957</v>
      </c>
      <c r="I480" s="193">
        <v>1800</v>
      </c>
      <c r="J480" s="100" t="s">
        <v>1958</v>
      </c>
      <c r="K480" s="193" t="s">
        <v>1959</v>
      </c>
      <c r="L480" s="225" t="s">
        <v>1960</v>
      </c>
    </row>
    <row r="481" spans="1:12" ht="12.75">
      <c r="A481" s="198" t="s">
        <v>27</v>
      </c>
      <c r="B481" s="41">
        <v>233</v>
      </c>
      <c r="C481" s="198">
        <f>B480</f>
        <v>232</v>
      </c>
      <c r="D481" s="199" t="s">
        <v>1961</v>
      </c>
      <c r="E481" s="225" t="s">
        <v>1158</v>
      </c>
      <c r="F481" s="209" t="s">
        <v>1173</v>
      </c>
      <c r="G481" s="208" t="s">
        <v>1962</v>
      </c>
      <c r="H481" s="209" t="s">
        <v>1963</v>
      </c>
      <c r="I481" s="193" t="s">
        <v>1616</v>
      </c>
      <c r="J481" s="209" t="s">
        <v>1964</v>
      </c>
      <c r="K481" s="193">
        <v>2013</v>
      </c>
      <c r="L481" s="225" t="s">
        <v>1965</v>
      </c>
    </row>
    <row r="482" spans="1:12" ht="12.75">
      <c r="A482" s="198" t="s">
        <v>27</v>
      </c>
      <c r="B482" s="41">
        <v>234</v>
      </c>
      <c r="C482" s="198">
        <f>B480</f>
        <v>232</v>
      </c>
      <c r="D482" s="199" t="s">
        <v>1961</v>
      </c>
      <c r="E482" s="225" t="s">
        <v>1152</v>
      </c>
      <c r="F482" s="209" t="s">
        <v>1169</v>
      </c>
      <c r="G482" s="209" t="s">
        <v>1170</v>
      </c>
      <c r="H482" s="209" t="s">
        <v>1966</v>
      </c>
      <c r="I482" s="193" t="s">
        <v>1616</v>
      </c>
      <c r="J482" s="209" t="s">
        <v>1964</v>
      </c>
      <c r="K482" s="193">
        <v>2013</v>
      </c>
      <c r="L482" s="225" t="s">
        <v>1965</v>
      </c>
    </row>
    <row r="483" spans="1:12" ht="12.75">
      <c r="A483" s="198" t="s">
        <v>27</v>
      </c>
      <c r="B483" s="9">
        <v>235</v>
      </c>
      <c r="C483" s="198" t="str">
        <f>CONCATENATE(B481,", ",B482)</f>
        <v>233, 234</v>
      </c>
      <c r="D483" s="199" t="s">
        <v>1235</v>
      </c>
      <c r="E483" s="225" t="s">
        <v>1152</v>
      </c>
      <c r="F483" s="209" t="s">
        <v>1190</v>
      </c>
      <c r="G483" s="209" t="s">
        <v>1228</v>
      </c>
      <c r="H483" s="209" t="s">
        <v>1967</v>
      </c>
      <c r="I483" s="193">
        <v>1825</v>
      </c>
      <c r="J483" s="151" t="s">
        <v>1968</v>
      </c>
      <c r="K483" s="193">
        <v>2011</v>
      </c>
      <c r="L483" s="225" t="s">
        <v>1969</v>
      </c>
    </row>
    <row r="484" spans="1:12" ht="12.75">
      <c r="A484" s="198" t="s">
        <v>27</v>
      </c>
      <c r="B484" s="41">
        <v>236</v>
      </c>
      <c r="C484" s="198">
        <f>B483</f>
        <v>235</v>
      </c>
      <c r="D484" s="199" t="s">
        <v>1970</v>
      </c>
      <c r="E484" s="225" t="s">
        <v>1158</v>
      </c>
      <c r="F484" s="209" t="s">
        <v>1159</v>
      </c>
      <c r="G484" s="209" t="s">
        <v>1165</v>
      </c>
      <c r="H484" s="209" t="s">
        <v>1971</v>
      </c>
      <c r="I484" s="193">
        <v>1827</v>
      </c>
      <c r="J484" s="209" t="s">
        <v>1972</v>
      </c>
      <c r="K484" s="193">
        <v>1914</v>
      </c>
      <c r="L484" s="225" t="s">
        <v>1973</v>
      </c>
    </row>
    <row r="485" spans="1:12" ht="12.75">
      <c r="A485" s="198" t="s">
        <v>27</v>
      </c>
      <c r="B485" s="9">
        <v>237</v>
      </c>
      <c r="C485" s="198">
        <f>B484</f>
        <v>236</v>
      </c>
      <c r="D485" s="188" t="s">
        <v>1974</v>
      </c>
      <c r="E485" s="225" t="s">
        <v>1158</v>
      </c>
      <c r="F485" s="209" t="s">
        <v>1159</v>
      </c>
      <c r="G485" s="209" t="s">
        <v>1165</v>
      </c>
      <c r="H485" s="209" t="s">
        <v>1975</v>
      </c>
      <c r="I485" s="193" t="s">
        <v>1976</v>
      </c>
      <c r="J485" s="209" t="s">
        <v>1977</v>
      </c>
      <c r="K485" s="193">
        <v>1943</v>
      </c>
      <c r="L485" s="225" t="s">
        <v>1978</v>
      </c>
    </row>
    <row r="486" spans="1:12" ht="25.5">
      <c r="A486" s="198" t="s">
        <v>27</v>
      </c>
      <c r="B486" s="41">
        <v>238</v>
      </c>
      <c r="C486" s="198">
        <f>B485</f>
        <v>237</v>
      </c>
      <c r="D486" s="199" t="s">
        <v>1979</v>
      </c>
      <c r="E486" s="225" t="s">
        <v>1158</v>
      </c>
      <c r="F486" s="209" t="s">
        <v>1159</v>
      </c>
      <c r="G486" s="317" t="s">
        <v>4309</v>
      </c>
      <c r="H486" s="209" t="s">
        <v>1980</v>
      </c>
      <c r="I486" s="193">
        <v>1831</v>
      </c>
      <c r="J486" s="209" t="s">
        <v>1981</v>
      </c>
      <c r="K486" s="193">
        <v>2009</v>
      </c>
      <c r="L486" s="225" t="s">
        <v>1982</v>
      </c>
    </row>
    <row r="487" spans="1:12" ht="12.75">
      <c r="A487" s="198" t="s">
        <v>27</v>
      </c>
      <c r="B487" s="41">
        <v>239</v>
      </c>
      <c r="C487" s="198">
        <f>B486</f>
        <v>238</v>
      </c>
      <c r="D487" s="199" t="s">
        <v>1983</v>
      </c>
      <c r="E487" s="225" t="s">
        <v>1152</v>
      </c>
      <c r="F487" s="209" t="s">
        <v>1190</v>
      </c>
      <c r="G487" s="209" t="s">
        <v>1228</v>
      </c>
      <c r="H487" s="209" t="s">
        <v>1984</v>
      </c>
      <c r="I487" s="193" t="s">
        <v>1559</v>
      </c>
      <c r="J487" s="209" t="s">
        <v>1985</v>
      </c>
      <c r="K487" s="193">
        <v>2019</v>
      </c>
      <c r="L487" s="225" t="s">
        <v>1986</v>
      </c>
    </row>
    <row r="488" spans="1:12" ht="12.75">
      <c r="A488" s="198" t="s">
        <v>27</v>
      </c>
      <c r="B488" s="9">
        <v>240</v>
      </c>
      <c r="C488" s="198" t="str">
        <f>CONCATENATE(B481,", ",B482)</f>
        <v>233, 234</v>
      </c>
      <c r="D488" s="199" t="s">
        <v>1961</v>
      </c>
      <c r="E488" s="225" t="s">
        <v>1152</v>
      </c>
      <c r="F488" s="209" t="s">
        <v>1214</v>
      </c>
      <c r="G488" s="209" t="s">
        <v>1258</v>
      </c>
      <c r="H488" s="209" t="s">
        <v>1987</v>
      </c>
      <c r="I488" s="193">
        <v>1832</v>
      </c>
      <c r="J488" s="209" t="s">
        <v>1988</v>
      </c>
      <c r="K488" s="193">
        <v>2015</v>
      </c>
      <c r="L488" s="225" t="s">
        <v>1989</v>
      </c>
    </row>
    <row r="489" spans="1:12" ht="12.75">
      <c r="A489" s="198" t="s">
        <v>27</v>
      </c>
      <c r="B489" s="41">
        <v>241</v>
      </c>
      <c r="C489" s="198">
        <f>B485</f>
        <v>237</v>
      </c>
      <c r="D489" s="199" t="s">
        <v>1990</v>
      </c>
      <c r="E489" s="225" t="s">
        <v>1158</v>
      </c>
      <c r="F489" s="209" t="s">
        <v>1159</v>
      </c>
      <c r="G489" s="209" t="s">
        <v>1165</v>
      </c>
      <c r="H489" s="209" t="s">
        <v>1991</v>
      </c>
      <c r="I489" s="193">
        <v>1843</v>
      </c>
      <c r="J489" s="209" t="s">
        <v>1992</v>
      </c>
      <c r="K489" s="193">
        <v>2011</v>
      </c>
      <c r="L489" s="225" t="s">
        <v>1993</v>
      </c>
    </row>
    <row r="490" spans="1:12" ht="12.75">
      <c r="A490" s="198" t="s">
        <v>27</v>
      </c>
      <c r="B490" s="9">
        <v>242</v>
      </c>
      <c r="C490" s="198">
        <f>B489</f>
        <v>241</v>
      </c>
      <c r="D490" s="199" t="s">
        <v>1994</v>
      </c>
      <c r="E490" s="225" t="s">
        <v>1158</v>
      </c>
      <c r="F490" s="209" t="s">
        <v>1159</v>
      </c>
      <c r="G490" s="209" t="s">
        <v>1995</v>
      </c>
      <c r="H490" s="209" t="s">
        <v>1996</v>
      </c>
      <c r="I490" s="193">
        <v>1887</v>
      </c>
      <c r="J490" s="209" t="s">
        <v>1997</v>
      </c>
      <c r="K490" s="193">
        <v>2015</v>
      </c>
      <c r="L490" s="225" t="s">
        <v>1998</v>
      </c>
    </row>
    <row r="491" spans="1:12" ht="12.75">
      <c r="A491" s="182" t="s">
        <v>162</v>
      </c>
      <c r="B491" s="41">
        <v>198</v>
      </c>
      <c r="C491" s="11"/>
      <c r="D491" s="144" t="s">
        <v>1843</v>
      </c>
      <c r="E491" s="79" t="s">
        <v>1153</v>
      </c>
      <c r="F491" s="124" t="s">
        <v>1153</v>
      </c>
      <c r="G491" s="115" t="s">
        <v>1154</v>
      </c>
      <c r="H491" s="68" t="s">
        <v>1844</v>
      </c>
      <c r="I491" s="98">
        <v>1667</v>
      </c>
      <c r="J491" s="82" t="s">
        <v>1845</v>
      </c>
      <c r="K491" s="98">
        <v>1701</v>
      </c>
      <c r="L491" s="82" t="s">
        <v>1846</v>
      </c>
    </row>
    <row r="492" spans="1:12" ht="12.75">
      <c r="A492" s="182" t="s">
        <v>162</v>
      </c>
      <c r="B492" s="41">
        <v>199</v>
      </c>
      <c r="C492" s="182">
        <f t="shared" ref="C492:C497" si="0">B491</f>
        <v>198</v>
      </c>
      <c r="D492" s="144" t="s">
        <v>1847</v>
      </c>
      <c r="E492" s="107" t="s">
        <v>1158</v>
      </c>
      <c r="F492" s="124" t="s">
        <v>1159</v>
      </c>
      <c r="G492" s="115" t="s">
        <v>1160</v>
      </c>
      <c r="H492" s="107" t="s">
        <v>1848</v>
      </c>
      <c r="I492" s="124" t="s">
        <v>1849</v>
      </c>
      <c r="J492" s="62" t="s">
        <v>1850</v>
      </c>
      <c r="K492" s="124" t="s">
        <v>1851</v>
      </c>
      <c r="L492" s="107" t="s">
        <v>1852</v>
      </c>
    </row>
    <row r="493" spans="1:12" ht="12.75">
      <c r="A493" s="182" t="s">
        <v>162</v>
      </c>
      <c r="B493" s="9">
        <v>200</v>
      </c>
      <c r="C493" s="182">
        <f t="shared" si="0"/>
        <v>199</v>
      </c>
      <c r="D493" s="144" t="s">
        <v>1853</v>
      </c>
      <c r="E493" s="107" t="s">
        <v>1158</v>
      </c>
      <c r="F493" s="124" t="s">
        <v>1159</v>
      </c>
      <c r="G493" s="225" t="s">
        <v>1395</v>
      </c>
      <c r="H493" s="107" t="s">
        <v>1854</v>
      </c>
      <c r="I493" s="72">
        <v>1876</v>
      </c>
      <c r="J493" s="107" t="s">
        <v>1855</v>
      </c>
      <c r="K493" s="124">
        <v>1884</v>
      </c>
      <c r="L493" s="107" t="s">
        <v>1856</v>
      </c>
    </row>
    <row r="494" spans="1:12" ht="12.75">
      <c r="A494" s="182" t="s">
        <v>162</v>
      </c>
      <c r="B494" s="41">
        <v>201</v>
      </c>
      <c r="C494" s="182">
        <f t="shared" si="0"/>
        <v>200</v>
      </c>
      <c r="D494" s="144" t="s">
        <v>597</v>
      </c>
      <c r="E494" s="107" t="s">
        <v>1158</v>
      </c>
      <c r="F494" s="124" t="s">
        <v>1159</v>
      </c>
      <c r="G494" s="225" t="s">
        <v>1395</v>
      </c>
      <c r="H494" s="107" t="s">
        <v>1857</v>
      </c>
      <c r="I494" s="124">
        <v>1891</v>
      </c>
      <c r="J494" s="62" t="s">
        <v>1858</v>
      </c>
      <c r="K494" s="124">
        <v>2014</v>
      </c>
      <c r="L494" s="107" t="s">
        <v>1859</v>
      </c>
    </row>
    <row r="495" spans="1:12" ht="12.75">
      <c r="A495" s="182" t="s">
        <v>162</v>
      </c>
      <c r="B495" s="9">
        <v>202</v>
      </c>
      <c r="C495" s="182">
        <f t="shared" si="0"/>
        <v>201</v>
      </c>
      <c r="D495" s="144" t="s">
        <v>597</v>
      </c>
      <c r="E495" s="107" t="s">
        <v>1152</v>
      </c>
      <c r="F495" s="145" t="s">
        <v>1190</v>
      </c>
      <c r="G495" s="225" t="s">
        <v>1191</v>
      </c>
      <c r="H495" s="107" t="s">
        <v>1860</v>
      </c>
      <c r="I495" s="124">
        <v>1891</v>
      </c>
      <c r="J495" s="62" t="s">
        <v>1858</v>
      </c>
      <c r="K495" s="124">
        <v>2019</v>
      </c>
      <c r="L495" s="107" t="s">
        <v>1861</v>
      </c>
    </row>
    <row r="496" spans="1:12" ht="12.75">
      <c r="A496" s="182" t="s">
        <v>162</v>
      </c>
      <c r="B496" s="41">
        <v>203</v>
      </c>
      <c r="C496" s="182">
        <f t="shared" si="0"/>
        <v>202</v>
      </c>
      <c r="D496" s="144" t="s">
        <v>597</v>
      </c>
      <c r="E496" s="107" t="s">
        <v>1152</v>
      </c>
      <c r="F496" s="145" t="s">
        <v>1190</v>
      </c>
      <c r="G496" s="225" t="s">
        <v>1191</v>
      </c>
      <c r="H496" s="107" t="s">
        <v>1862</v>
      </c>
      <c r="I496" s="124">
        <v>1927</v>
      </c>
      <c r="J496" s="62" t="s">
        <v>1863</v>
      </c>
      <c r="K496" s="124">
        <v>2017</v>
      </c>
      <c r="L496" s="62" t="s">
        <v>1864</v>
      </c>
    </row>
    <row r="497" spans="1:12" ht="13.15" customHeight="1">
      <c r="A497" s="182" t="s">
        <v>162</v>
      </c>
      <c r="B497" s="41">
        <v>204</v>
      </c>
      <c r="C497" s="11">
        <f t="shared" si="0"/>
        <v>203</v>
      </c>
      <c r="D497" s="144" t="s">
        <v>597</v>
      </c>
      <c r="E497" s="107" t="s">
        <v>1152</v>
      </c>
      <c r="F497" s="145" t="s">
        <v>1169</v>
      </c>
      <c r="G497" s="225" t="s">
        <v>1170</v>
      </c>
      <c r="H497" s="68" t="s">
        <v>1865</v>
      </c>
      <c r="I497" s="98">
        <v>1968</v>
      </c>
      <c r="J497" s="82" t="s">
        <v>1866</v>
      </c>
      <c r="K497" s="98">
        <v>2009</v>
      </c>
      <c r="L497" s="82" t="s">
        <v>1867</v>
      </c>
    </row>
    <row r="498" spans="1:12" ht="25.5">
      <c r="A498" s="23" t="s">
        <v>177</v>
      </c>
      <c r="B498" s="9">
        <v>218</v>
      </c>
      <c r="C498" s="132"/>
      <c r="D498" s="133" t="s">
        <v>1922</v>
      </c>
      <c r="E498" s="225" t="s">
        <v>1153</v>
      </c>
      <c r="F498" s="225" t="s">
        <v>1153</v>
      </c>
      <c r="G498" s="146" t="s">
        <v>1324</v>
      </c>
      <c r="H498" s="225" t="s">
        <v>1923</v>
      </c>
      <c r="I498" s="193">
        <v>1835</v>
      </c>
      <c r="J498" s="204" t="s">
        <v>1924</v>
      </c>
      <c r="K498" s="193">
        <v>1953</v>
      </c>
      <c r="L498" s="225" t="s">
        <v>1925</v>
      </c>
    </row>
    <row r="499" spans="1:12" ht="12.75">
      <c r="A499" s="23" t="s">
        <v>177</v>
      </c>
      <c r="B499" s="41">
        <v>219</v>
      </c>
      <c r="C499" s="11">
        <f>B498</f>
        <v>218</v>
      </c>
      <c r="D499" s="144" t="s">
        <v>1926</v>
      </c>
      <c r="E499" s="225" t="s">
        <v>1152</v>
      </c>
      <c r="F499" s="225" t="s">
        <v>1169</v>
      </c>
      <c r="G499" s="112" t="s">
        <v>1170</v>
      </c>
      <c r="H499" s="225" t="s">
        <v>1927</v>
      </c>
      <c r="I499" s="193">
        <v>1845</v>
      </c>
      <c r="J499" s="225" t="s">
        <v>1928</v>
      </c>
      <c r="K499" s="193">
        <v>2017</v>
      </c>
      <c r="L499" s="225" t="s">
        <v>1929</v>
      </c>
    </row>
    <row r="500" spans="1:12" ht="13.15" customHeight="1">
      <c r="A500" s="23" t="s">
        <v>177</v>
      </c>
      <c r="B500" s="41">
        <v>220</v>
      </c>
      <c r="C500" s="198">
        <f>B499</f>
        <v>219</v>
      </c>
      <c r="D500" s="120" t="s">
        <v>1930</v>
      </c>
      <c r="E500" s="225" t="s">
        <v>1158</v>
      </c>
      <c r="F500" s="225" t="s">
        <v>1173</v>
      </c>
      <c r="G500" s="225" t="s">
        <v>1177</v>
      </c>
      <c r="H500" s="225" t="s">
        <v>1931</v>
      </c>
      <c r="I500" s="193">
        <v>1857</v>
      </c>
      <c r="J500" s="225" t="s">
        <v>1932</v>
      </c>
      <c r="K500" s="193">
        <v>2008</v>
      </c>
      <c r="L500" s="225" t="s">
        <v>1933</v>
      </c>
    </row>
    <row r="501" spans="1:12" ht="12.75">
      <c r="A501" s="23" t="s">
        <v>177</v>
      </c>
      <c r="B501" s="9">
        <v>221</v>
      </c>
      <c r="C501" s="198">
        <f>B500</f>
        <v>220</v>
      </c>
      <c r="D501" s="148" t="s">
        <v>1934</v>
      </c>
      <c r="E501" s="225" t="s">
        <v>1158</v>
      </c>
      <c r="F501" s="225" t="s">
        <v>1173</v>
      </c>
      <c r="G501" s="225" t="s">
        <v>1174</v>
      </c>
      <c r="H501" s="225" t="s">
        <v>1935</v>
      </c>
      <c r="I501" s="193">
        <v>1898</v>
      </c>
      <c r="J501" s="149" t="s">
        <v>1936</v>
      </c>
      <c r="K501" s="193">
        <v>2008</v>
      </c>
      <c r="L501" s="225" t="s">
        <v>1933</v>
      </c>
    </row>
    <row r="502" spans="1:12" ht="13.15" customHeight="1">
      <c r="A502" s="23" t="s">
        <v>74</v>
      </c>
      <c r="B502" s="41">
        <v>94</v>
      </c>
      <c r="C502" s="198"/>
      <c r="D502" s="144" t="s">
        <v>75</v>
      </c>
      <c r="E502" s="225" t="s">
        <v>1153</v>
      </c>
      <c r="F502" s="225" t="s">
        <v>1153</v>
      </c>
      <c r="G502" s="225" t="s">
        <v>1154</v>
      </c>
      <c r="H502" s="225" t="s">
        <v>1497</v>
      </c>
      <c r="I502" s="193" t="s">
        <v>1498</v>
      </c>
      <c r="J502" s="225" t="s">
        <v>1499</v>
      </c>
      <c r="K502" s="193">
        <v>2019</v>
      </c>
      <c r="L502" s="225" t="s">
        <v>1500</v>
      </c>
    </row>
    <row r="503" spans="1:12" ht="13.15" customHeight="1">
      <c r="A503" s="23" t="s">
        <v>74</v>
      </c>
      <c r="B503" s="41">
        <v>95</v>
      </c>
      <c r="C503" s="198">
        <f>B502</f>
        <v>94</v>
      </c>
      <c r="D503" s="144" t="s">
        <v>75</v>
      </c>
      <c r="E503" s="225" t="s">
        <v>1152</v>
      </c>
      <c r="F503" s="225" t="s">
        <v>1169</v>
      </c>
      <c r="G503" s="225" t="s">
        <v>1170</v>
      </c>
      <c r="H503" s="225" t="s">
        <v>1501</v>
      </c>
      <c r="I503" s="193">
        <v>1770</v>
      </c>
      <c r="J503" s="225" t="s">
        <v>1502</v>
      </c>
      <c r="K503" s="193">
        <v>2019</v>
      </c>
      <c r="L503" s="225" t="s">
        <v>1503</v>
      </c>
    </row>
    <row r="504" spans="1:12" ht="12.75">
      <c r="A504" s="23" t="s">
        <v>74</v>
      </c>
      <c r="B504" s="9">
        <v>96</v>
      </c>
      <c r="C504" s="198">
        <f>B503</f>
        <v>95</v>
      </c>
      <c r="D504" s="120" t="s">
        <v>1504</v>
      </c>
      <c r="E504" s="225" t="s">
        <v>1158</v>
      </c>
      <c r="F504" s="225" t="s">
        <v>1214</v>
      </c>
      <c r="G504" s="204" t="s">
        <v>1258</v>
      </c>
      <c r="H504" s="225" t="s">
        <v>1505</v>
      </c>
      <c r="I504" s="193">
        <v>1830</v>
      </c>
      <c r="J504" s="225" t="s">
        <v>1506</v>
      </c>
      <c r="K504" s="193">
        <v>2018</v>
      </c>
      <c r="L504" s="225" t="s">
        <v>1507</v>
      </c>
    </row>
    <row r="505" spans="1:12" ht="12.75">
      <c r="A505" s="92" t="s">
        <v>61</v>
      </c>
      <c r="B505" s="41">
        <v>54</v>
      </c>
      <c r="C505" s="92"/>
      <c r="D505" s="93" t="s">
        <v>1359</v>
      </c>
      <c r="E505" s="107" t="s">
        <v>1153</v>
      </c>
      <c r="F505" s="107" t="s">
        <v>1153</v>
      </c>
      <c r="G505" s="107" t="s">
        <v>1154</v>
      </c>
      <c r="H505" s="71" t="s">
        <v>1360</v>
      </c>
      <c r="I505" s="72" t="s">
        <v>1361</v>
      </c>
      <c r="J505" s="109" t="s">
        <v>1362</v>
      </c>
      <c r="K505" s="72">
        <v>2013</v>
      </c>
      <c r="L505" s="164" t="s">
        <v>1363</v>
      </c>
    </row>
    <row r="506" spans="1:12" ht="12.75">
      <c r="A506" s="92" t="s">
        <v>61</v>
      </c>
      <c r="B506" s="41">
        <v>55</v>
      </c>
      <c r="C506" s="92">
        <f>B505</f>
        <v>54</v>
      </c>
      <c r="D506" s="94" t="s">
        <v>62</v>
      </c>
      <c r="E506" s="181" t="s">
        <v>1158</v>
      </c>
      <c r="F506" s="181" t="s">
        <v>1173</v>
      </c>
      <c r="G506" s="70" t="s">
        <v>1250</v>
      </c>
      <c r="H506" s="181" t="s">
        <v>1364</v>
      </c>
      <c r="I506" s="165">
        <v>1886</v>
      </c>
      <c r="J506" s="181" t="s">
        <v>1365</v>
      </c>
      <c r="K506" s="98">
        <v>2015</v>
      </c>
      <c r="L506" s="82" t="s">
        <v>1366</v>
      </c>
    </row>
    <row r="507" spans="1:12" ht="12.75">
      <c r="A507" s="92" t="s">
        <v>61</v>
      </c>
      <c r="B507" s="9">
        <v>56</v>
      </c>
      <c r="C507" s="92">
        <f>B505</f>
        <v>54</v>
      </c>
      <c r="D507" s="85" t="s">
        <v>62</v>
      </c>
      <c r="E507" s="181" t="s">
        <v>1152</v>
      </c>
      <c r="F507" s="181" t="s">
        <v>1169</v>
      </c>
      <c r="G507" s="126" t="s">
        <v>1367</v>
      </c>
      <c r="H507" s="181" t="s">
        <v>1368</v>
      </c>
      <c r="I507" s="165">
        <v>1886</v>
      </c>
      <c r="J507" s="181" t="s">
        <v>1365</v>
      </c>
      <c r="K507" s="165">
        <v>2012</v>
      </c>
      <c r="L507" s="96" t="s">
        <v>1369</v>
      </c>
    </row>
    <row r="508" spans="1:12" ht="25.5">
      <c r="A508" s="180" t="s">
        <v>61</v>
      </c>
      <c r="B508" s="41">
        <v>57</v>
      </c>
      <c r="C508" s="180" t="str">
        <f>CONCATENATE(B506, ", ", B507)</f>
        <v>55, 56</v>
      </c>
      <c r="D508" s="85" t="s">
        <v>1370</v>
      </c>
      <c r="E508" s="181" t="s">
        <v>1158</v>
      </c>
      <c r="F508" s="181" t="s">
        <v>1173</v>
      </c>
      <c r="G508" s="134" t="s">
        <v>1371</v>
      </c>
      <c r="H508" s="203" t="s">
        <v>1372</v>
      </c>
      <c r="I508" s="165">
        <v>1997</v>
      </c>
      <c r="J508" s="181" t="s">
        <v>1373</v>
      </c>
      <c r="K508" s="165">
        <v>1997</v>
      </c>
      <c r="L508" s="181" t="s">
        <v>1373</v>
      </c>
    </row>
    <row r="509" spans="1:12" ht="12.6" customHeight="1">
      <c r="A509" s="182" t="s">
        <v>61</v>
      </c>
      <c r="B509" s="41">
        <v>58</v>
      </c>
      <c r="C509" s="182" t="str">
        <f>CONCATENATE(B506, ", ", B507)</f>
        <v>55, 56</v>
      </c>
      <c r="D509" s="85" t="s">
        <v>1374</v>
      </c>
      <c r="E509" s="107" t="s">
        <v>1152</v>
      </c>
      <c r="F509" s="107" t="s">
        <v>1208</v>
      </c>
      <c r="G509" s="115" t="s">
        <v>1209</v>
      </c>
      <c r="H509" s="107" t="s">
        <v>1375</v>
      </c>
      <c r="I509" s="124">
        <v>1998</v>
      </c>
      <c r="J509" s="107" t="s">
        <v>1376</v>
      </c>
      <c r="K509" s="124">
        <v>2015</v>
      </c>
      <c r="L509" s="107" t="s">
        <v>1366</v>
      </c>
    </row>
    <row r="510" spans="1:12" ht="13.15" customHeight="1">
      <c r="A510" s="182" t="s">
        <v>175</v>
      </c>
      <c r="B510" s="9">
        <v>214</v>
      </c>
      <c r="C510" s="182"/>
      <c r="D510" s="191" t="s">
        <v>1907</v>
      </c>
      <c r="E510" s="107" t="s">
        <v>1153</v>
      </c>
      <c r="F510" s="107" t="s">
        <v>1153</v>
      </c>
      <c r="G510" s="107" t="s">
        <v>1154</v>
      </c>
      <c r="H510" s="107" t="s">
        <v>1908</v>
      </c>
      <c r="I510" s="124">
        <v>1813</v>
      </c>
      <c r="J510" s="107" t="s">
        <v>1909</v>
      </c>
      <c r="K510" s="124">
        <v>1927</v>
      </c>
      <c r="L510" s="107" t="s">
        <v>1910</v>
      </c>
    </row>
    <row r="511" spans="1:12" ht="12.75">
      <c r="A511" s="182" t="s">
        <v>175</v>
      </c>
      <c r="B511" s="41">
        <v>215</v>
      </c>
      <c r="C511" s="182">
        <f>B510</f>
        <v>214</v>
      </c>
      <c r="D511" s="15" t="s">
        <v>1911</v>
      </c>
      <c r="E511" s="107" t="s">
        <v>1152</v>
      </c>
      <c r="F511" s="107" t="s">
        <v>1208</v>
      </c>
      <c r="G511" s="203" t="s">
        <v>1209</v>
      </c>
      <c r="H511" s="107" t="s">
        <v>1912</v>
      </c>
      <c r="I511" s="124">
        <v>1856</v>
      </c>
      <c r="J511" s="107" t="s">
        <v>1913</v>
      </c>
      <c r="K511" s="124">
        <v>2013</v>
      </c>
      <c r="L511" s="107" t="s">
        <v>1914</v>
      </c>
    </row>
    <row r="512" spans="1:12" ht="13.15" customHeight="1">
      <c r="A512" s="84" t="s">
        <v>175</v>
      </c>
      <c r="B512" s="41">
        <v>216</v>
      </c>
      <c r="C512" s="118">
        <f>B511</f>
        <v>215</v>
      </c>
      <c r="D512" s="13" t="s">
        <v>1911</v>
      </c>
      <c r="E512" s="126" t="s">
        <v>1152</v>
      </c>
      <c r="F512" s="126" t="s">
        <v>1208</v>
      </c>
      <c r="G512" s="126" t="s">
        <v>1402</v>
      </c>
      <c r="H512" s="87" t="s">
        <v>1915</v>
      </c>
      <c r="I512" s="95">
        <v>1867</v>
      </c>
      <c r="J512" s="181" t="s">
        <v>1916</v>
      </c>
      <c r="K512" s="165">
        <v>2004</v>
      </c>
      <c r="L512" s="181" t="s">
        <v>1917</v>
      </c>
    </row>
    <row r="513" spans="1:12" ht="13.15" customHeight="1">
      <c r="A513" s="182" t="s">
        <v>175</v>
      </c>
      <c r="B513" s="9">
        <v>217</v>
      </c>
      <c r="C513" s="182">
        <f>B512</f>
        <v>216</v>
      </c>
      <c r="D513" s="13" t="s">
        <v>1918</v>
      </c>
      <c r="E513" s="107" t="s">
        <v>1158</v>
      </c>
      <c r="F513" s="107" t="s">
        <v>1159</v>
      </c>
      <c r="G513" s="317" t="s">
        <v>4309</v>
      </c>
      <c r="H513" s="107" t="s">
        <v>1919</v>
      </c>
      <c r="I513" s="124">
        <v>1903</v>
      </c>
      <c r="J513" s="107" t="s">
        <v>1920</v>
      </c>
      <c r="K513" s="124">
        <v>2019</v>
      </c>
      <c r="L513" s="107" t="s">
        <v>1921</v>
      </c>
    </row>
    <row r="514" spans="1:12" ht="14.25">
      <c r="A514" s="84" t="s">
        <v>270</v>
      </c>
      <c r="B514" s="41">
        <v>491</v>
      </c>
      <c r="C514" s="118"/>
      <c r="D514" s="13" t="s">
        <v>2790</v>
      </c>
      <c r="E514" s="107" t="s">
        <v>1153</v>
      </c>
      <c r="F514" s="107" t="s">
        <v>1153</v>
      </c>
      <c r="G514" s="107" t="s">
        <v>1154</v>
      </c>
      <c r="H514" s="201" t="s">
        <v>2791</v>
      </c>
      <c r="I514" s="180" t="s">
        <v>2792</v>
      </c>
      <c r="J514" s="219" t="s">
        <v>2793</v>
      </c>
      <c r="K514" s="180">
        <v>1848</v>
      </c>
      <c r="L514" s="191" t="s">
        <v>2794</v>
      </c>
    </row>
    <row r="515" spans="1:12" ht="12.6" customHeight="1">
      <c r="A515" s="84" t="s">
        <v>270</v>
      </c>
      <c r="B515" s="41">
        <v>492</v>
      </c>
      <c r="C515" s="118">
        <f>B514</f>
        <v>491</v>
      </c>
      <c r="D515" s="201" t="s">
        <v>2795</v>
      </c>
      <c r="E515" s="201" t="s">
        <v>1152</v>
      </c>
      <c r="F515" s="107" t="s">
        <v>1169</v>
      </c>
      <c r="G515" s="174" t="s">
        <v>1170</v>
      </c>
      <c r="H515" s="201" t="s">
        <v>2796</v>
      </c>
      <c r="I515" s="180" t="s">
        <v>2797</v>
      </c>
      <c r="J515" s="219" t="s">
        <v>2798</v>
      </c>
      <c r="K515" s="180">
        <v>2003</v>
      </c>
      <c r="L515" s="191" t="s">
        <v>2799</v>
      </c>
    </row>
    <row r="516" spans="1:12" ht="12.6" customHeight="1">
      <c r="A516" s="180" t="s">
        <v>270</v>
      </c>
      <c r="B516" s="9">
        <v>493</v>
      </c>
      <c r="C516" s="180">
        <f>B515</f>
        <v>492</v>
      </c>
      <c r="D516" s="201" t="s">
        <v>2800</v>
      </c>
      <c r="E516" s="201" t="s">
        <v>1158</v>
      </c>
      <c r="F516" s="201" t="s">
        <v>1159</v>
      </c>
      <c r="G516" s="201" t="s">
        <v>1395</v>
      </c>
      <c r="H516" s="201" t="s">
        <v>2801</v>
      </c>
      <c r="I516" s="180">
        <v>1830</v>
      </c>
      <c r="J516" s="219" t="s">
        <v>2802</v>
      </c>
      <c r="K516" s="180">
        <v>2019</v>
      </c>
      <c r="L516" s="191" t="s">
        <v>2803</v>
      </c>
    </row>
    <row r="517" spans="1:12" ht="12.6" customHeight="1">
      <c r="A517" s="180" t="s">
        <v>270</v>
      </c>
      <c r="B517" s="41">
        <v>494</v>
      </c>
      <c r="C517" s="180">
        <f>B516</f>
        <v>493</v>
      </c>
      <c r="D517" s="201" t="s">
        <v>2804</v>
      </c>
      <c r="E517" s="201" t="s">
        <v>1158</v>
      </c>
      <c r="F517" s="201" t="s">
        <v>1159</v>
      </c>
      <c r="G517" s="201" t="s">
        <v>1395</v>
      </c>
      <c r="H517" s="201" t="s">
        <v>2805</v>
      </c>
      <c r="I517" s="180">
        <v>1832</v>
      </c>
      <c r="J517" s="219" t="s">
        <v>2806</v>
      </c>
      <c r="K517" s="180">
        <v>2016</v>
      </c>
      <c r="L517" s="191" t="s">
        <v>2807</v>
      </c>
    </row>
    <row r="518" spans="1:12" ht="12.6" customHeight="1">
      <c r="A518" s="180" t="s">
        <v>270</v>
      </c>
      <c r="B518" s="41">
        <v>495</v>
      </c>
      <c r="C518" s="180">
        <f>B517</f>
        <v>494</v>
      </c>
      <c r="D518" s="201" t="s">
        <v>2808</v>
      </c>
      <c r="E518" s="201" t="s">
        <v>1158</v>
      </c>
      <c r="F518" s="201" t="s">
        <v>1159</v>
      </c>
      <c r="G518" s="317" t="s">
        <v>4309</v>
      </c>
      <c r="H518" s="201" t="s">
        <v>2809</v>
      </c>
      <c r="I518" s="180">
        <v>1838</v>
      </c>
      <c r="J518" s="219" t="s">
        <v>2810</v>
      </c>
      <c r="K518" s="180">
        <v>2019</v>
      </c>
      <c r="L518" s="191" t="s">
        <v>2811</v>
      </c>
    </row>
    <row r="519" spans="1:12" ht="12.6" customHeight="1">
      <c r="A519" s="180" t="s">
        <v>270</v>
      </c>
      <c r="B519" s="9">
        <v>496</v>
      </c>
      <c r="C519" s="180">
        <f>B518</f>
        <v>495</v>
      </c>
      <c r="D519" s="201" t="s">
        <v>2812</v>
      </c>
      <c r="E519" s="201" t="s">
        <v>1152</v>
      </c>
      <c r="F519" s="201" t="s">
        <v>1169</v>
      </c>
      <c r="G519" s="201" t="s">
        <v>1448</v>
      </c>
      <c r="H519" s="201" t="s">
        <v>2813</v>
      </c>
      <c r="I519" s="180" t="s">
        <v>2814</v>
      </c>
      <c r="J519" s="219" t="s">
        <v>2815</v>
      </c>
      <c r="K519" s="180">
        <v>2018</v>
      </c>
      <c r="L519" s="191" t="s">
        <v>2816</v>
      </c>
    </row>
    <row r="520" spans="1:12" ht="12.75">
      <c r="A520" s="180" t="s">
        <v>235</v>
      </c>
      <c r="B520" s="41">
        <v>379</v>
      </c>
      <c r="C520" s="180"/>
      <c r="D520" s="201" t="s">
        <v>2458</v>
      </c>
      <c r="E520" s="126" t="s">
        <v>1153</v>
      </c>
      <c r="F520" s="126" t="s">
        <v>1153</v>
      </c>
      <c r="G520" s="181" t="s">
        <v>1186</v>
      </c>
      <c r="H520" s="181" t="s">
        <v>2459</v>
      </c>
      <c r="I520" s="165">
        <v>1832</v>
      </c>
      <c r="J520" s="181" t="s">
        <v>2460</v>
      </c>
      <c r="K520" s="165">
        <v>2019</v>
      </c>
      <c r="L520" s="181" t="s">
        <v>2461</v>
      </c>
    </row>
    <row r="521" spans="1:12" ht="12.75">
      <c r="A521" s="180" t="s">
        <v>235</v>
      </c>
      <c r="B521" s="41">
        <v>380</v>
      </c>
      <c r="C521" s="180">
        <f>B520</f>
        <v>379</v>
      </c>
      <c r="D521" s="201" t="s">
        <v>2462</v>
      </c>
      <c r="E521" s="126" t="s">
        <v>1152</v>
      </c>
      <c r="F521" s="126" t="s">
        <v>1208</v>
      </c>
      <c r="G521" s="181" t="s">
        <v>1209</v>
      </c>
      <c r="H521" s="181" t="s">
        <v>2463</v>
      </c>
      <c r="I521" s="165">
        <v>1899</v>
      </c>
      <c r="J521" s="181" t="s">
        <v>2464</v>
      </c>
      <c r="K521" s="165">
        <v>2019</v>
      </c>
      <c r="L521" s="181" t="s">
        <v>2461</v>
      </c>
    </row>
    <row r="522" spans="1:12" ht="12.75">
      <c r="A522" s="180" t="s">
        <v>235</v>
      </c>
      <c r="B522" s="9">
        <v>381</v>
      </c>
      <c r="C522" s="180">
        <f>B521</f>
        <v>380</v>
      </c>
      <c r="D522" s="201" t="s">
        <v>2458</v>
      </c>
      <c r="E522" s="181" t="s">
        <v>1152</v>
      </c>
      <c r="F522" s="181" t="s">
        <v>1190</v>
      </c>
      <c r="G522" s="181" t="s">
        <v>1494</v>
      </c>
      <c r="H522" s="181" t="s">
        <v>2465</v>
      </c>
      <c r="I522" s="165">
        <v>1911</v>
      </c>
      <c r="J522" s="181" t="s">
        <v>2466</v>
      </c>
      <c r="K522" s="165">
        <v>2012</v>
      </c>
      <c r="L522" s="181" t="s">
        <v>2467</v>
      </c>
    </row>
    <row r="523" spans="1:12" ht="12.75">
      <c r="A523" s="180" t="s">
        <v>235</v>
      </c>
      <c r="B523" s="41">
        <v>382</v>
      </c>
      <c r="C523" s="180">
        <f>B522</f>
        <v>381</v>
      </c>
      <c r="D523" s="201" t="s">
        <v>236</v>
      </c>
      <c r="E523" s="181" t="s">
        <v>1152</v>
      </c>
      <c r="F523" s="181" t="s">
        <v>1169</v>
      </c>
      <c r="G523" s="181" t="s">
        <v>1448</v>
      </c>
      <c r="H523" s="181" t="s">
        <v>2468</v>
      </c>
      <c r="I523" s="165">
        <v>1911</v>
      </c>
      <c r="J523" s="181" t="s">
        <v>2466</v>
      </c>
      <c r="K523" s="165">
        <v>2012</v>
      </c>
      <c r="L523" s="181" t="s">
        <v>2467</v>
      </c>
    </row>
    <row r="524" spans="1:12" ht="12.75">
      <c r="A524" s="180" t="s">
        <v>235</v>
      </c>
      <c r="B524" s="41">
        <v>383</v>
      </c>
      <c r="C524" s="180">
        <f>B523</f>
        <v>382</v>
      </c>
      <c r="D524" s="201" t="s">
        <v>236</v>
      </c>
      <c r="E524" s="126" t="s">
        <v>1152</v>
      </c>
      <c r="F524" s="126" t="s">
        <v>1208</v>
      </c>
      <c r="G524" s="181" t="s">
        <v>1209</v>
      </c>
      <c r="H524" s="181" t="s">
        <v>2469</v>
      </c>
      <c r="I524" s="165">
        <v>1978</v>
      </c>
      <c r="J524" s="181" t="s">
        <v>2470</v>
      </c>
      <c r="K524" s="165">
        <v>2013</v>
      </c>
      <c r="L524" s="181" t="s">
        <v>2471</v>
      </c>
    </row>
    <row r="525" spans="1:12" ht="12.75">
      <c r="A525" s="198" t="s">
        <v>368</v>
      </c>
      <c r="B525" s="41">
        <v>808</v>
      </c>
      <c r="C525" s="198"/>
      <c r="D525" s="120" t="s">
        <v>1083</v>
      </c>
      <c r="E525" s="191" t="s">
        <v>1153</v>
      </c>
      <c r="F525" s="201" t="s">
        <v>1153</v>
      </c>
      <c r="G525" s="201" t="s">
        <v>1154</v>
      </c>
      <c r="H525" s="246" t="s">
        <v>3704</v>
      </c>
      <c r="I525" s="188" t="s">
        <v>3705</v>
      </c>
      <c r="J525" s="246" t="s">
        <v>3706</v>
      </c>
      <c r="K525" s="246">
        <v>2019</v>
      </c>
      <c r="L525" s="246" t="s">
        <v>3707</v>
      </c>
    </row>
    <row r="526" spans="1:12" ht="12.75">
      <c r="A526" s="198" t="s">
        <v>368</v>
      </c>
      <c r="B526" s="9">
        <v>809</v>
      </c>
      <c r="C526" s="198">
        <f>B525</f>
        <v>808</v>
      </c>
      <c r="D526" s="120" t="s">
        <v>1083</v>
      </c>
      <c r="E526" s="191" t="s">
        <v>1152</v>
      </c>
      <c r="F526" s="201" t="s">
        <v>1190</v>
      </c>
      <c r="G526" s="201" t="s">
        <v>1228</v>
      </c>
      <c r="H526" s="246" t="s">
        <v>3708</v>
      </c>
      <c r="I526" s="198" t="s">
        <v>3709</v>
      </c>
      <c r="J526" s="246" t="s">
        <v>3710</v>
      </c>
      <c r="K526" s="246">
        <v>2019</v>
      </c>
      <c r="L526" s="246" t="s">
        <v>3711</v>
      </c>
    </row>
    <row r="527" spans="1:12" ht="12.75">
      <c r="A527" s="198" t="s">
        <v>368</v>
      </c>
      <c r="B527" s="41">
        <v>810</v>
      </c>
      <c r="C527" s="198">
        <f>B525</f>
        <v>808</v>
      </c>
      <c r="D527" s="120" t="s">
        <v>1083</v>
      </c>
      <c r="E527" s="191" t="s">
        <v>1152</v>
      </c>
      <c r="F527" s="201" t="s">
        <v>1190</v>
      </c>
      <c r="G527" s="201" t="s">
        <v>1228</v>
      </c>
      <c r="H527" s="246" t="s">
        <v>3712</v>
      </c>
      <c r="I527" s="198">
        <v>1833</v>
      </c>
      <c r="J527" s="246" t="s">
        <v>3713</v>
      </c>
      <c r="K527" s="246">
        <v>2018</v>
      </c>
      <c r="L527" s="246" t="s">
        <v>3714</v>
      </c>
    </row>
    <row r="528" spans="1:12" ht="13.15" customHeight="1">
      <c r="A528" s="198" t="s">
        <v>368</v>
      </c>
      <c r="B528" s="41">
        <v>811</v>
      </c>
      <c r="C528" s="198">
        <f>B527</f>
        <v>810</v>
      </c>
      <c r="D528" s="120" t="s">
        <v>1083</v>
      </c>
      <c r="E528" s="191" t="s">
        <v>1152</v>
      </c>
      <c r="F528" s="201" t="s">
        <v>1190</v>
      </c>
      <c r="G528" s="201" t="s">
        <v>1228</v>
      </c>
      <c r="H528" s="246" t="s">
        <v>3715</v>
      </c>
      <c r="I528" s="198">
        <v>1880</v>
      </c>
      <c r="J528" s="246" t="s">
        <v>3716</v>
      </c>
      <c r="K528" s="246" t="s">
        <v>3717</v>
      </c>
      <c r="L528" s="246" t="s">
        <v>3718</v>
      </c>
    </row>
    <row r="529" spans="1:12" ht="12.75">
      <c r="A529" s="9" t="s">
        <v>242</v>
      </c>
      <c r="B529" s="9">
        <v>426</v>
      </c>
      <c r="C529" s="182"/>
      <c r="D529" s="191" t="s">
        <v>2598</v>
      </c>
      <c r="E529" s="107" t="s">
        <v>1153</v>
      </c>
      <c r="F529" s="107" t="s">
        <v>1153</v>
      </c>
      <c r="G529" s="115" t="s">
        <v>1154</v>
      </c>
      <c r="H529" s="87" t="s">
        <v>2599</v>
      </c>
      <c r="I529" s="72" t="s">
        <v>2600</v>
      </c>
      <c r="J529" s="107" t="s">
        <v>2601</v>
      </c>
      <c r="K529" s="124">
        <v>2020</v>
      </c>
      <c r="L529" s="62" t="s">
        <v>2602</v>
      </c>
    </row>
    <row r="530" spans="1:12" ht="17.25" customHeight="1">
      <c r="A530" s="182" t="s">
        <v>242</v>
      </c>
      <c r="B530" s="41">
        <v>427</v>
      </c>
      <c r="C530" s="143">
        <f>B529</f>
        <v>426</v>
      </c>
      <c r="D530" s="191" t="s">
        <v>2598</v>
      </c>
      <c r="E530" s="62" t="s">
        <v>1152</v>
      </c>
      <c r="F530" s="62" t="s">
        <v>1169</v>
      </c>
      <c r="G530" s="115" t="s">
        <v>1202</v>
      </c>
      <c r="H530" s="107" t="s">
        <v>2603</v>
      </c>
      <c r="I530" s="114">
        <v>1879</v>
      </c>
      <c r="J530" s="62" t="s">
        <v>2604</v>
      </c>
      <c r="K530" s="114">
        <v>2021</v>
      </c>
      <c r="L530" s="62" t="s">
        <v>2605</v>
      </c>
    </row>
    <row r="531" spans="1:12" ht="15" customHeight="1">
      <c r="A531" s="182" t="s">
        <v>242</v>
      </c>
      <c r="B531" s="41">
        <v>428</v>
      </c>
      <c r="C531" s="11">
        <f>B530</f>
        <v>427</v>
      </c>
      <c r="D531" s="191" t="s">
        <v>2606</v>
      </c>
      <c r="E531" s="107" t="s">
        <v>1158</v>
      </c>
      <c r="F531" s="107" t="s">
        <v>1214</v>
      </c>
      <c r="G531" s="115" t="s">
        <v>1247</v>
      </c>
      <c r="H531" s="107" t="s">
        <v>2607</v>
      </c>
      <c r="I531" s="72">
        <v>1898</v>
      </c>
      <c r="J531" s="62" t="s">
        <v>2608</v>
      </c>
      <c r="K531" s="72">
        <v>2017</v>
      </c>
      <c r="L531" s="62" t="s">
        <v>2609</v>
      </c>
    </row>
    <row r="532" spans="1:12" ht="17.25" customHeight="1">
      <c r="A532" s="182" t="s">
        <v>242</v>
      </c>
      <c r="B532" s="9">
        <v>429</v>
      </c>
      <c r="C532" s="11">
        <f>B531</f>
        <v>428</v>
      </c>
      <c r="D532" s="191" t="s">
        <v>2610</v>
      </c>
      <c r="E532" s="107" t="s">
        <v>1158</v>
      </c>
      <c r="F532" s="107" t="s">
        <v>1173</v>
      </c>
      <c r="G532" s="115" t="s">
        <v>1174</v>
      </c>
      <c r="H532" s="107" t="s">
        <v>2611</v>
      </c>
      <c r="I532" s="72">
        <v>1911</v>
      </c>
      <c r="J532" s="62" t="s">
        <v>2612</v>
      </c>
      <c r="K532" s="72">
        <v>2018</v>
      </c>
      <c r="L532" s="107" t="s">
        <v>2613</v>
      </c>
    </row>
    <row r="533" spans="1:12" ht="17.25" customHeight="1">
      <c r="A533" s="182" t="s">
        <v>242</v>
      </c>
      <c r="B533" s="41">
        <v>430</v>
      </c>
      <c r="C533" s="11">
        <f>B532</f>
        <v>429</v>
      </c>
      <c r="D533" s="29" t="s">
        <v>2614</v>
      </c>
      <c r="E533" s="107" t="s">
        <v>1158</v>
      </c>
      <c r="F533" s="107" t="s">
        <v>1214</v>
      </c>
      <c r="G533" s="115" t="s">
        <v>1392</v>
      </c>
      <c r="H533" s="107" t="s">
        <v>2615</v>
      </c>
      <c r="I533" s="72">
        <v>1921</v>
      </c>
      <c r="J533" s="62" t="s">
        <v>2616</v>
      </c>
      <c r="K533" s="72">
        <v>2019</v>
      </c>
      <c r="L533" s="62" t="s">
        <v>2617</v>
      </c>
    </row>
    <row r="534" spans="1:12" ht="12.75">
      <c r="A534" s="182" t="s">
        <v>242</v>
      </c>
      <c r="B534" s="41">
        <v>431</v>
      </c>
      <c r="C534" s="169">
        <f>B533</f>
        <v>430</v>
      </c>
      <c r="D534" s="16" t="s">
        <v>2618</v>
      </c>
      <c r="E534" s="107" t="s">
        <v>1158</v>
      </c>
      <c r="F534" s="107" t="s">
        <v>1173</v>
      </c>
      <c r="G534" s="107" t="s">
        <v>1174</v>
      </c>
      <c r="H534" s="107" t="s">
        <v>2619</v>
      </c>
      <c r="I534" s="124">
        <v>1928</v>
      </c>
      <c r="J534" s="107" t="s">
        <v>2620</v>
      </c>
      <c r="K534" s="124">
        <v>2001</v>
      </c>
      <c r="L534" s="107" t="s">
        <v>2621</v>
      </c>
    </row>
    <row r="535" spans="1:12" ht="12.75">
      <c r="A535" s="182" t="s">
        <v>242</v>
      </c>
      <c r="B535" s="9">
        <v>432</v>
      </c>
      <c r="C535" s="169">
        <f>B533</f>
        <v>430</v>
      </c>
      <c r="D535" s="201" t="s">
        <v>2622</v>
      </c>
      <c r="E535" s="79" t="s">
        <v>1152</v>
      </c>
      <c r="F535" s="79" t="s">
        <v>1190</v>
      </c>
      <c r="G535" s="79" t="s">
        <v>1228</v>
      </c>
      <c r="H535" s="79" t="s">
        <v>2623</v>
      </c>
      <c r="I535" s="124">
        <v>1928</v>
      </c>
      <c r="J535" s="107" t="s">
        <v>2620</v>
      </c>
      <c r="K535" s="72">
        <v>2001</v>
      </c>
      <c r="L535" s="82" t="s">
        <v>2624</v>
      </c>
    </row>
    <row r="536" spans="1:12" ht="13.15" customHeight="1">
      <c r="A536" s="182" t="s">
        <v>242</v>
      </c>
      <c r="B536" s="41">
        <v>433</v>
      </c>
      <c r="C536" s="143">
        <f>B532</f>
        <v>429</v>
      </c>
      <c r="D536" s="101" t="s">
        <v>2625</v>
      </c>
      <c r="E536" s="107" t="s">
        <v>1158</v>
      </c>
      <c r="F536" s="107" t="s">
        <v>1173</v>
      </c>
      <c r="G536" s="107" t="s">
        <v>1282</v>
      </c>
      <c r="H536" s="82" t="s">
        <v>2626</v>
      </c>
      <c r="I536" s="114">
        <v>1963</v>
      </c>
      <c r="J536" s="107" t="s">
        <v>2627</v>
      </c>
      <c r="K536" s="99">
        <v>2012</v>
      </c>
      <c r="L536" s="107" t="s">
        <v>2628</v>
      </c>
    </row>
    <row r="537" spans="1:12" ht="13.15" customHeight="1">
      <c r="A537" s="182" t="s">
        <v>242</v>
      </c>
      <c r="B537" s="41">
        <v>434</v>
      </c>
      <c r="C537" s="143">
        <f>B536</f>
        <v>433</v>
      </c>
      <c r="D537" s="101" t="s">
        <v>2629</v>
      </c>
      <c r="E537" s="62" t="s">
        <v>1158</v>
      </c>
      <c r="F537" s="62" t="s">
        <v>1159</v>
      </c>
      <c r="G537" s="62" t="s">
        <v>1267</v>
      </c>
      <c r="H537" s="82" t="s">
        <v>2630</v>
      </c>
      <c r="I537" s="114">
        <v>1971</v>
      </c>
      <c r="J537" s="107" t="s">
        <v>2631</v>
      </c>
      <c r="K537" s="114">
        <v>2017</v>
      </c>
      <c r="L537" s="107" t="s">
        <v>2609</v>
      </c>
    </row>
    <row r="538" spans="1:12" ht="12.75">
      <c r="A538" s="182" t="s">
        <v>279</v>
      </c>
      <c r="B538" s="9">
        <v>511</v>
      </c>
      <c r="C538" s="143"/>
      <c r="D538" s="191" t="s">
        <v>2865</v>
      </c>
      <c r="E538" s="62" t="s">
        <v>1153</v>
      </c>
      <c r="F538" s="82" t="s">
        <v>1153</v>
      </c>
      <c r="G538" s="62" t="s">
        <v>1154</v>
      </c>
      <c r="H538" s="107" t="s">
        <v>2866</v>
      </c>
      <c r="I538" s="124" t="s">
        <v>2867</v>
      </c>
      <c r="J538" s="107" t="s">
        <v>2868</v>
      </c>
      <c r="K538" s="124">
        <v>2019</v>
      </c>
      <c r="L538" s="107" t="s">
        <v>2869</v>
      </c>
    </row>
    <row r="539" spans="1:12" ht="13.15" customHeight="1">
      <c r="A539" s="182" t="s">
        <v>279</v>
      </c>
      <c r="B539" s="41">
        <v>512</v>
      </c>
      <c r="C539" s="143">
        <f>B538</f>
        <v>511</v>
      </c>
      <c r="D539" s="101" t="s">
        <v>2870</v>
      </c>
      <c r="E539" s="62" t="s">
        <v>1152</v>
      </c>
      <c r="F539" s="82" t="s">
        <v>1169</v>
      </c>
      <c r="G539" s="82" t="s">
        <v>1170</v>
      </c>
      <c r="H539" s="82" t="s">
        <v>2871</v>
      </c>
      <c r="I539" s="114">
        <v>1978</v>
      </c>
      <c r="J539" s="107" t="s">
        <v>2872</v>
      </c>
      <c r="K539" s="114">
        <v>2023</v>
      </c>
      <c r="L539" s="107" t="s">
        <v>2873</v>
      </c>
    </row>
    <row r="540" spans="1:12" ht="13.15" customHeight="1">
      <c r="A540" s="182" t="s">
        <v>279</v>
      </c>
      <c r="B540" s="41">
        <v>513</v>
      </c>
      <c r="C540" s="143">
        <f>B539</f>
        <v>512</v>
      </c>
      <c r="D540" s="101" t="s">
        <v>2870</v>
      </c>
      <c r="E540" s="62" t="s">
        <v>1152</v>
      </c>
      <c r="F540" s="107" t="s">
        <v>1169</v>
      </c>
      <c r="G540" s="62" t="s">
        <v>1297</v>
      </c>
      <c r="H540" s="82" t="s">
        <v>2874</v>
      </c>
      <c r="I540" s="114">
        <v>2013</v>
      </c>
      <c r="J540" s="107" t="s">
        <v>2875</v>
      </c>
      <c r="K540" s="114">
        <v>2018</v>
      </c>
      <c r="L540" s="107" t="s">
        <v>2876</v>
      </c>
    </row>
    <row r="541" spans="1:12" ht="12.75">
      <c r="A541" s="182" t="s">
        <v>279</v>
      </c>
      <c r="B541" s="9">
        <v>514</v>
      </c>
      <c r="C541" s="182">
        <f>B539</f>
        <v>512</v>
      </c>
      <c r="D541" s="191" t="s">
        <v>2870</v>
      </c>
      <c r="E541" s="107" t="s">
        <v>1152</v>
      </c>
      <c r="F541" s="107" t="s">
        <v>1190</v>
      </c>
      <c r="G541" s="181" t="s">
        <v>1494</v>
      </c>
      <c r="H541" s="107" t="s">
        <v>2877</v>
      </c>
      <c r="I541" s="124">
        <v>2007</v>
      </c>
      <c r="J541" s="107" t="s">
        <v>2878</v>
      </c>
      <c r="K541" s="124">
        <v>2022</v>
      </c>
      <c r="L541" s="107" t="s">
        <v>2879</v>
      </c>
    </row>
    <row r="542" spans="1:12" ht="12.75">
      <c r="A542" s="180" t="s">
        <v>268</v>
      </c>
      <c r="B542" s="41">
        <v>488</v>
      </c>
      <c r="C542" s="11"/>
      <c r="D542" s="29" t="s">
        <v>269</v>
      </c>
      <c r="E542" s="107" t="s">
        <v>1153</v>
      </c>
      <c r="F542" s="107" t="s">
        <v>1153</v>
      </c>
      <c r="G542" s="107" t="s">
        <v>1154</v>
      </c>
      <c r="H542" s="225" t="s">
        <v>2781</v>
      </c>
      <c r="I542" s="193">
        <v>1842</v>
      </c>
      <c r="J542" s="225" t="s">
        <v>2782</v>
      </c>
      <c r="K542" s="193">
        <v>1895</v>
      </c>
      <c r="L542" s="62" t="s">
        <v>2783</v>
      </c>
    </row>
    <row r="543" spans="1:12" ht="12.75">
      <c r="A543" s="180" t="s">
        <v>268</v>
      </c>
      <c r="B543" s="41">
        <v>489</v>
      </c>
      <c r="C543" s="47">
        <f>B542</f>
        <v>488</v>
      </c>
      <c r="D543" s="29" t="s">
        <v>2784</v>
      </c>
      <c r="E543" s="174" t="s">
        <v>1152</v>
      </c>
      <c r="F543" s="107" t="s">
        <v>1190</v>
      </c>
      <c r="G543" s="246" t="s">
        <v>2785</v>
      </c>
      <c r="H543" s="174" t="s">
        <v>2786</v>
      </c>
      <c r="I543" s="207">
        <v>1921</v>
      </c>
      <c r="J543" s="174" t="s">
        <v>2787</v>
      </c>
      <c r="K543" s="207">
        <v>2011</v>
      </c>
      <c r="L543" s="62" t="s">
        <v>2788</v>
      </c>
    </row>
    <row r="544" spans="1:12" ht="12.75">
      <c r="A544" s="180" t="s">
        <v>268</v>
      </c>
      <c r="B544" s="9">
        <v>490</v>
      </c>
      <c r="C544" s="47">
        <f>B542</f>
        <v>488</v>
      </c>
      <c r="D544" s="29" t="s">
        <v>2784</v>
      </c>
      <c r="E544" s="174" t="s">
        <v>1152</v>
      </c>
      <c r="F544" s="79" t="s">
        <v>1169</v>
      </c>
      <c r="G544" s="174" t="s">
        <v>1170</v>
      </c>
      <c r="H544" s="174" t="s">
        <v>2789</v>
      </c>
      <c r="I544" s="207">
        <v>1921</v>
      </c>
      <c r="J544" s="174" t="s">
        <v>2787</v>
      </c>
      <c r="K544" s="207">
        <v>2011</v>
      </c>
      <c r="L544" s="82" t="s">
        <v>2788</v>
      </c>
    </row>
    <row r="545" spans="1:12" ht="12.75">
      <c r="A545" s="23" t="s">
        <v>191</v>
      </c>
      <c r="B545" s="9">
        <v>35</v>
      </c>
      <c r="C545" s="198"/>
      <c r="D545" s="120" t="s">
        <v>1290</v>
      </c>
      <c r="E545" s="225" t="s">
        <v>1153</v>
      </c>
      <c r="F545" s="225" t="s">
        <v>1153</v>
      </c>
      <c r="G545" s="225" t="s">
        <v>1154</v>
      </c>
      <c r="H545" s="225" t="s">
        <v>1291</v>
      </c>
      <c r="I545" s="193">
        <v>1857</v>
      </c>
      <c r="J545" s="225" t="s">
        <v>1292</v>
      </c>
      <c r="K545" s="193">
        <v>2018</v>
      </c>
      <c r="L545" s="225" t="s">
        <v>1293</v>
      </c>
    </row>
    <row r="546" spans="1:12" ht="12.75">
      <c r="A546" s="198" t="s">
        <v>191</v>
      </c>
      <c r="B546" s="41">
        <v>36</v>
      </c>
      <c r="C546" s="198">
        <f>B545</f>
        <v>35</v>
      </c>
      <c r="D546" s="120" t="s">
        <v>1290</v>
      </c>
      <c r="E546" s="225" t="s">
        <v>1152</v>
      </c>
      <c r="F546" s="107" t="s">
        <v>1169</v>
      </c>
      <c r="G546" s="225" t="s">
        <v>1170</v>
      </c>
      <c r="H546" s="225" t="s">
        <v>1294</v>
      </c>
      <c r="I546" s="193">
        <v>2009</v>
      </c>
      <c r="J546" s="225" t="s">
        <v>1295</v>
      </c>
      <c r="K546" s="193">
        <v>2014</v>
      </c>
      <c r="L546" s="225" t="s">
        <v>1296</v>
      </c>
    </row>
    <row r="547" spans="1:12" ht="12.75">
      <c r="A547" s="198" t="s">
        <v>191</v>
      </c>
      <c r="B547" s="41">
        <v>37</v>
      </c>
      <c r="C547" s="198">
        <f>B546</f>
        <v>36</v>
      </c>
      <c r="D547" s="120" t="s">
        <v>1290</v>
      </c>
      <c r="E547" s="225" t="s">
        <v>1152</v>
      </c>
      <c r="F547" s="107" t="s">
        <v>1169</v>
      </c>
      <c r="G547" s="225" t="s">
        <v>1297</v>
      </c>
      <c r="H547" s="158" t="s">
        <v>1298</v>
      </c>
      <c r="I547" s="193">
        <v>2001</v>
      </c>
      <c r="J547" s="225" t="s">
        <v>1299</v>
      </c>
      <c r="K547" s="193">
        <v>2015</v>
      </c>
      <c r="L547" s="225" t="s">
        <v>1300</v>
      </c>
    </row>
    <row r="548" spans="1:12" ht="12.6" customHeight="1">
      <c r="A548" s="182" t="s">
        <v>78</v>
      </c>
      <c r="B548" s="9">
        <v>97</v>
      </c>
      <c r="C548" s="182"/>
      <c r="D548" s="73" t="s">
        <v>79</v>
      </c>
      <c r="E548" s="107" t="s">
        <v>1153</v>
      </c>
      <c r="F548" s="107" t="s">
        <v>1153</v>
      </c>
      <c r="G548" s="107" t="s">
        <v>1186</v>
      </c>
      <c r="H548" s="107" t="s">
        <v>1508</v>
      </c>
      <c r="I548" s="124" t="s">
        <v>1509</v>
      </c>
      <c r="J548" s="203" t="s">
        <v>1510</v>
      </c>
      <c r="K548" s="124">
        <v>2018</v>
      </c>
      <c r="L548" s="107" t="s">
        <v>1511</v>
      </c>
    </row>
    <row r="549" spans="1:12" ht="12.6" customHeight="1">
      <c r="A549" s="182" t="s">
        <v>78</v>
      </c>
      <c r="B549" s="41">
        <v>98</v>
      </c>
      <c r="C549" s="182">
        <f>B548</f>
        <v>97</v>
      </c>
      <c r="D549" s="188" t="s">
        <v>1512</v>
      </c>
      <c r="E549" s="107" t="s">
        <v>1158</v>
      </c>
      <c r="F549" s="124" t="s">
        <v>1173</v>
      </c>
      <c r="G549" s="204" t="s">
        <v>1513</v>
      </c>
      <c r="H549" s="107" t="s">
        <v>1514</v>
      </c>
      <c r="I549" s="124">
        <v>1927</v>
      </c>
      <c r="J549" s="107" t="s">
        <v>1515</v>
      </c>
      <c r="K549" s="124">
        <v>2013</v>
      </c>
      <c r="L549" s="107" t="s">
        <v>1516</v>
      </c>
    </row>
    <row r="550" spans="1:12" ht="12.6" customHeight="1">
      <c r="A550" s="182" t="s">
        <v>78</v>
      </c>
      <c r="B550" s="41">
        <v>99</v>
      </c>
      <c r="C550" s="182">
        <f>B548</f>
        <v>97</v>
      </c>
      <c r="D550" s="188" t="s">
        <v>1512</v>
      </c>
      <c r="E550" s="107" t="s">
        <v>1152</v>
      </c>
      <c r="F550" s="124" t="s">
        <v>1169</v>
      </c>
      <c r="G550" s="107" t="s">
        <v>1202</v>
      </c>
      <c r="H550" s="107" t="s">
        <v>1517</v>
      </c>
      <c r="I550" s="124">
        <v>1927</v>
      </c>
      <c r="J550" s="107" t="s">
        <v>1515</v>
      </c>
      <c r="K550" s="124">
        <v>2013</v>
      </c>
      <c r="L550" s="107" t="s">
        <v>1516</v>
      </c>
    </row>
    <row r="551" spans="1:12" ht="12.75">
      <c r="A551" s="182" t="s">
        <v>78</v>
      </c>
      <c r="B551" s="9">
        <v>100</v>
      </c>
      <c r="C551" s="182" t="str">
        <f>CONCATENATE(B549,", ",B550)</f>
        <v>98, 99</v>
      </c>
      <c r="D551" s="188" t="s">
        <v>1518</v>
      </c>
      <c r="E551" s="107" t="s">
        <v>1158</v>
      </c>
      <c r="F551" s="107" t="s">
        <v>1214</v>
      </c>
      <c r="G551" s="107" t="s">
        <v>1239</v>
      </c>
      <c r="H551" s="107" t="s">
        <v>1519</v>
      </c>
      <c r="I551" s="124" t="s">
        <v>1520</v>
      </c>
      <c r="J551" s="107" t="s">
        <v>1521</v>
      </c>
      <c r="K551" s="124">
        <v>2016</v>
      </c>
      <c r="L551" s="107" t="s">
        <v>1522</v>
      </c>
    </row>
    <row r="552" spans="1:12" ht="12.6" customHeight="1">
      <c r="A552" s="182" t="s">
        <v>78</v>
      </c>
      <c r="B552" s="41">
        <v>101</v>
      </c>
      <c r="C552" s="182">
        <f>B551</f>
        <v>100</v>
      </c>
      <c r="D552" s="144" t="s">
        <v>1523</v>
      </c>
      <c r="E552" s="107" t="s">
        <v>1158</v>
      </c>
      <c r="F552" s="124" t="s">
        <v>1173</v>
      </c>
      <c r="G552" s="115" t="s">
        <v>1174</v>
      </c>
      <c r="H552" s="68" t="s">
        <v>1524</v>
      </c>
      <c r="I552" s="72">
        <v>1959</v>
      </c>
      <c r="J552" s="62" t="s">
        <v>1525</v>
      </c>
      <c r="K552" s="72">
        <v>2014</v>
      </c>
      <c r="L552" s="62" t="s">
        <v>1526</v>
      </c>
    </row>
    <row r="553" spans="1:12" ht="12.6" customHeight="1">
      <c r="A553" s="182" t="s">
        <v>78</v>
      </c>
      <c r="B553" s="41">
        <v>102</v>
      </c>
      <c r="C553" s="11">
        <f>B552</f>
        <v>101</v>
      </c>
      <c r="D553" s="144" t="s">
        <v>1527</v>
      </c>
      <c r="E553" s="107" t="s">
        <v>1158</v>
      </c>
      <c r="F553" s="124" t="s">
        <v>1173</v>
      </c>
      <c r="G553" s="115" t="s">
        <v>1282</v>
      </c>
      <c r="H553" s="79" t="s">
        <v>1528</v>
      </c>
      <c r="I553" s="72">
        <v>1987</v>
      </c>
      <c r="J553" s="62" t="s">
        <v>1529</v>
      </c>
      <c r="K553" s="72">
        <v>1987</v>
      </c>
      <c r="L553" s="82" t="s">
        <v>1529</v>
      </c>
    </row>
    <row r="554" spans="1:12" ht="38.25">
      <c r="A554" s="182" t="s">
        <v>78</v>
      </c>
      <c r="B554" s="9">
        <v>103</v>
      </c>
      <c r="C554" s="11">
        <f>B553</f>
        <v>102</v>
      </c>
      <c r="D554" s="144" t="s">
        <v>1530</v>
      </c>
      <c r="E554" s="107" t="s">
        <v>1158</v>
      </c>
      <c r="F554" s="124" t="s">
        <v>1173</v>
      </c>
      <c r="G554" s="115" t="s">
        <v>1282</v>
      </c>
      <c r="H554" s="79" t="s">
        <v>1531</v>
      </c>
      <c r="I554" s="72">
        <v>2004</v>
      </c>
      <c r="J554" s="62" t="s">
        <v>1532</v>
      </c>
      <c r="K554" s="72">
        <v>2004</v>
      </c>
      <c r="L554" s="62" t="s">
        <v>1532</v>
      </c>
    </row>
    <row r="555" spans="1:12" ht="12.6" customHeight="1">
      <c r="A555" s="23" t="s">
        <v>63</v>
      </c>
      <c r="B555" s="41">
        <v>61</v>
      </c>
      <c r="C555" s="198"/>
      <c r="D555" s="120" t="s">
        <v>1378</v>
      </c>
      <c r="E555" s="225" t="s">
        <v>1153</v>
      </c>
      <c r="F555" s="225" t="s">
        <v>1153</v>
      </c>
      <c r="G555" s="104" t="s">
        <v>1154</v>
      </c>
      <c r="H555" s="225" t="s">
        <v>1379</v>
      </c>
      <c r="I555" s="190" t="s">
        <v>1380</v>
      </c>
      <c r="J555" s="104" t="s">
        <v>1381</v>
      </c>
      <c r="K555" s="102" t="s">
        <v>1382</v>
      </c>
      <c r="L555" s="103" t="s">
        <v>1383</v>
      </c>
    </row>
    <row r="556" spans="1:12" ht="12.6" customHeight="1">
      <c r="A556" s="23" t="s">
        <v>63</v>
      </c>
      <c r="B556" s="41">
        <v>62</v>
      </c>
      <c r="C556" s="198">
        <f>B555</f>
        <v>61</v>
      </c>
      <c r="D556" s="120" t="s">
        <v>1384</v>
      </c>
      <c r="E556" s="225" t="s">
        <v>1152</v>
      </c>
      <c r="F556" s="225" t="s">
        <v>1159</v>
      </c>
      <c r="G556" s="104" t="s">
        <v>1385</v>
      </c>
      <c r="H556" s="225" t="s">
        <v>1386</v>
      </c>
      <c r="I556" s="102">
        <v>1906</v>
      </c>
      <c r="J556" s="104" t="s">
        <v>1387</v>
      </c>
      <c r="K556" s="102">
        <v>1997</v>
      </c>
      <c r="L556" s="103" t="s">
        <v>1388</v>
      </c>
    </row>
    <row r="557" spans="1:12" ht="12.6" customHeight="1">
      <c r="A557" s="23" t="s">
        <v>63</v>
      </c>
      <c r="B557" s="9">
        <v>63</v>
      </c>
      <c r="C557" s="198">
        <f>B556</f>
        <v>62</v>
      </c>
      <c r="D557" s="120" t="s">
        <v>1384</v>
      </c>
      <c r="E557" s="225" t="s">
        <v>1152</v>
      </c>
      <c r="F557" s="225" t="s">
        <v>1208</v>
      </c>
      <c r="G557" s="225" t="s">
        <v>1209</v>
      </c>
      <c r="H557" s="158" t="s">
        <v>1389</v>
      </c>
      <c r="I557" s="102">
        <v>1925</v>
      </c>
      <c r="J557" s="104" t="s">
        <v>1390</v>
      </c>
      <c r="K557" s="190">
        <v>2018</v>
      </c>
      <c r="L557" s="104" t="s">
        <v>1391</v>
      </c>
    </row>
    <row r="558" spans="1:12" ht="14.25" customHeight="1">
      <c r="A558" s="23" t="s">
        <v>63</v>
      </c>
      <c r="B558" s="41">
        <v>64</v>
      </c>
      <c r="C558" s="198">
        <f>B556</f>
        <v>62</v>
      </c>
      <c r="D558" s="120" t="s">
        <v>1384</v>
      </c>
      <c r="E558" s="225" t="s">
        <v>1158</v>
      </c>
      <c r="F558" s="225" t="s">
        <v>1214</v>
      </c>
      <c r="G558" s="225" t="s">
        <v>1392</v>
      </c>
      <c r="H558" s="158" t="s">
        <v>1393</v>
      </c>
      <c r="I558" s="102">
        <v>1925</v>
      </c>
      <c r="J558" s="104" t="s">
        <v>1390</v>
      </c>
      <c r="K558" s="190">
        <v>2018</v>
      </c>
      <c r="L558" s="104" t="s">
        <v>1391</v>
      </c>
    </row>
    <row r="559" spans="1:12" ht="12.75">
      <c r="A559" s="23" t="s">
        <v>63</v>
      </c>
      <c r="B559" s="41">
        <v>65</v>
      </c>
      <c r="C559" s="198" t="str">
        <f>CONCATENATE(B556,", ",B557)</f>
        <v>62, 63</v>
      </c>
      <c r="D559" s="120" t="s">
        <v>1394</v>
      </c>
      <c r="E559" s="225" t="s">
        <v>1158</v>
      </c>
      <c r="F559" s="225" t="s">
        <v>1159</v>
      </c>
      <c r="G559" s="225" t="s">
        <v>1395</v>
      </c>
      <c r="H559" s="104" t="s">
        <v>1396</v>
      </c>
      <c r="I559" s="190" t="s">
        <v>1397</v>
      </c>
      <c r="J559" s="104" t="s">
        <v>1398</v>
      </c>
      <c r="K559" s="190" t="s">
        <v>1399</v>
      </c>
      <c r="L559" s="104" t="s">
        <v>1400</v>
      </c>
    </row>
    <row r="560" spans="1:12" ht="14.25" customHeight="1">
      <c r="A560" s="23" t="s">
        <v>63</v>
      </c>
      <c r="B560" s="9">
        <v>66</v>
      </c>
      <c r="C560" s="198">
        <f>B559</f>
        <v>65</v>
      </c>
      <c r="D560" s="120" t="s">
        <v>1401</v>
      </c>
      <c r="E560" s="225" t="s">
        <v>1152</v>
      </c>
      <c r="F560" s="225" t="s">
        <v>1208</v>
      </c>
      <c r="G560" s="204" t="s">
        <v>1402</v>
      </c>
      <c r="H560" s="225" t="s">
        <v>1403</v>
      </c>
      <c r="I560" s="193" t="s">
        <v>1404</v>
      </c>
      <c r="J560" s="225" t="s">
        <v>1405</v>
      </c>
      <c r="K560" s="102">
        <v>2015</v>
      </c>
      <c r="L560" s="225" t="s">
        <v>1406</v>
      </c>
    </row>
    <row r="561" spans="1:12" ht="15.95" customHeight="1">
      <c r="A561" s="23" t="s">
        <v>181</v>
      </c>
      <c r="B561" s="41">
        <v>243</v>
      </c>
      <c r="C561" s="11"/>
      <c r="D561" s="144" t="s">
        <v>630</v>
      </c>
      <c r="E561" s="225" t="s">
        <v>1153</v>
      </c>
      <c r="F561" s="209" t="s">
        <v>1153</v>
      </c>
      <c r="G561" s="225" t="s">
        <v>1186</v>
      </c>
      <c r="H561" s="79" t="s">
        <v>1615</v>
      </c>
      <c r="I561" s="193">
        <v>1833</v>
      </c>
      <c r="J561" s="225" t="s">
        <v>1999</v>
      </c>
      <c r="K561" s="193">
        <v>2020</v>
      </c>
      <c r="L561" s="225" t="s">
        <v>2000</v>
      </c>
    </row>
    <row r="562" spans="1:12" ht="16.5" customHeight="1">
      <c r="A562" s="23" t="s">
        <v>181</v>
      </c>
      <c r="B562" s="41">
        <v>244</v>
      </c>
      <c r="C562" s="11">
        <f>B561</f>
        <v>243</v>
      </c>
      <c r="D562" s="144" t="s">
        <v>2001</v>
      </c>
      <c r="E562" s="225" t="s">
        <v>1158</v>
      </c>
      <c r="F562" s="225" t="s">
        <v>1159</v>
      </c>
      <c r="G562" s="141" t="s">
        <v>1267</v>
      </c>
      <c r="H562" s="225" t="s">
        <v>2002</v>
      </c>
      <c r="I562" s="193">
        <v>1869</v>
      </c>
      <c r="J562" s="225" t="s">
        <v>2003</v>
      </c>
      <c r="K562" s="193">
        <v>2005</v>
      </c>
      <c r="L562" s="225" t="s">
        <v>2004</v>
      </c>
    </row>
    <row r="563" spans="1:12" ht="15.95" customHeight="1">
      <c r="A563" s="23" t="s">
        <v>181</v>
      </c>
      <c r="B563" s="9">
        <v>245</v>
      </c>
      <c r="C563" s="11">
        <f>B561</f>
        <v>243</v>
      </c>
      <c r="D563" s="120" t="s">
        <v>848</v>
      </c>
      <c r="E563" s="225" t="s">
        <v>1152</v>
      </c>
      <c r="F563" s="225" t="s">
        <v>1190</v>
      </c>
      <c r="G563" s="225" t="s">
        <v>1585</v>
      </c>
      <c r="H563" s="225" t="s">
        <v>2005</v>
      </c>
      <c r="I563" s="193">
        <v>1869</v>
      </c>
      <c r="J563" s="225" t="s">
        <v>2003</v>
      </c>
      <c r="K563" s="193">
        <v>2005</v>
      </c>
      <c r="L563" s="225" t="s">
        <v>2004</v>
      </c>
    </row>
    <row r="564" spans="1:12" ht="12.75">
      <c r="A564" s="23" t="s">
        <v>181</v>
      </c>
      <c r="B564" s="41">
        <v>246</v>
      </c>
      <c r="C564" s="198">
        <f>B562</f>
        <v>244</v>
      </c>
      <c r="D564" s="120" t="s">
        <v>182</v>
      </c>
      <c r="E564" s="225" t="s">
        <v>1152</v>
      </c>
      <c r="F564" s="225" t="s">
        <v>1208</v>
      </c>
      <c r="G564" s="225" t="s">
        <v>1209</v>
      </c>
      <c r="H564" s="225" t="s">
        <v>2006</v>
      </c>
      <c r="I564" s="193">
        <v>1894</v>
      </c>
      <c r="J564" s="225" t="s">
        <v>2007</v>
      </c>
      <c r="K564" s="193">
        <v>2020</v>
      </c>
      <c r="L564" s="225" t="s">
        <v>2008</v>
      </c>
    </row>
    <row r="565" spans="1:12" ht="12.75">
      <c r="A565" s="23" t="s">
        <v>181</v>
      </c>
      <c r="B565" s="41">
        <v>247</v>
      </c>
      <c r="C565" s="198">
        <f>B562</f>
        <v>244</v>
      </c>
      <c r="D565" s="120" t="s">
        <v>2009</v>
      </c>
      <c r="E565" s="225" t="s">
        <v>1158</v>
      </c>
      <c r="F565" s="225" t="s">
        <v>1159</v>
      </c>
      <c r="G565" s="225" t="s">
        <v>1395</v>
      </c>
      <c r="H565" s="225" t="s">
        <v>2010</v>
      </c>
      <c r="I565" s="193">
        <v>1919</v>
      </c>
      <c r="J565" s="225" t="s">
        <v>2011</v>
      </c>
      <c r="K565" s="193">
        <v>2013</v>
      </c>
      <c r="L565" s="225" t="s">
        <v>2012</v>
      </c>
    </row>
    <row r="566" spans="1:12" ht="12.75">
      <c r="A566" s="23" t="s">
        <v>181</v>
      </c>
      <c r="B566" s="9">
        <v>248</v>
      </c>
      <c r="C566" s="198">
        <f>B562</f>
        <v>244</v>
      </c>
      <c r="D566" s="120" t="s">
        <v>2013</v>
      </c>
      <c r="E566" s="225" t="s">
        <v>1158</v>
      </c>
      <c r="F566" s="225" t="s">
        <v>1173</v>
      </c>
      <c r="G566" s="225" t="s">
        <v>1878</v>
      </c>
      <c r="H566" s="225" t="s">
        <v>2014</v>
      </c>
      <c r="I566" s="193">
        <v>1928</v>
      </c>
      <c r="J566" s="225" t="s">
        <v>2015</v>
      </c>
      <c r="K566" s="193">
        <v>2017</v>
      </c>
      <c r="L566" s="225" t="s">
        <v>2016</v>
      </c>
    </row>
    <row r="567" spans="1:12" ht="25.5">
      <c r="A567" s="23" t="s">
        <v>181</v>
      </c>
      <c r="B567" s="41">
        <v>249</v>
      </c>
      <c r="C567" s="198">
        <f>B562</f>
        <v>244</v>
      </c>
      <c r="D567" s="120" t="s">
        <v>2017</v>
      </c>
      <c r="E567" s="225" t="s">
        <v>1158</v>
      </c>
      <c r="F567" s="225" t="s">
        <v>1173</v>
      </c>
      <c r="G567" s="141" t="s">
        <v>1174</v>
      </c>
      <c r="H567" s="225" t="s">
        <v>2018</v>
      </c>
      <c r="I567" s="193">
        <v>1931</v>
      </c>
      <c r="J567" s="225" t="s">
        <v>2019</v>
      </c>
      <c r="K567" s="193">
        <v>1997</v>
      </c>
      <c r="L567" s="225" t="s">
        <v>2020</v>
      </c>
    </row>
    <row r="568" spans="1:12" ht="12.75">
      <c r="A568" s="23" t="s">
        <v>181</v>
      </c>
      <c r="B568" s="41">
        <v>250</v>
      </c>
      <c r="C568" s="198">
        <f>B567</f>
        <v>249</v>
      </c>
      <c r="D568" s="120" t="s">
        <v>848</v>
      </c>
      <c r="E568" s="225" t="s">
        <v>1152</v>
      </c>
      <c r="F568" s="225" t="s">
        <v>1190</v>
      </c>
      <c r="G568" s="225" t="s">
        <v>1585</v>
      </c>
      <c r="H568" s="225" t="s">
        <v>2021</v>
      </c>
      <c r="I568" s="193">
        <v>1931</v>
      </c>
      <c r="J568" s="225" t="s">
        <v>2019</v>
      </c>
      <c r="K568" s="193">
        <v>1997</v>
      </c>
      <c r="L568" s="225" t="s">
        <v>2020</v>
      </c>
    </row>
    <row r="569" spans="1:12" ht="12.75">
      <c r="A569" s="23" t="s">
        <v>198</v>
      </c>
      <c r="B569" s="9">
        <v>348</v>
      </c>
      <c r="C569" s="198"/>
      <c r="D569" s="184" t="s">
        <v>2351</v>
      </c>
      <c r="E569" s="225" t="s">
        <v>1153</v>
      </c>
      <c r="F569" s="225" t="s">
        <v>1153</v>
      </c>
      <c r="G569" s="225" t="s">
        <v>1154</v>
      </c>
      <c r="H569" s="225" t="s">
        <v>2352</v>
      </c>
      <c r="I569" s="193" t="s">
        <v>2353</v>
      </c>
      <c r="J569" s="225" t="s">
        <v>2354</v>
      </c>
      <c r="K569" s="207">
        <v>2016</v>
      </c>
      <c r="L569" s="174" t="s">
        <v>2355</v>
      </c>
    </row>
    <row r="570" spans="1:12" ht="12.75">
      <c r="A570" s="23" t="s">
        <v>198</v>
      </c>
      <c r="B570" s="41">
        <v>349</v>
      </c>
      <c r="C570" s="198">
        <f>B569</f>
        <v>348</v>
      </c>
      <c r="D570" s="184" t="s">
        <v>2351</v>
      </c>
      <c r="E570" s="225" t="s">
        <v>1152</v>
      </c>
      <c r="F570" s="225" t="s">
        <v>1169</v>
      </c>
      <c r="G570" s="225" t="s">
        <v>1367</v>
      </c>
      <c r="H570" s="225" t="s">
        <v>2356</v>
      </c>
      <c r="I570" s="193">
        <v>1770</v>
      </c>
      <c r="J570" s="225" t="s">
        <v>2357</v>
      </c>
      <c r="K570" s="193">
        <v>2017</v>
      </c>
      <c r="L570" s="225" t="s">
        <v>2358</v>
      </c>
    </row>
    <row r="571" spans="1:12" ht="12.75">
      <c r="A571" s="23" t="s">
        <v>198</v>
      </c>
      <c r="B571" s="41">
        <v>350</v>
      </c>
      <c r="C571" s="182">
        <f>B570</f>
        <v>349</v>
      </c>
      <c r="D571" s="184" t="s">
        <v>2351</v>
      </c>
      <c r="E571" s="107" t="s">
        <v>1152</v>
      </c>
      <c r="F571" s="207" t="s">
        <v>1169</v>
      </c>
      <c r="G571" s="225" t="s">
        <v>1367</v>
      </c>
      <c r="H571" s="107" t="s">
        <v>2359</v>
      </c>
      <c r="I571" s="207">
        <v>1792</v>
      </c>
      <c r="J571" s="62" t="s">
        <v>2360</v>
      </c>
      <c r="K571" s="102">
        <v>2020</v>
      </c>
      <c r="L571" s="62" t="s">
        <v>2361</v>
      </c>
    </row>
    <row r="572" spans="1:12" ht="13.15" customHeight="1">
      <c r="A572" s="182" t="s">
        <v>244</v>
      </c>
      <c r="B572" s="9">
        <v>435</v>
      </c>
      <c r="C572" s="182"/>
      <c r="D572" s="29" t="s">
        <v>2632</v>
      </c>
      <c r="E572" s="107" t="s">
        <v>1153</v>
      </c>
      <c r="F572" s="107" t="s">
        <v>1153</v>
      </c>
      <c r="G572" s="107" t="s">
        <v>1154</v>
      </c>
      <c r="H572" s="107" t="s">
        <v>2633</v>
      </c>
      <c r="I572" s="72" t="s">
        <v>2198</v>
      </c>
      <c r="J572" s="62" t="s">
        <v>2634</v>
      </c>
      <c r="K572" s="124">
        <v>2004</v>
      </c>
      <c r="L572" s="62" t="s">
        <v>2635</v>
      </c>
    </row>
    <row r="573" spans="1:12" ht="14.45" customHeight="1">
      <c r="A573" s="182" t="s">
        <v>244</v>
      </c>
      <c r="B573" s="41">
        <v>436</v>
      </c>
      <c r="C573" s="182">
        <f>B572</f>
        <v>435</v>
      </c>
      <c r="D573" s="29" t="s">
        <v>2636</v>
      </c>
      <c r="E573" s="107" t="s">
        <v>1158</v>
      </c>
      <c r="F573" s="107" t="s">
        <v>1159</v>
      </c>
      <c r="G573" s="317" t="s">
        <v>4309</v>
      </c>
      <c r="H573" s="107" t="s">
        <v>2637</v>
      </c>
      <c r="I573" s="72">
        <v>1789</v>
      </c>
      <c r="J573" s="62" t="s">
        <v>2638</v>
      </c>
      <c r="K573" s="72">
        <v>2018</v>
      </c>
      <c r="L573" s="62" t="s">
        <v>2639</v>
      </c>
    </row>
    <row r="574" spans="1:12" ht="13.15" customHeight="1">
      <c r="A574" s="182" t="s">
        <v>244</v>
      </c>
      <c r="B574" s="41">
        <v>437</v>
      </c>
      <c r="C574" s="11">
        <f>B572</f>
        <v>435</v>
      </c>
      <c r="D574" s="29" t="s">
        <v>2636</v>
      </c>
      <c r="E574" s="107" t="s">
        <v>1152</v>
      </c>
      <c r="F574" s="107" t="s">
        <v>1169</v>
      </c>
      <c r="G574" s="107" t="s">
        <v>1170</v>
      </c>
      <c r="H574" s="79" t="s">
        <v>2637</v>
      </c>
      <c r="I574" s="72">
        <v>1789</v>
      </c>
      <c r="J574" s="62" t="s">
        <v>2638</v>
      </c>
      <c r="K574" s="72">
        <v>2018</v>
      </c>
      <c r="L574" s="62" t="s">
        <v>2639</v>
      </c>
    </row>
    <row r="575" spans="1:12" ht="12.75">
      <c r="A575" s="182" t="s">
        <v>244</v>
      </c>
      <c r="B575" s="9">
        <v>438</v>
      </c>
      <c r="C575" s="11" t="str">
        <f>CONCATENATE(B572,", ",B573,", ",B574)</f>
        <v>435, 436, 437</v>
      </c>
      <c r="D575" s="29" t="s">
        <v>2640</v>
      </c>
      <c r="E575" s="107" t="s">
        <v>1158</v>
      </c>
      <c r="F575" s="107" t="s">
        <v>1159</v>
      </c>
      <c r="G575" s="107" t="s">
        <v>1165</v>
      </c>
      <c r="H575" s="79" t="s">
        <v>2641</v>
      </c>
      <c r="I575" s="72">
        <v>1789</v>
      </c>
      <c r="J575" s="107" t="s">
        <v>2642</v>
      </c>
      <c r="K575" s="72">
        <v>2018</v>
      </c>
      <c r="L575" s="107" t="s">
        <v>2639</v>
      </c>
    </row>
    <row r="576" spans="1:12" ht="12.75">
      <c r="A576" s="182" t="s">
        <v>244</v>
      </c>
      <c r="B576" s="41">
        <v>439</v>
      </c>
      <c r="C576" s="11" t="str">
        <f>CONCATENATE(B575,", ",B573,", ",B574)</f>
        <v>438, 436, 437</v>
      </c>
      <c r="D576" s="29" t="s">
        <v>2643</v>
      </c>
      <c r="E576" s="107" t="s">
        <v>1158</v>
      </c>
      <c r="F576" s="79" t="s">
        <v>1159</v>
      </c>
      <c r="G576" s="79" t="s">
        <v>1395</v>
      </c>
      <c r="H576" s="79" t="s">
        <v>2644</v>
      </c>
      <c r="I576" s="72">
        <v>1835</v>
      </c>
      <c r="J576" s="82" t="s">
        <v>2645</v>
      </c>
      <c r="K576" s="98">
        <v>2017</v>
      </c>
      <c r="L576" s="107" t="s">
        <v>2646</v>
      </c>
    </row>
    <row r="577" spans="1:12" ht="12.75">
      <c r="A577" s="182" t="s">
        <v>244</v>
      </c>
      <c r="B577" s="41">
        <v>440</v>
      </c>
      <c r="C577" s="11" t="str">
        <f>CONCATENATE(B575,", ",B576)</f>
        <v>438, 439</v>
      </c>
      <c r="D577" s="29" t="s">
        <v>245</v>
      </c>
      <c r="E577" s="79" t="s">
        <v>1152</v>
      </c>
      <c r="F577" s="79" t="s">
        <v>1169</v>
      </c>
      <c r="G577" s="107" t="s">
        <v>1367</v>
      </c>
      <c r="H577" s="79" t="s">
        <v>2647</v>
      </c>
      <c r="I577" s="98">
        <v>1882</v>
      </c>
      <c r="J577" s="82" t="s">
        <v>2648</v>
      </c>
      <c r="K577" s="72">
        <v>2007</v>
      </c>
      <c r="L577" s="107" t="s">
        <v>2649</v>
      </c>
    </row>
    <row r="578" spans="1:12" ht="12.75">
      <c r="A578" s="180" t="s">
        <v>282</v>
      </c>
      <c r="B578" s="9">
        <v>515</v>
      </c>
      <c r="C578" s="180"/>
      <c r="D578" s="201" t="s">
        <v>2880</v>
      </c>
      <c r="E578" s="181" t="s">
        <v>1153</v>
      </c>
      <c r="F578" s="181" t="s">
        <v>1153</v>
      </c>
      <c r="G578" s="181" t="s">
        <v>1186</v>
      </c>
      <c r="H578" s="181" t="s">
        <v>2881</v>
      </c>
      <c r="I578" s="165">
        <v>1869</v>
      </c>
      <c r="J578" s="82" t="s">
        <v>2882</v>
      </c>
      <c r="K578" s="165">
        <v>2015</v>
      </c>
      <c r="L578" s="123" t="s">
        <v>2883</v>
      </c>
    </row>
    <row r="579" spans="1:12" ht="13.15" customHeight="1">
      <c r="A579" s="180" t="s">
        <v>282</v>
      </c>
      <c r="B579" s="41">
        <v>516</v>
      </c>
      <c r="C579" s="118">
        <f>B578</f>
        <v>515</v>
      </c>
      <c r="D579" s="201" t="s">
        <v>2880</v>
      </c>
      <c r="E579" s="181" t="s">
        <v>1152</v>
      </c>
      <c r="F579" s="181" t="s">
        <v>1190</v>
      </c>
      <c r="G579" s="181" t="s">
        <v>1494</v>
      </c>
      <c r="H579" s="181" t="s">
        <v>2884</v>
      </c>
      <c r="I579" s="72" t="s">
        <v>2885</v>
      </c>
      <c r="J579" s="181" t="s">
        <v>2886</v>
      </c>
      <c r="K579" s="165">
        <v>2014</v>
      </c>
      <c r="L579" s="181" t="s">
        <v>2887</v>
      </c>
    </row>
    <row r="580" spans="1:12" ht="13.15" customHeight="1">
      <c r="A580" s="180" t="s">
        <v>282</v>
      </c>
      <c r="B580" s="41">
        <v>517</v>
      </c>
      <c r="C580" s="118">
        <f>B579</f>
        <v>516</v>
      </c>
      <c r="D580" s="29" t="s">
        <v>2888</v>
      </c>
      <c r="E580" s="107" t="s">
        <v>1158</v>
      </c>
      <c r="F580" s="107" t="s">
        <v>1214</v>
      </c>
      <c r="G580" s="107" t="s">
        <v>1215</v>
      </c>
      <c r="H580" s="79" t="s">
        <v>2889</v>
      </c>
      <c r="I580" s="72">
        <v>1894</v>
      </c>
      <c r="J580" s="107" t="s">
        <v>2890</v>
      </c>
      <c r="K580" s="72">
        <v>2014</v>
      </c>
      <c r="L580" s="107" t="s">
        <v>2891</v>
      </c>
    </row>
    <row r="581" spans="1:12" ht="12.75">
      <c r="A581" s="180" t="s">
        <v>282</v>
      </c>
      <c r="B581" s="9">
        <v>518</v>
      </c>
      <c r="C581" s="180" t="str">
        <f>CONCATENATE(B580, ", ", B579)</f>
        <v>517, 516</v>
      </c>
      <c r="D581" s="201" t="s">
        <v>2892</v>
      </c>
      <c r="E581" s="181" t="s">
        <v>1152</v>
      </c>
      <c r="F581" s="181" t="s">
        <v>1190</v>
      </c>
      <c r="G581" s="181" t="s">
        <v>1191</v>
      </c>
      <c r="H581" s="181" t="s">
        <v>2893</v>
      </c>
      <c r="I581" s="165" t="s">
        <v>2894</v>
      </c>
      <c r="J581" s="62" t="s">
        <v>2895</v>
      </c>
      <c r="K581" s="165">
        <v>2011</v>
      </c>
      <c r="L581" s="181" t="s">
        <v>2896</v>
      </c>
    </row>
    <row r="582" spans="1:12" ht="12.75">
      <c r="A582" s="180" t="s">
        <v>276</v>
      </c>
      <c r="B582" s="41">
        <v>508</v>
      </c>
      <c r="C582" s="180"/>
      <c r="D582" s="201" t="s">
        <v>836</v>
      </c>
      <c r="E582" s="181" t="s">
        <v>1153</v>
      </c>
      <c r="F582" s="181" t="s">
        <v>1153</v>
      </c>
      <c r="G582" s="181" t="s">
        <v>1154</v>
      </c>
      <c r="H582" s="181" t="s">
        <v>2855</v>
      </c>
      <c r="I582" s="165">
        <v>1724</v>
      </c>
      <c r="J582" s="181" t="s">
        <v>2856</v>
      </c>
      <c r="K582" s="165">
        <v>2020</v>
      </c>
      <c r="L582" s="181" t="s">
        <v>2857</v>
      </c>
    </row>
    <row r="583" spans="1:12" ht="12.75">
      <c r="A583" s="180" t="s">
        <v>276</v>
      </c>
      <c r="B583" s="41">
        <v>509</v>
      </c>
      <c r="C583" s="180">
        <f>B582</f>
        <v>508</v>
      </c>
      <c r="D583" s="201" t="s">
        <v>836</v>
      </c>
      <c r="E583" s="181" t="s">
        <v>1152</v>
      </c>
      <c r="F583" s="181" t="s">
        <v>1169</v>
      </c>
      <c r="G583" s="126" t="s">
        <v>1297</v>
      </c>
      <c r="H583" s="181" t="s">
        <v>2858</v>
      </c>
      <c r="I583" s="165" t="s">
        <v>2859</v>
      </c>
      <c r="J583" s="181" t="s">
        <v>2860</v>
      </c>
      <c r="K583" s="165">
        <v>2015</v>
      </c>
      <c r="L583" s="107" t="s">
        <v>2861</v>
      </c>
    </row>
    <row r="584" spans="1:12" ht="12.75">
      <c r="A584" s="180" t="s">
        <v>276</v>
      </c>
      <c r="B584" s="9">
        <v>510</v>
      </c>
      <c r="C584" s="180">
        <f>B583</f>
        <v>509</v>
      </c>
      <c r="D584" s="201" t="s">
        <v>836</v>
      </c>
      <c r="E584" s="181" t="s">
        <v>1152</v>
      </c>
      <c r="F584" s="181" t="s">
        <v>1169</v>
      </c>
      <c r="G584" s="181" t="s">
        <v>1367</v>
      </c>
      <c r="H584" s="181" t="s">
        <v>2862</v>
      </c>
      <c r="I584" s="165">
        <v>1773</v>
      </c>
      <c r="J584" s="181" t="s">
        <v>2863</v>
      </c>
      <c r="K584" s="165">
        <v>2019</v>
      </c>
      <c r="L584" s="181" t="s">
        <v>2864</v>
      </c>
    </row>
    <row r="585" spans="1:12" ht="12.6" customHeight="1">
      <c r="A585" s="23" t="s">
        <v>371</v>
      </c>
      <c r="B585" s="41">
        <v>814</v>
      </c>
      <c r="C585" s="198"/>
      <c r="D585" s="120" t="s">
        <v>3719</v>
      </c>
      <c r="E585" s="191" t="s">
        <v>1153</v>
      </c>
      <c r="F585" s="201" t="s">
        <v>1153</v>
      </c>
      <c r="G585" s="201" t="s">
        <v>1186</v>
      </c>
      <c r="H585" s="246" t="s">
        <v>3720</v>
      </c>
      <c r="I585" s="120" t="s">
        <v>3721</v>
      </c>
      <c r="J585" s="246" t="s">
        <v>3722</v>
      </c>
      <c r="K585" s="246" t="s">
        <v>3723</v>
      </c>
      <c r="L585" s="246" t="s">
        <v>3724</v>
      </c>
    </row>
    <row r="586" spans="1:12" ht="12.75">
      <c r="A586" s="23" t="s">
        <v>371</v>
      </c>
      <c r="B586" s="41">
        <v>815</v>
      </c>
      <c r="C586" s="198">
        <f>B585</f>
        <v>814</v>
      </c>
      <c r="D586" s="120" t="s">
        <v>3725</v>
      </c>
      <c r="E586" s="191" t="s">
        <v>1158</v>
      </c>
      <c r="F586" s="201" t="s">
        <v>1159</v>
      </c>
      <c r="G586" s="201" t="s">
        <v>1165</v>
      </c>
      <c r="H586" s="246" t="s">
        <v>3726</v>
      </c>
      <c r="I586" s="198">
        <v>1871</v>
      </c>
      <c r="J586" s="246" t="s">
        <v>3727</v>
      </c>
      <c r="K586" s="246">
        <v>2019</v>
      </c>
      <c r="L586" s="246" t="s">
        <v>3728</v>
      </c>
    </row>
    <row r="587" spans="1:12" ht="12.75">
      <c r="A587" s="23" t="s">
        <v>371</v>
      </c>
      <c r="B587" s="9">
        <v>816</v>
      </c>
      <c r="C587" s="198">
        <f>B586</f>
        <v>815</v>
      </c>
      <c r="D587" s="120" t="s">
        <v>3729</v>
      </c>
      <c r="E587" s="191" t="s">
        <v>1158</v>
      </c>
      <c r="F587" s="201" t="s">
        <v>1173</v>
      </c>
      <c r="G587" s="201" t="s">
        <v>1174</v>
      </c>
      <c r="H587" s="246" t="s">
        <v>3730</v>
      </c>
      <c r="I587" s="198">
        <v>1875</v>
      </c>
      <c r="J587" s="246" t="s">
        <v>3731</v>
      </c>
      <c r="K587" s="246">
        <v>2015</v>
      </c>
      <c r="L587" s="246" t="s">
        <v>3732</v>
      </c>
    </row>
    <row r="588" spans="1:12" ht="17.25" customHeight="1">
      <c r="A588" s="182" t="s">
        <v>34</v>
      </c>
      <c r="B588" s="9">
        <v>398</v>
      </c>
      <c r="C588" s="11"/>
      <c r="D588" s="29" t="s">
        <v>2517</v>
      </c>
      <c r="E588" s="79" t="s">
        <v>1153</v>
      </c>
      <c r="F588" s="79" t="s">
        <v>1153</v>
      </c>
      <c r="G588" s="107" t="s">
        <v>1154</v>
      </c>
      <c r="H588" s="79" t="s">
        <v>2518</v>
      </c>
      <c r="I588" s="165" t="s">
        <v>2519</v>
      </c>
      <c r="J588" s="189" t="s">
        <v>2520</v>
      </c>
      <c r="K588" s="165" t="s">
        <v>2519</v>
      </c>
      <c r="L588" s="189" t="s">
        <v>2520</v>
      </c>
    </row>
    <row r="589" spans="1:12" ht="12.75">
      <c r="A589" s="182" t="s">
        <v>34</v>
      </c>
      <c r="B589" s="41">
        <v>399</v>
      </c>
      <c r="C589" s="11">
        <f>B588</f>
        <v>398</v>
      </c>
      <c r="D589" s="29" t="s">
        <v>2521</v>
      </c>
      <c r="E589" s="166" t="s">
        <v>1158</v>
      </c>
      <c r="F589" s="166" t="s">
        <v>1159</v>
      </c>
      <c r="G589" s="115" t="s">
        <v>1267</v>
      </c>
      <c r="H589" s="79" t="s">
        <v>2522</v>
      </c>
      <c r="I589" s="72">
        <v>1830</v>
      </c>
      <c r="J589" s="189" t="s">
        <v>2523</v>
      </c>
      <c r="K589" s="156">
        <v>2023</v>
      </c>
      <c r="L589" s="189" t="s">
        <v>2524</v>
      </c>
    </row>
    <row r="590" spans="1:12" ht="12.75">
      <c r="A590" s="182" t="s">
        <v>34</v>
      </c>
      <c r="B590" s="41">
        <v>400</v>
      </c>
      <c r="C590" s="9">
        <f>B589</f>
        <v>399</v>
      </c>
      <c r="D590" s="29" t="s">
        <v>2525</v>
      </c>
      <c r="E590" s="166" t="s">
        <v>1158</v>
      </c>
      <c r="F590" s="166" t="s">
        <v>1159</v>
      </c>
      <c r="G590" s="107" t="s">
        <v>1267</v>
      </c>
      <c r="H590" s="181" t="s">
        <v>2526</v>
      </c>
      <c r="I590" s="72">
        <v>1868</v>
      </c>
      <c r="J590" s="189" t="s">
        <v>2527</v>
      </c>
      <c r="K590" s="72">
        <v>1974</v>
      </c>
      <c r="L590" s="189" t="s">
        <v>2528</v>
      </c>
    </row>
    <row r="591" spans="1:12" ht="12.75">
      <c r="A591" s="182" t="s">
        <v>34</v>
      </c>
      <c r="B591" s="9">
        <v>401</v>
      </c>
      <c r="C591" s="11">
        <f>B590</f>
        <v>400</v>
      </c>
      <c r="D591" s="29" t="s">
        <v>2529</v>
      </c>
      <c r="E591" s="166" t="s">
        <v>1158</v>
      </c>
      <c r="F591" s="166" t="s">
        <v>1159</v>
      </c>
      <c r="G591" s="107" t="s">
        <v>1267</v>
      </c>
      <c r="H591" s="79" t="s">
        <v>2530</v>
      </c>
      <c r="I591" s="72">
        <v>1881</v>
      </c>
      <c r="J591" s="189" t="s">
        <v>2531</v>
      </c>
      <c r="K591" s="72">
        <v>1936</v>
      </c>
      <c r="L591" s="189" t="s">
        <v>2532</v>
      </c>
    </row>
    <row r="592" spans="1:12" ht="12.75">
      <c r="A592" s="182" t="s">
        <v>34</v>
      </c>
      <c r="B592" s="41">
        <v>402</v>
      </c>
      <c r="C592" s="11">
        <f>B588</f>
        <v>398</v>
      </c>
      <c r="D592" s="201" t="s">
        <v>2533</v>
      </c>
      <c r="E592" s="181" t="s">
        <v>1158</v>
      </c>
      <c r="F592" s="181" t="s">
        <v>1173</v>
      </c>
      <c r="G592" s="107" t="s">
        <v>1165</v>
      </c>
      <c r="H592" s="79" t="s">
        <v>2534</v>
      </c>
      <c r="I592" s="72" t="s">
        <v>2535</v>
      </c>
      <c r="J592" s="189" t="s">
        <v>2536</v>
      </c>
      <c r="K592" s="72">
        <v>2022</v>
      </c>
      <c r="L592" s="167" t="s">
        <v>2537</v>
      </c>
    </row>
    <row r="593" spans="1:12" ht="12.75">
      <c r="A593" s="182" t="s">
        <v>34</v>
      </c>
      <c r="B593" s="41">
        <v>403</v>
      </c>
      <c r="C593" s="11">
        <f>B588</f>
        <v>398</v>
      </c>
      <c r="D593" s="29" t="s">
        <v>2538</v>
      </c>
      <c r="E593" s="181" t="s">
        <v>1158</v>
      </c>
      <c r="F593" s="181" t="s">
        <v>1173</v>
      </c>
      <c r="G593" s="70" t="s">
        <v>1250</v>
      </c>
      <c r="H593" s="79" t="s">
        <v>2539</v>
      </c>
      <c r="I593" s="72">
        <v>1830</v>
      </c>
      <c r="J593" s="189" t="s">
        <v>2523</v>
      </c>
      <c r="K593" s="72">
        <v>2023</v>
      </c>
      <c r="L593" s="189" t="s">
        <v>2524</v>
      </c>
    </row>
    <row r="594" spans="1:12" ht="12.75">
      <c r="A594" s="182" t="s">
        <v>34</v>
      </c>
      <c r="B594" s="9">
        <v>404</v>
      </c>
      <c r="C594" s="11">
        <f>B588</f>
        <v>398</v>
      </c>
      <c r="D594" s="188" t="s">
        <v>2540</v>
      </c>
      <c r="E594" s="166" t="s">
        <v>1152</v>
      </c>
      <c r="F594" s="166" t="s">
        <v>1169</v>
      </c>
      <c r="G594" s="107" t="s">
        <v>1170</v>
      </c>
      <c r="H594" s="79" t="s">
        <v>2541</v>
      </c>
      <c r="I594" s="72">
        <v>1865</v>
      </c>
      <c r="J594" s="189" t="s">
        <v>2542</v>
      </c>
      <c r="K594" s="72">
        <v>2018</v>
      </c>
      <c r="L594" s="189" t="s">
        <v>2543</v>
      </c>
    </row>
    <row r="595" spans="1:12" ht="12.75">
      <c r="A595" s="182" t="s">
        <v>34</v>
      </c>
      <c r="B595" s="41">
        <v>405</v>
      </c>
      <c r="C595" s="11">
        <f>B593</f>
        <v>403</v>
      </c>
      <c r="D595" s="29" t="s">
        <v>2544</v>
      </c>
      <c r="E595" s="166" t="s">
        <v>1158</v>
      </c>
      <c r="F595" s="166" t="s">
        <v>1159</v>
      </c>
      <c r="G595" s="107" t="s">
        <v>1165</v>
      </c>
      <c r="H595" s="79" t="s">
        <v>2545</v>
      </c>
      <c r="I595" s="72">
        <v>1869</v>
      </c>
      <c r="J595" s="189" t="s">
        <v>2546</v>
      </c>
      <c r="K595" s="72">
        <v>2015</v>
      </c>
      <c r="L595" s="189" t="s">
        <v>2547</v>
      </c>
    </row>
    <row r="596" spans="1:12" ht="12.75">
      <c r="A596" s="182" t="s">
        <v>34</v>
      </c>
      <c r="B596" s="41">
        <v>406</v>
      </c>
      <c r="C596" s="11">
        <f>B588</f>
        <v>398</v>
      </c>
      <c r="D596" s="188" t="s">
        <v>2540</v>
      </c>
      <c r="E596" s="166" t="s">
        <v>1152</v>
      </c>
      <c r="F596" s="166" t="s">
        <v>1169</v>
      </c>
      <c r="G596" s="107" t="s">
        <v>1367</v>
      </c>
      <c r="H596" s="79" t="s">
        <v>2548</v>
      </c>
      <c r="I596" s="72">
        <v>1957</v>
      </c>
      <c r="J596" s="62" t="s">
        <v>2549</v>
      </c>
      <c r="K596" s="72">
        <v>2007</v>
      </c>
      <c r="L596" s="189" t="s">
        <v>2550</v>
      </c>
    </row>
    <row r="597" spans="1:12" ht="12.75">
      <c r="A597" s="182" t="s">
        <v>34</v>
      </c>
      <c r="B597" s="9">
        <v>407</v>
      </c>
      <c r="C597" s="11">
        <f>B588</f>
        <v>398</v>
      </c>
      <c r="D597" s="16" t="s">
        <v>2551</v>
      </c>
      <c r="E597" s="126" t="s">
        <v>1158</v>
      </c>
      <c r="F597" s="181" t="s">
        <v>1173</v>
      </c>
      <c r="G597" s="107" t="s">
        <v>1472</v>
      </c>
      <c r="H597" s="107" t="s">
        <v>2552</v>
      </c>
      <c r="I597" s="72">
        <v>1884</v>
      </c>
      <c r="J597" s="189" t="s">
        <v>2553</v>
      </c>
      <c r="K597" s="72">
        <v>2020</v>
      </c>
      <c r="L597" s="189" t="s">
        <v>2554</v>
      </c>
    </row>
    <row r="598" spans="1:12" ht="12.75">
      <c r="A598" s="180" t="s">
        <v>36</v>
      </c>
      <c r="B598" s="41">
        <v>590</v>
      </c>
      <c r="C598" s="180"/>
      <c r="D598" s="201" t="s">
        <v>749</v>
      </c>
      <c r="E598" s="107" t="s">
        <v>1153</v>
      </c>
      <c r="F598" s="166" t="s">
        <v>1153</v>
      </c>
      <c r="G598" s="107" t="s">
        <v>1154</v>
      </c>
      <c r="H598" s="181" t="s">
        <v>2599</v>
      </c>
      <c r="I598" s="165" t="s">
        <v>2313</v>
      </c>
      <c r="J598" s="181" t="s">
        <v>3089</v>
      </c>
      <c r="K598" s="165">
        <v>2011</v>
      </c>
      <c r="L598" s="181" t="s">
        <v>3090</v>
      </c>
    </row>
    <row r="599" spans="1:12" ht="13.15" customHeight="1">
      <c r="A599" s="180" t="s">
        <v>36</v>
      </c>
      <c r="B599" s="41">
        <v>591</v>
      </c>
      <c r="C599" s="118">
        <f>B598</f>
        <v>590</v>
      </c>
      <c r="D599" s="188" t="s">
        <v>3091</v>
      </c>
      <c r="E599" s="126" t="s">
        <v>1158</v>
      </c>
      <c r="F599" s="126" t="s">
        <v>1159</v>
      </c>
      <c r="G599" s="107" t="s">
        <v>1165</v>
      </c>
      <c r="H599" s="181" t="s">
        <v>3092</v>
      </c>
      <c r="I599" s="165">
        <v>1795</v>
      </c>
      <c r="J599" s="211" t="s">
        <v>3093</v>
      </c>
      <c r="K599" s="165">
        <v>2012</v>
      </c>
      <c r="L599" s="88" t="s">
        <v>3094</v>
      </c>
    </row>
    <row r="600" spans="1:12" ht="13.15" customHeight="1">
      <c r="A600" s="180" t="s">
        <v>36</v>
      </c>
      <c r="B600" s="9">
        <v>592</v>
      </c>
      <c r="C600" s="118">
        <f>B598</f>
        <v>590</v>
      </c>
      <c r="D600" s="188" t="s">
        <v>3091</v>
      </c>
      <c r="E600" s="166" t="s">
        <v>1152</v>
      </c>
      <c r="F600" s="166" t="s">
        <v>1169</v>
      </c>
      <c r="G600" s="79" t="s">
        <v>1170</v>
      </c>
      <c r="H600" s="181" t="s">
        <v>3092</v>
      </c>
      <c r="I600" s="165">
        <v>1795</v>
      </c>
      <c r="J600" s="181" t="s">
        <v>3093</v>
      </c>
      <c r="K600" s="165">
        <v>2012</v>
      </c>
      <c r="L600" s="181" t="s">
        <v>3094</v>
      </c>
    </row>
    <row r="601" spans="1:12" ht="13.15" customHeight="1">
      <c r="A601" s="180" t="s">
        <v>36</v>
      </c>
      <c r="B601" s="41">
        <v>593</v>
      </c>
      <c r="C601" s="180" t="str">
        <f>CONCATENATE(B600,", ",B599)</f>
        <v>592, 591</v>
      </c>
      <c r="D601" s="201" t="s">
        <v>3095</v>
      </c>
      <c r="E601" s="126" t="s">
        <v>1158</v>
      </c>
      <c r="F601" s="128" t="s">
        <v>1159</v>
      </c>
      <c r="G601" s="79" t="s">
        <v>1267</v>
      </c>
      <c r="H601" s="181" t="s">
        <v>3096</v>
      </c>
      <c r="I601" s="165">
        <v>1830</v>
      </c>
      <c r="J601" s="181" t="s">
        <v>3097</v>
      </c>
      <c r="K601" s="165">
        <v>2019</v>
      </c>
      <c r="L601" s="181" t="s">
        <v>3098</v>
      </c>
    </row>
    <row r="602" spans="1:12" ht="12.75">
      <c r="A602" s="180" t="s">
        <v>36</v>
      </c>
      <c r="B602" s="41">
        <v>594</v>
      </c>
      <c r="C602" s="180" t="str">
        <f>CONCATENATE(B600,", ",B599)</f>
        <v>592, 591</v>
      </c>
      <c r="D602" s="201" t="s">
        <v>3095</v>
      </c>
      <c r="E602" s="166" t="s">
        <v>1152</v>
      </c>
      <c r="F602" s="166" t="s">
        <v>1169</v>
      </c>
      <c r="G602" s="79" t="s">
        <v>1367</v>
      </c>
      <c r="H602" s="181" t="s">
        <v>3096</v>
      </c>
      <c r="I602" s="165">
        <v>1830</v>
      </c>
      <c r="J602" s="181" t="s">
        <v>3097</v>
      </c>
      <c r="K602" s="165">
        <v>2019</v>
      </c>
      <c r="L602" s="88" t="s">
        <v>3098</v>
      </c>
    </row>
    <row r="603" spans="1:12" ht="12.75">
      <c r="A603" s="180" t="s">
        <v>36</v>
      </c>
      <c r="B603" s="9">
        <v>595</v>
      </c>
      <c r="C603" s="180" t="str">
        <f>CONCATENATE(B601,", ",B602)</f>
        <v>593, 594</v>
      </c>
      <c r="D603" s="201" t="s">
        <v>3099</v>
      </c>
      <c r="E603" s="166" t="s">
        <v>1158</v>
      </c>
      <c r="F603" s="166" t="s">
        <v>1159</v>
      </c>
      <c r="G603" s="107" t="s">
        <v>1160</v>
      </c>
      <c r="H603" s="181" t="s">
        <v>3100</v>
      </c>
      <c r="I603" s="165" t="s">
        <v>3101</v>
      </c>
      <c r="J603" s="181" t="s">
        <v>3102</v>
      </c>
      <c r="K603" s="165">
        <v>2019</v>
      </c>
      <c r="L603" s="181" t="s">
        <v>3103</v>
      </c>
    </row>
    <row r="604" spans="1:12" ht="12.75">
      <c r="A604" s="180" t="s">
        <v>36</v>
      </c>
      <c r="B604" s="41">
        <v>596</v>
      </c>
      <c r="C604" s="11">
        <f>B603</f>
        <v>595</v>
      </c>
      <c r="D604" s="201" t="s">
        <v>3099</v>
      </c>
      <c r="E604" s="183" t="s">
        <v>1152</v>
      </c>
      <c r="F604" s="183" t="s">
        <v>1208</v>
      </c>
      <c r="G604" s="107" t="s">
        <v>1402</v>
      </c>
      <c r="H604" s="107" t="s">
        <v>3104</v>
      </c>
      <c r="I604" s="124">
        <v>1922</v>
      </c>
      <c r="J604" s="107" t="s">
        <v>3105</v>
      </c>
      <c r="K604" s="124">
        <v>2003</v>
      </c>
      <c r="L604" s="107" t="s">
        <v>3106</v>
      </c>
    </row>
    <row r="605" spans="1:12" ht="12.75">
      <c r="A605" s="182" t="s">
        <v>240</v>
      </c>
      <c r="B605" s="41">
        <v>408</v>
      </c>
      <c r="C605" s="182"/>
      <c r="D605" s="201" t="s">
        <v>2555</v>
      </c>
      <c r="E605" s="181" t="s">
        <v>1153</v>
      </c>
      <c r="F605" s="181" t="s">
        <v>1153</v>
      </c>
      <c r="G605" s="107" t="s">
        <v>1154</v>
      </c>
      <c r="H605" s="181" t="s">
        <v>2556</v>
      </c>
      <c r="I605" s="165">
        <v>1830</v>
      </c>
      <c r="J605" s="181" t="s">
        <v>2557</v>
      </c>
      <c r="K605" s="165">
        <v>2007</v>
      </c>
      <c r="L605" s="181" t="s">
        <v>2558</v>
      </c>
    </row>
    <row r="606" spans="1:12" ht="12.75">
      <c r="A606" s="182" t="s">
        <v>240</v>
      </c>
      <c r="B606" s="9">
        <v>409</v>
      </c>
      <c r="C606" s="182">
        <f>B605</f>
        <v>408</v>
      </c>
      <c r="D606" s="188" t="s">
        <v>2559</v>
      </c>
      <c r="E606" s="181" t="s">
        <v>1152</v>
      </c>
      <c r="F606" s="181" t="s">
        <v>1169</v>
      </c>
      <c r="G606" s="181" t="s">
        <v>1170</v>
      </c>
      <c r="H606" s="181" t="s">
        <v>2560</v>
      </c>
      <c r="I606" s="165">
        <v>1847</v>
      </c>
      <c r="J606" s="181" t="s">
        <v>2561</v>
      </c>
      <c r="K606" s="165">
        <v>2023</v>
      </c>
      <c r="L606" s="181" t="s">
        <v>2562</v>
      </c>
    </row>
    <row r="607" spans="1:12" ht="12.75">
      <c r="A607" s="182" t="s">
        <v>240</v>
      </c>
      <c r="B607" s="41">
        <v>410</v>
      </c>
      <c r="C607" s="11">
        <f>B605</f>
        <v>408</v>
      </c>
      <c r="D607" s="201" t="s">
        <v>2563</v>
      </c>
      <c r="E607" s="181" t="s">
        <v>1158</v>
      </c>
      <c r="F607" s="181" t="s">
        <v>1173</v>
      </c>
      <c r="G607" s="70" t="s">
        <v>1250</v>
      </c>
      <c r="H607" s="181" t="s">
        <v>2564</v>
      </c>
      <c r="I607" s="165">
        <v>1847</v>
      </c>
      <c r="J607" s="181" t="s">
        <v>2561</v>
      </c>
      <c r="K607" s="165">
        <v>2023</v>
      </c>
      <c r="L607" s="181" t="s">
        <v>2562</v>
      </c>
    </row>
    <row r="608" spans="1:12" ht="12.75">
      <c r="A608" s="182" t="s">
        <v>240</v>
      </c>
      <c r="B608" s="41">
        <v>411</v>
      </c>
      <c r="C608" s="182" t="str">
        <f>CONCATENATE(B606,", ",B607)</f>
        <v>409, 410</v>
      </c>
      <c r="D608" s="201" t="s">
        <v>2559</v>
      </c>
      <c r="E608" s="181" t="s">
        <v>1152</v>
      </c>
      <c r="F608" s="181" t="s">
        <v>1169</v>
      </c>
      <c r="G608" s="181" t="s">
        <v>1170</v>
      </c>
      <c r="H608" s="181" t="s">
        <v>2565</v>
      </c>
      <c r="I608" s="165">
        <v>1896</v>
      </c>
      <c r="J608" s="181" t="s">
        <v>2566</v>
      </c>
      <c r="K608" s="165">
        <v>2023</v>
      </c>
      <c r="L608" s="181" t="s">
        <v>2567</v>
      </c>
    </row>
    <row r="609" spans="1:12" ht="12.75">
      <c r="A609" s="182" t="s">
        <v>240</v>
      </c>
      <c r="B609" s="9">
        <v>412</v>
      </c>
      <c r="C609" s="182" t="str">
        <f>CONCATENATE(B607,", ",B608)</f>
        <v>410, 411</v>
      </c>
      <c r="D609" s="201" t="s">
        <v>2559</v>
      </c>
      <c r="E609" s="181" t="s">
        <v>1152</v>
      </c>
      <c r="F609" s="79" t="s">
        <v>1169</v>
      </c>
      <c r="G609" s="181" t="s">
        <v>1297</v>
      </c>
      <c r="H609" s="107" t="s">
        <v>2568</v>
      </c>
      <c r="I609" s="98">
        <v>1932</v>
      </c>
      <c r="J609" s="107" t="s">
        <v>2569</v>
      </c>
      <c r="K609" s="98" t="s">
        <v>2570</v>
      </c>
      <c r="L609" s="168" t="s">
        <v>2571</v>
      </c>
    </row>
    <row r="610" spans="1:12" ht="12.75">
      <c r="A610" s="182" t="s">
        <v>240</v>
      </c>
      <c r="B610" s="41">
        <v>413</v>
      </c>
      <c r="C610" s="49">
        <f>B609</f>
        <v>412</v>
      </c>
      <c r="D610" s="29" t="s">
        <v>2572</v>
      </c>
      <c r="E610" s="181" t="s">
        <v>1158</v>
      </c>
      <c r="F610" s="181" t="s">
        <v>1214</v>
      </c>
      <c r="G610" s="246" t="s">
        <v>1247</v>
      </c>
      <c r="H610" s="28" t="s">
        <v>2573</v>
      </c>
      <c r="I610" s="246">
        <v>1932</v>
      </c>
      <c r="J610" s="246" t="s">
        <v>2574</v>
      </c>
      <c r="K610" s="246">
        <v>1965</v>
      </c>
      <c r="L610" s="246" t="s">
        <v>2575</v>
      </c>
    </row>
    <row r="611" spans="1:12" ht="12.75">
      <c r="A611" s="182" t="s">
        <v>240</v>
      </c>
      <c r="B611" s="41">
        <v>414</v>
      </c>
      <c r="C611" s="182">
        <f>B609</f>
        <v>412</v>
      </c>
      <c r="D611" s="13" t="s">
        <v>2576</v>
      </c>
      <c r="E611" s="126" t="s">
        <v>1158</v>
      </c>
      <c r="F611" s="128" t="s">
        <v>1214</v>
      </c>
      <c r="G611" s="123" t="s">
        <v>1215</v>
      </c>
      <c r="H611" s="128" t="s">
        <v>2577</v>
      </c>
      <c r="I611" s="95" t="s">
        <v>2578</v>
      </c>
      <c r="J611" s="181" t="s">
        <v>2579</v>
      </c>
      <c r="K611" s="95">
        <v>2022</v>
      </c>
      <c r="L611" s="123" t="s">
        <v>2580</v>
      </c>
    </row>
    <row r="612" spans="1:12" ht="12.75">
      <c r="A612" s="182" t="s">
        <v>240</v>
      </c>
      <c r="B612" s="9">
        <v>415</v>
      </c>
      <c r="C612" s="182">
        <f>B609</f>
        <v>412</v>
      </c>
      <c r="D612" s="191" t="s">
        <v>2581</v>
      </c>
      <c r="E612" s="126" t="s">
        <v>1158</v>
      </c>
      <c r="F612" s="126" t="s">
        <v>1214</v>
      </c>
      <c r="G612" s="128" t="s">
        <v>2582</v>
      </c>
      <c r="H612" s="107" t="s">
        <v>2583</v>
      </c>
      <c r="I612" s="124">
        <v>1979</v>
      </c>
      <c r="J612" s="107" t="s">
        <v>2584</v>
      </c>
      <c r="K612" s="124">
        <v>2020</v>
      </c>
      <c r="L612" s="107" t="s">
        <v>2585</v>
      </c>
    </row>
    <row r="613" spans="1:12" ht="12.75">
      <c r="A613" s="182" t="s">
        <v>240</v>
      </c>
      <c r="B613" s="41">
        <v>416</v>
      </c>
      <c r="C613" s="182" t="str">
        <f>CONCATENATE(B610,", ",B611,", ",B609,", ",B612)</f>
        <v>413, 414, 412, 415</v>
      </c>
      <c r="D613" s="188" t="s">
        <v>2586</v>
      </c>
      <c r="E613" s="126" t="s">
        <v>1158</v>
      </c>
      <c r="F613" s="126" t="s">
        <v>1214</v>
      </c>
      <c r="G613" s="128" t="s">
        <v>1239</v>
      </c>
      <c r="H613" s="107" t="s">
        <v>2587</v>
      </c>
      <c r="I613" s="124">
        <v>1965</v>
      </c>
      <c r="J613" s="107" t="s">
        <v>2575</v>
      </c>
      <c r="K613" s="124">
        <v>2023</v>
      </c>
      <c r="L613" s="107" t="s">
        <v>2588</v>
      </c>
    </row>
    <row r="614" spans="1:12" ht="12.75">
      <c r="A614" s="182" t="s">
        <v>240</v>
      </c>
      <c r="B614" s="41">
        <v>417</v>
      </c>
      <c r="C614" s="182">
        <f>B610</f>
        <v>413</v>
      </c>
      <c r="D614" s="191" t="s">
        <v>2572</v>
      </c>
      <c r="E614" s="126" t="s">
        <v>1152</v>
      </c>
      <c r="F614" s="126" t="s">
        <v>1190</v>
      </c>
      <c r="G614" s="126" t="s">
        <v>1494</v>
      </c>
      <c r="H614" s="107" t="s">
        <v>2589</v>
      </c>
      <c r="I614" s="124">
        <v>1982</v>
      </c>
      <c r="J614" s="175" t="s">
        <v>2590</v>
      </c>
      <c r="K614" s="124" t="s">
        <v>2570</v>
      </c>
      <c r="L614" s="107" t="s">
        <v>2591</v>
      </c>
    </row>
    <row r="615" spans="1:12" ht="12.75">
      <c r="A615" s="182" t="s">
        <v>240</v>
      </c>
      <c r="B615" s="9">
        <v>418</v>
      </c>
      <c r="C615" s="182">
        <f>B609</f>
        <v>412</v>
      </c>
      <c r="D615" s="15" t="s">
        <v>2559</v>
      </c>
      <c r="E615" s="126" t="s">
        <v>1152</v>
      </c>
      <c r="F615" s="126" t="s">
        <v>1190</v>
      </c>
      <c r="G615" s="126" t="s">
        <v>1232</v>
      </c>
      <c r="H615" s="107" t="s">
        <v>2592</v>
      </c>
      <c r="I615" s="124">
        <v>1981</v>
      </c>
      <c r="J615" s="107" t="s">
        <v>2593</v>
      </c>
      <c r="K615" s="124">
        <v>2023</v>
      </c>
      <c r="L615" s="107" t="s">
        <v>2594</v>
      </c>
    </row>
    <row r="616" spans="1:12" ht="12.75">
      <c r="A616" s="182" t="s">
        <v>240</v>
      </c>
      <c r="B616" s="41">
        <v>419</v>
      </c>
      <c r="C616" s="117" t="str">
        <f>CONCATENATE(B610,", ",B611,", ",B609,", ",B612)</f>
        <v>413, 414, 412, 415</v>
      </c>
      <c r="D616" s="16" t="s">
        <v>2595</v>
      </c>
      <c r="E616" s="181" t="s">
        <v>1158</v>
      </c>
      <c r="F616" s="128" t="s">
        <v>1159</v>
      </c>
      <c r="G616" s="181" t="s">
        <v>1267</v>
      </c>
      <c r="H616" s="181" t="s">
        <v>1712</v>
      </c>
      <c r="I616" s="98">
        <v>1956</v>
      </c>
      <c r="J616" s="62" t="s">
        <v>2596</v>
      </c>
      <c r="K616" s="124">
        <v>2023</v>
      </c>
      <c r="L616" s="107" t="s">
        <v>2597</v>
      </c>
    </row>
    <row r="617" spans="1:12" ht="12.75">
      <c r="A617" s="23" t="s">
        <v>86</v>
      </c>
      <c r="B617" s="41">
        <v>112</v>
      </c>
      <c r="C617" s="182"/>
      <c r="D617" s="144" t="s">
        <v>1562</v>
      </c>
      <c r="E617" s="225" t="s">
        <v>1153</v>
      </c>
      <c r="F617" s="225" t="s">
        <v>1153</v>
      </c>
      <c r="G617" s="74" t="s">
        <v>1186</v>
      </c>
      <c r="H617" s="75" t="s">
        <v>1563</v>
      </c>
      <c r="I617" s="193">
        <v>1789</v>
      </c>
      <c r="J617" s="225" t="s">
        <v>1564</v>
      </c>
      <c r="K617" s="193">
        <v>2015</v>
      </c>
      <c r="L617" s="77" t="s">
        <v>1565</v>
      </c>
    </row>
    <row r="618" spans="1:12" ht="12.75">
      <c r="A618" s="23" t="s">
        <v>86</v>
      </c>
      <c r="B618" s="41">
        <v>113</v>
      </c>
      <c r="C618" s="182">
        <f>B617</f>
        <v>112</v>
      </c>
      <c r="D618" s="144" t="s">
        <v>1566</v>
      </c>
      <c r="E618" s="225" t="s">
        <v>1158</v>
      </c>
      <c r="F618" s="225" t="s">
        <v>1173</v>
      </c>
      <c r="G618" s="225" t="s">
        <v>1371</v>
      </c>
      <c r="H618" s="75" t="s">
        <v>1567</v>
      </c>
      <c r="I618" s="193">
        <v>1823</v>
      </c>
      <c r="J618" s="225" t="s">
        <v>1568</v>
      </c>
      <c r="K618" s="193">
        <v>2019</v>
      </c>
      <c r="L618" s="225" t="s">
        <v>1569</v>
      </c>
    </row>
    <row r="619" spans="1:12" ht="12.75">
      <c r="A619" s="23" t="s">
        <v>86</v>
      </c>
      <c r="B619" s="9">
        <v>114</v>
      </c>
      <c r="C619" s="182">
        <f>B618</f>
        <v>113</v>
      </c>
      <c r="D619" s="144" t="s">
        <v>1570</v>
      </c>
      <c r="E619" s="225" t="s">
        <v>1152</v>
      </c>
      <c r="F619" s="225" t="s">
        <v>1190</v>
      </c>
      <c r="G619" s="225" t="s">
        <v>1191</v>
      </c>
      <c r="H619" s="75" t="s">
        <v>1571</v>
      </c>
      <c r="I619" s="193">
        <v>1846</v>
      </c>
      <c r="J619" s="225" t="s">
        <v>1572</v>
      </c>
      <c r="K619" s="76">
        <v>2015</v>
      </c>
      <c r="L619" s="77" t="s">
        <v>1573</v>
      </c>
    </row>
    <row r="620" spans="1:12" ht="12.75">
      <c r="A620" s="23" t="s">
        <v>86</v>
      </c>
      <c r="B620" s="41">
        <v>115</v>
      </c>
      <c r="C620" s="182">
        <f>B619</f>
        <v>114</v>
      </c>
      <c r="D620" s="144" t="s">
        <v>1574</v>
      </c>
      <c r="E620" s="225" t="s">
        <v>1152</v>
      </c>
      <c r="F620" s="225" t="s">
        <v>1208</v>
      </c>
      <c r="G620" s="225" t="s">
        <v>1209</v>
      </c>
      <c r="H620" s="75" t="s">
        <v>1575</v>
      </c>
      <c r="I620" s="80">
        <v>1858</v>
      </c>
      <c r="J620" s="77" t="s">
        <v>1576</v>
      </c>
      <c r="K620" s="76">
        <v>2011</v>
      </c>
      <c r="L620" s="77" t="s">
        <v>1577</v>
      </c>
    </row>
    <row r="621" spans="1:12" ht="12.75">
      <c r="A621" s="23" t="s">
        <v>86</v>
      </c>
      <c r="B621" s="41">
        <v>116</v>
      </c>
      <c r="C621" s="182">
        <f>B619</f>
        <v>114</v>
      </c>
      <c r="D621" s="144" t="s">
        <v>1578</v>
      </c>
      <c r="E621" s="225" t="s">
        <v>1158</v>
      </c>
      <c r="F621" s="225" t="s">
        <v>1173</v>
      </c>
      <c r="G621" s="225" t="s">
        <v>1177</v>
      </c>
      <c r="H621" s="75" t="s">
        <v>1579</v>
      </c>
      <c r="I621" s="193">
        <v>1864</v>
      </c>
      <c r="J621" s="225" t="s">
        <v>1580</v>
      </c>
      <c r="K621" s="193">
        <v>1913</v>
      </c>
      <c r="L621" s="225" t="s">
        <v>1581</v>
      </c>
    </row>
    <row r="622" spans="1:12" ht="12.75">
      <c r="A622" s="23" t="s">
        <v>86</v>
      </c>
      <c r="B622" s="9">
        <v>117</v>
      </c>
      <c r="C622" s="182">
        <f>B619</f>
        <v>114</v>
      </c>
      <c r="D622" s="144" t="s">
        <v>1582</v>
      </c>
      <c r="E622" s="246" t="s">
        <v>1158</v>
      </c>
      <c r="F622" s="246" t="s">
        <v>1159</v>
      </c>
      <c r="G622" s="246" t="s">
        <v>1165</v>
      </c>
      <c r="H622" s="246" t="s">
        <v>1583</v>
      </c>
      <c r="I622" s="198">
        <v>1888</v>
      </c>
      <c r="J622" s="246" t="s">
        <v>1584</v>
      </c>
      <c r="K622" s="246"/>
      <c r="L622" s="246"/>
    </row>
    <row r="623" spans="1:12" ht="12.75">
      <c r="A623" s="23" t="s">
        <v>86</v>
      </c>
      <c r="B623" s="41">
        <v>118</v>
      </c>
      <c r="C623" s="182">
        <f>B619</f>
        <v>114</v>
      </c>
      <c r="D623" s="144" t="s">
        <v>1582</v>
      </c>
      <c r="E623" s="191" t="s">
        <v>1152</v>
      </c>
      <c r="F623" s="315" t="s">
        <v>1190</v>
      </c>
      <c r="G623" s="246" t="s">
        <v>1585</v>
      </c>
      <c r="H623" s="246" t="s">
        <v>1586</v>
      </c>
      <c r="I623" s="198">
        <v>1888</v>
      </c>
      <c r="J623" s="246" t="s">
        <v>1584</v>
      </c>
      <c r="K623" s="246"/>
      <c r="L623" s="246"/>
    </row>
    <row r="624" spans="1:12" ht="12.75">
      <c r="A624" s="198" t="s">
        <v>86</v>
      </c>
      <c r="B624" s="41">
        <v>119</v>
      </c>
      <c r="C624" s="182">
        <f>B622</f>
        <v>117</v>
      </c>
      <c r="D624" s="144" t="s">
        <v>1587</v>
      </c>
      <c r="E624" s="246" t="s">
        <v>1158</v>
      </c>
      <c r="F624" s="246" t="s">
        <v>1173</v>
      </c>
      <c r="G624" s="246" t="s">
        <v>1371</v>
      </c>
      <c r="H624" s="246" t="s">
        <v>1588</v>
      </c>
      <c r="I624" s="198">
        <v>1962</v>
      </c>
      <c r="J624" s="246" t="s">
        <v>1589</v>
      </c>
      <c r="K624" s="246"/>
      <c r="L624" s="246"/>
    </row>
    <row r="625" spans="1:12" ht="12.75">
      <c r="A625" s="198" t="s">
        <v>86</v>
      </c>
      <c r="B625" s="9">
        <v>120</v>
      </c>
      <c r="C625" s="182">
        <f>B624</f>
        <v>119</v>
      </c>
      <c r="D625" s="144" t="s">
        <v>1590</v>
      </c>
      <c r="E625" s="74" t="s">
        <v>1158</v>
      </c>
      <c r="F625" s="225" t="s">
        <v>1173</v>
      </c>
      <c r="G625" s="225" t="s">
        <v>1174</v>
      </c>
      <c r="H625" s="225" t="s">
        <v>1591</v>
      </c>
      <c r="I625" s="193">
        <v>1936</v>
      </c>
      <c r="J625" s="225" t="s">
        <v>1592</v>
      </c>
      <c r="K625" s="193">
        <v>2008</v>
      </c>
      <c r="L625" s="77" t="s">
        <v>1593</v>
      </c>
    </row>
    <row r="626" spans="1:12" ht="12.6" customHeight="1">
      <c r="A626" s="182" t="s">
        <v>65</v>
      </c>
      <c r="B626" s="41">
        <v>67</v>
      </c>
      <c r="C626" s="49"/>
      <c r="D626" s="120" t="s">
        <v>1407</v>
      </c>
      <c r="E626" s="79" t="s">
        <v>1153</v>
      </c>
      <c r="F626" s="79" t="s">
        <v>1153</v>
      </c>
      <c r="G626" s="107" t="s">
        <v>1186</v>
      </c>
      <c r="H626" s="79" t="s">
        <v>1408</v>
      </c>
      <c r="I626" s="98" t="s">
        <v>1409</v>
      </c>
      <c r="J626" s="82" t="s">
        <v>1410</v>
      </c>
      <c r="K626" s="124">
        <v>2001</v>
      </c>
      <c r="L626" s="107" t="s">
        <v>1411</v>
      </c>
    </row>
    <row r="627" spans="1:12" ht="12.6" customHeight="1">
      <c r="A627" s="182" t="s">
        <v>65</v>
      </c>
      <c r="B627" s="41">
        <v>68</v>
      </c>
      <c r="C627" s="49">
        <f>B626</f>
        <v>67</v>
      </c>
      <c r="D627" s="120" t="s">
        <v>1412</v>
      </c>
      <c r="E627" s="79" t="s">
        <v>1158</v>
      </c>
      <c r="F627" s="79" t="s">
        <v>1214</v>
      </c>
      <c r="G627" s="107" t="s">
        <v>1247</v>
      </c>
      <c r="H627" s="79" t="s">
        <v>1413</v>
      </c>
      <c r="I627" s="124">
        <v>1812</v>
      </c>
      <c r="J627" s="107" t="s">
        <v>1414</v>
      </c>
      <c r="K627" s="124">
        <v>2017</v>
      </c>
      <c r="L627" s="107" t="s">
        <v>1415</v>
      </c>
    </row>
    <row r="628" spans="1:12" ht="12.6" customHeight="1">
      <c r="A628" s="182" t="s">
        <v>65</v>
      </c>
      <c r="B628" s="9">
        <v>69</v>
      </c>
      <c r="C628" s="49">
        <f>B626</f>
        <v>67</v>
      </c>
      <c r="D628" s="120" t="s">
        <v>1412</v>
      </c>
      <c r="E628" s="79" t="s">
        <v>1158</v>
      </c>
      <c r="F628" s="79" t="s">
        <v>1159</v>
      </c>
      <c r="G628" s="317" t="s">
        <v>4309</v>
      </c>
      <c r="H628" s="79" t="s">
        <v>1416</v>
      </c>
      <c r="I628" s="124">
        <v>1812</v>
      </c>
      <c r="J628" s="107" t="s">
        <v>1414</v>
      </c>
      <c r="K628" s="124">
        <v>2017</v>
      </c>
      <c r="L628" s="107" t="s">
        <v>1415</v>
      </c>
    </row>
    <row r="629" spans="1:12" ht="12.6" customHeight="1">
      <c r="A629" s="182" t="s">
        <v>65</v>
      </c>
      <c r="B629" s="41">
        <v>70</v>
      </c>
      <c r="C629" s="49">
        <f>B628</f>
        <v>69</v>
      </c>
      <c r="D629" s="120" t="s">
        <v>1417</v>
      </c>
      <c r="E629" s="79" t="s">
        <v>1158</v>
      </c>
      <c r="F629" s="79" t="s">
        <v>1214</v>
      </c>
      <c r="G629" s="107" t="s">
        <v>1258</v>
      </c>
      <c r="H629" s="79" t="s">
        <v>1418</v>
      </c>
      <c r="I629" s="124">
        <v>1830</v>
      </c>
      <c r="J629" s="107" t="s">
        <v>1419</v>
      </c>
      <c r="K629" s="124" t="s">
        <v>1420</v>
      </c>
      <c r="L629" s="107" t="s">
        <v>1421</v>
      </c>
    </row>
    <row r="630" spans="1:12" ht="12.6" customHeight="1">
      <c r="A630" s="11" t="s">
        <v>65</v>
      </c>
      <c r="B630" s="41">
        <v>71</v>
      </c>
      <c r="C630" s="49">
        <f>B629</f>
        <v>70</v>
      </c>
      <c r="D630" s="120" t="s">
        <v>66</v>
      </c>
      <c r="E630" s="107" t="s">
        <v>1158</v>
      </c>
      <c r="F630" s="79" t="s">
        <v>1208</v>
      </c>
      <c r="G630" s="107" t="s">
        <v>1209</v>
      </c>
      <c r="H630" s="79" t="s">
        <v>1422</v>
      </c>
      <c r="I630" s="98" t="s">
        <v>1423</v>
      </c>
      <c r="J630" s="107" t="s">
        <v>1424</v>
      </c>
      <c r="K630" s="124">
        <v>1941</v>
      </c>
      <c r="L630" s="107" t="s">
        <v>1425</v>
      </c>
    </row>
    <row r="631" spans="1:12" ht="12.6" customHeight="1">
      <c r="A631" s="11" t="s">
        <v>65</v>
      </c>
      <c r="B631" s="9">
        <v>72</v>
      </c>
      <c r="C631" s="49">
        <f>B630</f>
        <v>71</v>
      </c>
      <c r="D631" s="120" t="s">
        <v>66</v>
      </c>
      <c r="E631" s="107" t="s">
        <v>1152</v>
      </c>
      <c r="F631" s="79" t="s">
        <v>1169</v>
      </c>
      <c r="G631" s="107" t="s">
        <v>1367</v>
      </c>
      <c r="H631" s="79" t="s">
        <v>1426</v>
      </c>
      <c r="I631" s="72">
        <v>1943</v>
      </c>
      <c r="J631" s="107" t="s">
        <v>1427</v>
      </c>
      <c r="K631" s="124">
        <v>1943</v>
      </c>
      <c r="L631" s="107" t="s">
        <v>1427</v>
      </c>
    </row>
    <row r="632" spans="1:12" ht="12.75">
      <c r="A632" s="198" t="s">
        <v>185</v>
      </c>
      <c r="B632" s="41">
        <v>251</v>
      </c>
      <c r="C632" s="198"/>
      <c r="D632" s="120" t="s">
        <v>2022</v>
      </c>
      <c r="E632" s="225" t="s">
        <v>1153</v>
      </c>
      <c r="F632" s="225" t="s">
        <v>1153</v>
      </c>
      <c r="G632" s="225" t="s">
        <v>1186</v>
      </c>
      <c r="H632" s="74" t="s">
        <v>2023</v>
      </c>
      <c r="I632" s="193">
        <v>1825</v>
      </c>
      <c r="J632" s="77" t="s">
        <v>2024</v>
      </c>
      <c r="K632" s="193">
        <v>2017</v>
      </c>
      <c r="L632" s="77" t="s">
        <v>2025</v>
      </c>
    </row>
    <row r="633" spans="1:12" ht="12.75">
      <c r="A633" s="198" t="s">
        <v>185</v>
      </c>
      <c r="B633" s="41">
        <v>252</v>
      </c>
      <c r="C633" s="198">
        <f>B632</f>
        <v>251</v>
      </c>
      <c r="D633" s="120" t="s">
        <v>2026</v>
      </c>
      <c r="E633" s="225" t="s">
        <v>1158</v>
      </c>
      <c r="F633" s="225" t="s">
        <v>1173</v>
      </c>
      <c r="G633" s="225" t="s">
        <v>1174</v>
      </c>
      <c r="H633" s="225" t="s">
        <v>2027</v>
      </c>
      <c r="I633" s="193">
        <v>1863</v>
      </c>
      <c r="J633" s="77" t="s">
        <v>2028</v>
      </c>
      <c r="K633" s="193">
        <v>2011</v>
      </c>
      <c r="L633" s="77" t="s">
        <v>2029</v>
      </c>
    </row>
    <row r="634" spans="1:12" ht="12.75">
      <c r="A634" s="198" t="s">
        <v>185</v>
      </c>
      <c r="B634" s="9">
        <v>253</v>
      </c>
      <c r="C634" s="49">
        <f>B632</f>
        <v>251</v>
      </c>
      <c r="D634" s="120" t="s">
        <v>2030</v>
      </c>
      <c r="E634" s="225" t="s">
        <v>1158</v>
      </c>
      <c r="F634" s="225" t="s">
        <v>1173</v>
      </c>
      <c r="G634" s="225" t="s">
        <v>1174</v>
      </c>
      <c r="H634" s="225" t="s">
        <v>2031</v>
      </c>
      <c r="I634" s="193">
        <v>1893</v>
      </c>
      <c r="J634" s="77" t="s">
        <v>2032</v>
      </c>
      <c r="K634" s="193">
        <v>1998</v>
      </c>
      <c r="L634" s="77" t="s">
        <v>2033</v>
      </c>
    </row>
    <row r="635" spans="1:12" ht="12.75">
      <c r="A635" s="198" t="s">
        <v>185</v>
      </c>
      <c r="B635" s="41">
        <v>254</v>
      </c>
      <c r="C635" s="198">
        <f>B632</f>
        <v>251</v>
      </c>
      <c r="D635" s="120" t="s">
        <v>2034</v>
      </c>
      <c r="E635" s="225" t="s">
        <v>1158</v>
      </c>
      <c r="F635" s="225" t="s">
        <v>1173</v>
      </c>
      <c r="G635" s="225" t="s">
        <v>1174</v>
      </c>
      <c r="H635" s="225" t="s">
        <v>2035</v>
      </c>
      <c r="I635" s="193">
        <v>1894</v>
      </c>
      <c r="J635" s="77" t="s">
        <v>2036</v>
      </c>
      <c r="K635" s="193">
        <v>1944</v>
      </c>
      <c r="L635" s="77" t="s">
        <v>2037</v>
      </c>
    </row>
    <row r="636" spans="1:12" ht="12.75">
      <c r="A636" s="198" t="s">
        <v>185</v>
      </c>
      <c r="B636" s="41">
        <v>255</v>
      </c>
      <c r="C636" s="198">
        <f>B632</f>
        <v>251</v>
      </c>
      <c r="D636" s="120" t="s">
        <v>2038</v>
      </c>
      <c r="E636" s="225" t="s">
        <v>1158</v>
      </c>
      <c r="F636" s="225" t="s">
        <v>1173</v>
      </c>
      <c r="G636" s="225" t="s">
        <v>1282</v>
      </c>
      <c r="H636" s="225" t="s">
        <v>2039</v>
      </c>
      <c r="I636" s="193">
        <v>1867</v>
      </c>
      <c r="J636" s="77" t="s">
        <v>2040</v>
      </c>
      <c r="K636" s="193">
        <v>2011</v>
      </c>
      <c r="L636" s="77" t="s">
        <v>2041</v>
      </c>
    </row>
    <row r="637" spans="1:12" ht="13.15" customHeight="1">
      <c r="A637" s="198" t="s">
        <v>185</v>
      </c>
      <c r="B637" s="9">
        <v>256</v>
      </c>
      <c r="C637" s="198">
        <f>B632</f>
        <v>251</v>
      </c>
      <c r="D637" s="199" t="s">
        <v>2042</v>
      </c>
      <c r="E637" s="225" t="s">
        <v>1152</v>
      </c>
      <c r="F637" s="225" t="s">
        <v>1169</v>
      </c>
      <c r="G637" s="225" t="s">
        <v>1367</v>
      </c>
      <c r="H637" s="225" t="s">
        <v>2043</v>
      </c>
      <c r="I637" s="193">
        <v>1899</v>
      </c>
      <c r="J637" s="77" t="s">
        <v>2044</v>
      </c>
      <c r="K637" s="76">
        <v>2008</v>
      </c>
      <c r="L637" s="77" t="s">
        <v>2045</v>
      </c>
    </row>
    <row r="638" spans="1:12" ht="12.6" customHeight="1">
      <c r="A638" s="182" t="s">
        <v>246</v>
      </c>
      <c r="B638" s="41">
        <v>441</v>
      </c>
      <c r="C638" s="49"/>
      <c r="D638" s="191" t="s">
        <v>768</v>
      </c>
      <c r="E638" s="191" t="s">
        <v>1153</v>
      </c>
      <c r="F638" s="191" t="s">
        <v>1153</v>
      </c>
      <c r="G638" s="191" t="s">
        <v>1186</v>
      </c>
      <c r="H638" s="191" t="s">
        <v>2650</v>
      </c>
      <c r="I638" s="182">
        <v>1827</v>
      </c>
      <c r="J638" s="170" t="s">
        <v>2651</v>
      </c>
      <c r="K638" s="124">
        <v>2020</v>
      </c>
      <c r="L638" s="107" t="s">
        <v>2652</v>
      </c>
    </row>
    <row r="639" spans="1:12" ht="12.6" customHeight="1">
      <c r="A639" s="182" t="s">
        <v>246</v>
      </c>
      <c r="B639" s="41">
        <v>442</v>
      </c>
      <c r="C639" s="182">
        <f>B638</f>
        <v>441</v>
      </c>
      <c r="D639" s="29" t="s">
        <v>768</v>
      </c>
      <c r="E639" s="107" t="s">
        <v>1152</v>
      </c>
      <c r="F639" s="79" t="s">
        <v>1169</v>
      </c>
      <c r="G639" s="79" t="s">
        <v>1367</v>
      </c>
      <c r="H639" s="79" t="s">
        <v>2653</v>
      </c>
      <c r="I639" s="98">
        <v>1850</v>
      </c>
      <c r="J639" s="205" t="s">
        <v>2654</v>
      </c>
      <c r="K639" s="124">
        <v>2019</v>
      </c>
      <c r="L639" s="107" t="s">
        <v>2655</v>
      </c>
    </row>
    <row r="640" spans="1:12" ht="12.6" customHeight="1">
      <c r="A640" s="182" t="s">
        <v>246</v>
      </c>
      <c r="B640" s="9">
        <v>443</v>
      </c>
      <c r="C640" s="182">
        <f>B639</f>
        <v>442</v>
      </c>
      <c r="D640" s="29" t="s">
        <v>768</v>
      </c>
      <c r="E640" s="79" t="s">
        <v>1152</v>
      </c>
      <c r="F640" s="79" t="s">
        <v>1169</v>
      </c>
      <c r="G640" s="107" t="s">
        <v>1297</v>
      </c>
      <c r="H640" s="79" t="s">
        <v>2656</v>
      </c>
      <c r="I640" s="98" t="s">
        <v>1659</v>
      </c>
      <c r="J640" s="205" t="s">
        <v>2657</v>
      </c>
      <c r="K640" s="124">
        <v>2004</v>
      </c>
      <c r="L640" s="107" t="s">
        <v>2658</v>
      </c>
    </row>
    <row r="641" spans="1:12" ht="12.6" customHeight="1">
      <c r="A641" s="182" t="s">
        <v>246</v>
      </c>
      <c r="B641" s="41">
        <v>444</v>
      </c>
      <c r="C641" s="171" t="str">
        <f>CONCATENATE(B638,", ",B639,", ",B640)</f>
        <v>441, 442, 443</v>
      </c>
      <c r="D641" s="191" t="s">
        <v>768</v>
      </c>
      <c r="E641" s="107" t="s">
        <v>1158</v>
      </c>
      <c r="F641" s="79" t="s">
        <v>1173</v>
      </c>
      <c r="G641" s="107" t="s">
        <v>1472</v>
      </c>
      <c r="H641" s="79" t="s">
        <v>2659</v>
      </c>
      <c r="I641" s="72">
        <v>1827</v>
      </c>
      <c r="J641" s="205" t="s">
        <v>2651</v>
      </c>
      <c r="K641" s="124">
        <v>1909</v>
      </c>
      <c r="L641" s="107" t="s">
        <v>2660</v>
      </c>
    </row>
    <row r="642" spans="1:12" ht="12.6" customHeight="1">
      <c r="A642" s="182" t="s">
        <v>246</v>
      </c>
      <c r="B642" s="41">
        <v>445</v>
      </c>
      <c r="C642" s="182" t="str">
        <f>CONCATENATE(B639,", ",B640)</f>
        <v>442, 443</v>
      </c>
      <c r="D642" s="191" t="s">
        <v>768</v>
      </c>
      <c r="E642" s="79" t="s">
        <v>1152</v>
      </c>
      <c r="F642" s="79" t="s">
        <v>1169</v>
      </c>
      <c r="G642" s="107" t="s">
        <v>1297</v>
      </c>
      <c r="H642" s="79" t="s">
        <v>2661</v>
      </c>
      <c r="I642" s="72">
        <v>2002</v>
      </c>
      <c r="J642" s="205" t="s">
        <v>2662</v>
      </c>
      <c r="K642" s="246">
        <v>2007</v>
      </c>
      <c r="L642" s="246" t="s">
        <v>2663</v>
      </c>
    </row>
    <row r="643" spans="1:12" ht="12.75">
      <c r="A643" s="180" t="s">
        <v>286</v>
      </c>
      <c r="B643" s="41">
        <v>540</v>
      </c>
      <c r="C643" s="180"/>
      <c r="D643" s="201" t="s">
        <v>2942</v>
      </c>
      <c r="E643" s="201" t="s">
        <v>1153</v>
      </c>
      <c r="F643" s="201" t="s">
        <v>1153</v>
      </c>
      <c r="G643" s="201" t="s">
        <v>1154</v>
      </c>
      <c r="H643" s="201" t="s">
        <v>2943</v>
      </c>
      <c r="I643" s="201">
        <v>1830</v>
      </c>
      <c r="J643" s="201" t="s">
        <v>2944</v>
      </c>
      <c r="K643" s="201">
        <v>1891</v>
      </c>
      <c r="L643" s="201" t="s">
        <v>2945</v>
      </c>
    </row>
    <row r="644" spans="1:12" ht="12.6" customHeight="1">
      <c r="A644" s="180" t="s">
        <v>286</v>
      </c>
      <c r="B644" s="9">
        <v>541</v>
      </c>
      <c r="C644" s="180">
        <f>B643</f>
        <v>540</v>
      </c>
      <c r="D644" s="201" t="s">
        <v>2946</v>
      </c>
      <c r="E644" s="181" t="s">
        <v>1152</v>
      </c>
      <c r="F644" s="181" t="s">
        <v>1169</v>
      </c>
      <c r="G644" s="126" t="s">
        <v>1170</v>
      </c>
      <c r="H644" s="181" t="s">
        <v>2947</v>
      </c>
      <c r="I644" s="165" t="s">
        <v>1361</v>
      </c>
      <c r="J644" s="205" t="s">
        <v>2948</v>
      </c>
      <c r="K644" s="165">
        <v>2020</v>
      </c>
      <c r="L644" s="205" t="s">
        <v>2949</v>
      </c>
    </row>
    <row r="645" spans="1:12" ht="12.6" customHeight="1">
      <c r="A645" s="180" t="s">
        <v>286</v>
      </c>
      <c r="B645" s="41">
        <v>542</v>
      </c>
      <c r="C645" s="180">
        <f>B644</f>
        <v>541</v>
      </c>
      <c r="D645" s="201" t="s">
        <v>2950</v>
      </c>
      <c r="E645" s="181" t="s">
        <v>1158</v>
      </c>
      <c r="F645" s="181" t="s">
        <v>1173</v>
      </c>
      <c r="G645" s="181" t="s">
        <v>1250</v>
      </c>
      <c r="H645" s="181" t="s">
        <v>2951</v>
      </c>
      <c r="I645" s="165" t="s">
        <v>1361</v>
      </c>
      <c r="J645" s="205" t="s">
        <v>2948</v>
      </c>
      <c r="K645" s="165">
        <v>2015</v>
      </c>
      <c r="L645" s="205" t="s">
        <v>2952</v>
      </c>
    </row>
    <row r="646" spans="1:12" ht="12.6" customHeight="1">
      <c r="A646" s="180" t="s">
        <v>286</v>
      </c>
      <c r="B646" s="41">
        <v>543</v>
      </c>
      <c r="C646" s="180">
        <f>B644</f>
        <v>541</v>
      </c>
      <c r="D646" s="201" t="s">
        <v>2953</v>
      </c>
      <c r="E646" s="181" t="s">
        <v>1158</v>
      </c>
      <c r="F646" s="181" t="s">
        <v>1159</v>
      </c>
      <c r="G646" s="181" t="s">
        <v>1395</v>
      </c>
      <c r="H646" s="181" t="s">
        <v>2954</v>
      </c>
      <c r="I646" s="165">
        <v>1810</v>
      </c>
      <c r="J646" s="205" t="s">
        <v>2955</v>
      </c>
      <c r="K646" s="165">
        <v>1930</v>
      </c>
      <c r="L646" s="205" t="s">
        <v>2956</v>
      </c>
    </row>
    <row r="647" spans="1:12" ht="12.6" customHeight="1">
      <c r="A647" s="180" t="s">
        <v>286</v>
      </c>
      <c r="B647" s="9">
        <v>544</v>
      </c>
      <c r="C647" s="180">
        <f>B644</f>
        <v>541</v>
      </c>
      <c r="D647" s="201" t="s">
        <v>2957</v>
      </c>
      <c r="E647" s="181" t="s">
        <v>1158</v>
      </c>
      <c r="F647" s="181" t="s">
        <v>1159</v>
      </c>
      <c r="G647" s="181" t="s">
        <v>1395</v>
      </c>
      <c r="H647" s="181" t="s">
        <v>2958</v>
      </c>
      <c r="I647" s="165">
        <v>1831</v>
      </c>
      <c r="J647" s="181" t="s">
        <v>2959</v>
      </c>
      <c r="K647" s="165">
        <v>1977</v>
      </c>
      <c r="L647" s="205" t="s">
        <v>2960</v>
      </c>
    </row>
    <row r="648" spans="1:12" ht="12.6" customHeight="1">
      <c r="A648" s="180" t="s">
        <v>286</v>
      </c>
      <c r="B648" s="41">
        <v>545</v>
      </c>
      <c r="C648" s="180">
        <f>B644</f>
        <v>541</v>
      </c>
      <c r="D648" s="201" t="s">
        <v>2961</v>
      </c>
      <c r="E648" s="181" t="s">
        <v>1158</v>
      </c>
      <c r="F648" s="181" t="s">
        <v>1159</v>
      </c>
      <c r="G648" s="181" t="s">
        <v>1395</v>
      </c>
      <c r="H648" s="181" t="s">
        <v>2962</v>
      </c>
      <c r="I648" s="165">
        <v>1812</v>
      </c>
      <c r="J648" s="181" t="s">
        <v>2963</v>
      </c>
      <c r="K648" s="165">
        <v>2016</v>
      </c>
      <c r="L648" s="205" t="s">
        <v>2964</v>
      </c>
    </row>
    <row r="649" spans="1:12" ht="25.5">
      <c r="A649" s="84" t="s">
        <v>286</v>
      </c>
      <c r="B649" s="41">
        <v>546</v>
      </c>
      <c r="C649" s="180">
        <f>B648</f>
        <v>545</v>
      </c>
      <c r="D649" s="188" t="s">
        <v>2965</v>
      </c>
      <c r="E649" s="181" t="s">
        <v>1158</v>
      </c>
      <c r="F649" s="181" t="s">
        <v>1159</v>
      </c>
      <c r="G649" s="317" t="s">
        <v>4309</v>
      </c>
      <c r="H649" s="181" t="s">
        <v>2966</v>
      </c>
      <c r="I649" s="165">
        <v>1905</v>
      </c>
      <c r="J649" s="181" t="s">
        <v>2967</v>
      </c>
      <c r="K649" s="165">
        <v>2014</v>
      </c>
      <c r="L649" s="181" t="s">
        <v>2968</v>
      </c>
    </row>
    <row r="650" spans="1:12" ht="12.75">
      <c r="A650" s="198" t="s">
        <v>379</v>
      </c>
      <c r="B650" s="9">
        <v>859</v>
      </c>
      <c r="C650" s="198"/>
      <c r="D650" s="120" t="s">
        <v>380</v>
      </c>
      <c r="E650" s="201" t="s">
        <v>1153</v>
      </c>
      <c r="F650" s="201" t="s">
        <v>1153</v>
      </c>
      <c r="G650" s="201" t="s">
        <v>1154</v>
      </c>
      <c r="H650" s="246" t="s">
        <v>3770</v>
      </c>
      <c r="I650" s="191" t="s">
        <v>3771</v>
      </c>
      <c r="J650" s="191" t="s">
        <v>3772</v>
      </c>
      <c r="K650" s="191">
        <v>2014</v>
      </c>
      <c r="L650" s="191" t="s">
        <v>3773</v>
      </c>
    </row>
    <row r="651" spans="1:12" ht="12.75">
      <c r="A651" s="198" t="s">
        <v>379</v>
      </c>
      <c r="B651" s="41">
        <v>860</v>
      </c>
      <c r="C651" s="198">
        <f>B650</f>
        <v>859</v>
      </c>
      <c r="D651" s="120" t="s">
        <v>380</v>
      </c>
      <c r="E651" s="191" t="s">
        <v>1152</v>
      </c>
      <c r="F651" s="191" t="s">
        <v>1169</v>
      </c>
      <c r="G651" s="201" t="s">
        <v>1448</v>
      </c>
      <c r="H651" s="191" t="s">
        <v>3774</v>
      </c>
      <c r="I651" s="191">
        <v>1937</v>
      </c>
      <c r="J651" s="191" t="s">
        <v>3775</v>
      </c>
      <c r="K651" s="191" t="s">
        <v>115</v>
      </c>
      <c r="L651" s="191" t="s">
        <v>115</v>
      </c>
    </row>
    <row r="652" spans="1:12" ht="13.15" customHeight="1">
      <c r="A652" s="198" t="s">
        <v>379</v>
      </c>
      <c r="B652" s="41">
        <v>861</v>
      </c>
      <c r="C652" s="198">
        <f>B650</f>
        <v>859</v>
      </c>
      <c r="D652" s="120" t="s">
        <v>3776</v>
      </c>
      <c r="E652" s="201" t="s">
        <v>1158</v>
      </c>
      <c r="F652" s="201" t="s">
        <v>1173</v>
      </c>
      <c r="G652" s="184" t="s">
        <v>1177</v>
      </c>
      <c r="H652" s="191" t="s">
        <v>3777</v>
      </c>
      <c r="I652" s="191">
        <v>1963</v>
      </c>
      <c r="J652" s="191" t="s">
        <v>3778</v>
      </c>
      <c r="K652" s="191" t="s">
        <v>115</v>
      </c>
      <c r="L652" s="191" t="s">
        <v>115</v>
      </c>
    </row>
    <row r="653" spans="1:12" ht="13.15" customHeight="1">
      <c r="A653" s="198" t="s">
        <v>164</v>
      </c>
      <c r="B653" s="9">
        <v>205</v>
      </c>
      <c r="C653" s="198"/>
      <c r="D653" s="120" t="s">
        <v>1868</v>
      </c>
      <c r="E653" s="225" t="s">
        <v>1153</v>
      </c>
      <c r="F653" s="225" t="s">
        <v>1153</v>
      </c>
      <c r="G653" s="141" t="s">
        <v>1154</v>
      </c>
      <c r="H653" s="225" t="s">
        <v>1869</v>
      </c>
      <c r="I653" s="193" t="s">
        <v>1870</v>
      </c>
      <c r="J653" s="77" t="s">
        <v>1871</v>
      </c>
      <c r="K653" s="76">
        <v>2020</v>
      </c>
      <c r="L653" s="77" t="s">
        <v>1872</v>
      </c>
    </row>
    <row r="654" spans="1:12" ht="13.15" customHeight="1">
      <c r="A654" s="198" t="s">
        <v>164</v>
      </c>
      <c r="B654" s="41">
        <v>206</v>
      </c>
      <c r="C654" s="198">
        <f>B653</f>
        <v>205</v>
      </c>
      <c r="D654" s="120" t="s">
        <v>1873</v>
      </c>
      <c r="E654" s="225" t="s">
        <v>1158</v>
      </c>
      <c r="F654" s="225" t="s">
        <v>1159</v>
      </c>
      <c r="G654" s="141" t="s">
        <v>1267</v>
      </c>
      <c r="H654" s="225" t="s">
        <v>1874</v>
      </c>
      <c r="I654" s="193">
        <v>1735</v>
      </c>
      <c r="J654" s="77" t="s">
        <v>1875</v>
      </c>
      <c r="K654" s="76">
        <v>2017</v>
      </c>
      <c r="L654" s="246" t="s">
        <v>1876</v>
      </c>
    </row>
    <row r="655" spans="1:12" ht="38.25">
      <c r="A655" s="198" t="s">
        <v>164</v>
      </c>
      <c r="B655" s="41">
        <v>207</v>
      </c>
      <c r="C655" s="198">
        <f>B653</f>
        <v>205</v>
      </c>
      <c r="D655" s="120" t="s">
        <v>1877</v>
      </c>
      <c r="E655" s="225" t="s">
        <v>1158</v>
      </c>
      <c r="F655" s="225" t="s">
        <v>1173</v>
      </c>
      <c r="G655" s="141" t="s">
        <v>1878</v>
      </c>
      <c r="H655" s="225" t="s">
        <v>1879</v>
      </c>
      <c r="I655" s="193">
        <v>1779</v>
      </c>
      <c r="J655" s="77" t="s">
        <v>1880</v>
      </c>
      <c r="K655" s="76">
        <v>1844</v>
      </c>
      <c r="L655" s="246" t="s">
        <v>1881</v>
      </c>
    </row>
    <row r="656" spans="1:12" ht="13.15" customHeight="1">
      <c r="A656" s="198" t="s">
        <v>164</v>
      </c>
      <c r="B656" s="9">
        <v>208</v>
      </c>
      <c r="C656" s="198">
        <f>B653</f>
        <v>205</v>
      </c>
      <c r="D656" s="120" t="s">
        <v>1882</v>
      </c>
      <c r="E656" s="225" t="s">
        <v>1158</v>
      </c>
      <c r="F656" s="225" t="s">
        <v>1159</v>
      </c>
      <c r="G656" s="317" t="s">
        <v>4309</v>
      </c>
      <c r="H656" s="225" t="s">
        <v>1884</v>
      </c>
      <c r="I656" s="193">
        <v>1849</v>
      </c>
      <c r="J656" s="77" t="s">
        <v>1885</v>
      </c>
      <c r="K656" s="76">
        <v>2001</v>
      </c>
      <c r="L656" s="77" t="s">
        <v>1886</v>
      </c>
    </row>
    <row r="657" spans="1:12" ht="13.15" customHeight="1">
      <c r="A657" s="198" t="s">
        <v>94</v>
      </c>
      <c r="B657" s="41">
        <v>121</v>
      </c>
      <c r="C657" s="182"/>
      <c r="D657" s="144" t="s">
        <v>1594</v>
      </c>
      <c r="E657" s="225" t="s">
        <v>1153</v>
      </c>
      <c r="F657" s="225" t="s">
        <v>1153</v>
      </c>
      <c r="G657" s="225" t="s">
        <v>1154</v>
      </c>
      <c r="H657" s="225" t="s">
        <v>1595</v>
      </c>
      <c r="I657" s="193">
        <v>1907</v>
      </c>
      <c r="J657" s="77" t="s">
        <v>1596</v>
      </c>
      <c r="K657" s="76">
        <v>2004</v>
      </c>
      <c r="L657" s="77" t="s">
        <v>1597</v>
      </c>
    </row>
    <row r="658" spans="1:12" ht="13.15" customHeight="1">
      <c r="A658" s="198" t="s">
        <v>94</v>
      </c>
      <c r="B658" s="41">
        <v>122</v>
      </c>
      <c r="C658" s="11">
        <f>B657</f>
        <v>121</v>
      </c>
      <c r="D658" s="144" t="s">
        <v>1598</v>
      </c>
      <c r="E658" s="225" t="s">
        <v>1158</v>
      </c>
      <c r="F658" s="225" t="s">
        <v>1173</v>
      </c>
      <c r="G658" s="225" t="s">
        <v>1174</v>
      </c>
      <c r="H658" s="225" t="s">
        <v>1599</v>
      </c>
      <c r="I658" s="193">
        <v>1961</v>
      </c>
      <c r="J658" s="77" t="s">
        <v>1600</v>
      </c>
      <c r="K658" s="76">
        <v>2019</v>
      </c>
      <c r="L658" s="77" t="s">
        <v>1601</v>
      </c>
    </row>
    <row r="659" spans="1:12" ht="13.15" customHeight="1">
      <c r="A659" s="198" t="s">
        <v>94</v>
      </c>
      <c r="B659" s="9">
        <v>123</v>
      </c>
      <c r="C659" s="11">
        <f>B657</f>
        <v>121</v>
      </c>
      <c r="D659" s="144" t="s">
        <v>1598</v>
      </c>
      <c r="E659" s="225" t="s">
        <v>1152</v>
      </c>
      <c r="F659" s="225" t="s">
        <v>1169</v>
      </c>
      <c r="G659" s="225" t="s">
        <v>1170</v>
      </c>
      <c r="H659" s="225" t="s">
        <v>1602</v>
      </c>
      <c r="I659" s="193">
        <v>1961</v>
      </c>
      <c r="J659" s="77" t="s">
        <v>1600</v>
      </c>
      <c r="K659" s="76">
        <v>2019</v>
      </c>
      <c r="L659" s="77" t="s">
        <v>1601</v>
      </c>
    </row>
    <row r="660" spans="1:12" ht="12.75">
      <c r="A660" s="198" t="s">
        <v>94</v>
      </c>
      <c r="B660" s="41">
        <v>124</v>
      </c>
      <c r="C660" s="11" t="str">
        <f>CONCATENATE(B658, ", ", B659)</f>
        <v>122, 123</v>
      </c>
      <c r="D660" s="144" t="s">
        <v>1603</v>
      </c>
      <c r="E660" s="225" t="s">
        <v>1158</v>
      </c>
      <c r="F660" s="225" t="s">
        <v>1173</v>
      </c>
      <c r="G660" s="225" t="s">
        <v>1371</v>
      </c>
      <c r="H660" s="225" t="s">
        <v>1604</v>
      </c>
      <c r="I660" s="193">
        <v>1965</v>
      </c>
      <c r="J660" s="225" t="s">
        <v>1605</v>
      </c>
      <c r="K660" s="193">
        <v>2004</v>
      </c>
      <c r="L660" s="225" t="s">
        <v>1606</v>
      </c>
    </row>
    <row r="661" spans="1:12" ht="12.6" customHeight="1">
      <c r="A661" s="198" t="s">
        <v>94</v>
      </c>
      <c r="B661" s="41">
        <v>125</v>
      </c>
      <c r="C661" s="11">
        <f>B660</f>
        <v>124</v>
      </c>
      <c r="D661" s="144" t="s">
        <v>1607</v>
      </c>
      <c r="E661" s="225" t="s">
        <v>1158</v>
      </c>
      <c r="F661" s="225" t="s">
        <v>1173</v>
      </c>
      <c r="G661" s="70" t="s">
        <v>1250</v>
      </c>
      <c r="H661" s="225" t="s">
        <v>1608</v>
      </c>
      <c r="I661" s="193">
        <v>1966</v>
      </c>
      <c r="J661" s="77" t="s">
        <v>1609</v>
      </c>
      <c r="K661" s="76">
        <v>2010</v>
      </c>
      <c r="L661" s="77" t="s">
        <v>1610</v>
      </c>
    </row>
    <row r="662" spans="1:12" ht="12.6" customHeight="1">
      <c r="A662" s="198" t="s">
        <v>94</v>
      </c>
      <c r="B662" s="9">
        <v>126</v>
      </c>
      <c r="C662" s="198">
        <f>B661</f>
        <v>125</v>
      </c>
      <c r="D662" s="120" t="s">
        <v>1611</v>
      </c>
      <c r="E662" s="225" t="s">
        <v>1158</v>
      </c>
      <c r="F662" s="225" t="s">
        <v>1173</v>
      </c>
      <c r="G662" s="70" t="s">
        <v>1250</v>
      </c>
      <c r="H662" s="225" t="s">
        <v>1612</v>
      </c>
      <c r="I662" s="193">
        <v>1967</v>
      </c>
      <c r="J662" s="77" t="s">
        <v>1613</v>
      </c>
      <c r="K662" s="76">
        <v>2009</v>
      </c>
      <c r="L662" s="77" t="s">
        <v>1614</v>
      </c>
    </row>
    <row r="663" spans="1:12" ht="12.75">
      <c r="A663" s="9" t="s">
        <v>256</v>
      </c>
      <c r="B663" s="41">
        <v>464</v>
      </c>
      <c r="C663" s="11"/>
      <c r="D663" s="191" t="s">
        <v>2718</v>
      </c>
      <c r="E663" s="191" t="s">
        <v>1153</v>
      </c>
      <c r="F663" s="191" t="s">
        <v>1153</v>
      </c>
      <c r="G663" s="191" t="s">
        <v>1154</v>
      </c>
      <c r="H663" s="191"/>
      <c r="I663" s="191" t="s">
        <v>2719</v>
      </c>
      <c r="J663" s="191" t="s">
        <v>2720</v>
      </c>
      <c r="K663" s="182">
        <v>2019</v>
      </c>
      <c r="L663" s="191" t="s">
        <v>2721</v>
      </c>
    </row>
    <row r="664" spans="1:12" ht="12.75">
      <c r="A664" s="9" t="s">
        <v>256</v>
      </c>
      <c r="B664" s="9">
        <v>465</v>
      </c>
      <c r="C664" s="11">
        <f>B663</f>
        <v>464</v>
      </c>
      <c r="D664" s="191" t="s">
        <v>2722</v>
      </c>
      <c r="E664" s="79" t="s">
        <v>1158</v>
      </c>
      <c r="F664" s="79" t="s">
        <v>1173</v>
      </c>
      <c r="G664" s="79" t="s">
        <v>1371</v>
      </c>
      <c r="H664" s="79" t="s">
        <v>2723</v>
      </c>
      <c r="I664" s="98" t="s">
        <v>2719</v>
      </c>
      <c r="J664" s="107" t="s">
        <v>2724</v>
      </c>
      <c r="K664" s="98">
        <v>2020</v>
      </c>
      <c r="L664" s="107" t="s">
        <v>2725</v>
      </c>
    </row>
    <row r="665" spans="1:12" ht="38.25">
      <c r="A665" s="182" t="s">
        <v>256</v>
      </c>
      <c r="B665" s="41">
        <v>466</v>
      </c>
      <c r="C665" s="182">
        <f>B664</f>
        <v>465</v>
      </c>
      <c r="D665" s="191" t="s">
        <v>2726</v>
      </c>
      <c r="E665" s="79" t="s">
        <v>1158</v>
      </c>
      <c r="F665" s="79" t="s">
        <v>1173</v>
      </c>
      <c r="G665" s="115" t="s">
        <v>1437</v>
      </c>
      <c r="H665" s="79" t="s">
        <v>2727</v>
      </c>
      <c r="I665" s="98">
        <v>1730</v>
      </c>
      <c r="J665" s="107" t="s">
        <v>2728</v>
      </c>
      <c r="K665" s="98">
        <v>2019</v>
      </c>
      <c r="L665" s="107" t="s">
        <v>2729</v>
      </c>
    </row>
    <row r="666" spans="1:12" ht="12.75">
      <c r="A666" s="182" t="s">
        <v>256</v>
      </c>
      <c r="B666" s="41">
        <v>467</v>
      </c>
      <c r="C666" s="182">
        <f>B665</f>
        <v>466</v>
      </c>
      <c r="D666" s="191" t="s">
        <v>2730</v>
      </c>
      <c r="E666" s="79" t="s">
        <v>1152</v>
      </c>
      <c r="F666" s="79" t="s">
        <v>1190</v>
      </c>
      <c r="G666" s="79" t="s">
        <v>2731</v>
      </c>
      <c r="H666" s="79" t="s">
        <v>2732</v>
      </c>
      <c r="I666" s="98">
        <v>1709</v>
      </c>
      <c r="J666" s="107" t="s">
        <v>2733</v>
      </c>
      <c r="K666" s="98">
        <v>2019</v>
      </c>
      <c r="L666" s="107" t="s">
        <v>2734</v>
      </c>
    </row>
    <row r="667" spans="1:12" ht="12.75">
      <c r="A667" s="182" t="s">
        <v>256</v>
      </c>
      <c r="B667" s="9">
        <v>468</v>
      </c>
      <c r="C667" s="182">
        <f>B666</f>
        <v>467</v>
      </c>
      <c r="D667" s="191" t="s">
        <v>2735</v>
      </c>
      <c r="E667" s="79" t="s">
        <v>1158</v>
      </c>
      <c r="F667" s="107" t="s">
        <v>1173</v>
      </c>
      <c r="G667" s="79" t="s">
        <v>1437</v>
      </c>
      <c r="H667" s="79" t="s">
        <v>2736</v>
      </c>
      <c r="I667" s="98" t="s">
        <v>2114</v>
      </c>
      <c r="J667" s="107" t="s">
        <v>2737</v>
      </c>
      <c r="K667" s="98">
        <v>2019</v>
      </c>
      <c r="L667" s="107" t="s">
        <v>2738</v>
      </c>
    </row>
    <row r="668" spans="1:12" ht="12.75">
      <c r="A668" s="182" t="s">
        <v>256</v>
      </c>
      <c r="B668" s="41">
        <v>469</v>
      </c>
      <c r="C668" s="11">
        <f>B667</f>
        <v>468</v>
      </c>
      <c r="D668" s="191" t="s">
        <v>2739</v>
      </c>
      <c r="E668" s="79" t="s">
        <v>1158</v>
      </c>
      <c r="F668" s="107" t="s">
        <v>1214</v>
      </c>
      <c r="G668" s="107" t="s">
        <v>1239</v>
      </c>
      <c r="H668" s="79" t="s">
        <v>2740</v>
      </c>
      <c r="I668" s="72" t="s">
        <v>2114</v>
      </c>
      <c r="J668" s="107" t="s">
        <v>2737</v>
      </c>
      <c r="K668" s="124">
        <v>2019</v>
      </c>
      <c r="L668" s="107" t="s">
        <v>2738</v>
      </c>
    </row>
    <row r="669" spans="1:12" ht="12.75">
      <c r="A669" s="198" t="s">
        <v>306</v>
      </c>
      <c r="B669" s="41">
        <v>575</v>
      </c>
      <c r="C669" s="11"/>
      <c r="D669" s="191" t="s">
        <v>3042</v>
      </c>
      <c r="E669" s="181" t="s">
        <v>1153</v>
      </c>
      <c r="F669" s="128" t="s">
        <v>1153</v>
      </c>
      <c r="G669" s="181" t="s">
        <v>1186</v>
      </c>
      <c r="H669" s="79" t="s">
        <v>3043</v>
      </c>
      <c r="I669" s="72">
        <v>1761</v>
      </c>
      <c r="J669" s="205" t="s">
        <v>3044</v>
      </c>
      <c r="K669" s="124">
        <v>1952</v>
      </c>
      <c r="L669" s="205" t="s">
        <v>3045</v>
      </c>
    </row>
    <row r="670" spans="1:12" ht="12.6" customHeight="1">
      <c r="A670" s="198" t="s">
        <v>306</v>
      </c>
      <c r="B670" s="9">
        <v>576</v>
      </c>
      <c r="C670" s="11">
        <f>B669</f>
        <v>575</v>
      </c>
      <c r="D670" s="191" t="s">
        <v>913</v>
      </c>
      <c r="E670" s="107" t="s">
        <v>1158</v>
      </c>
      <c r="F670" s="107" t="s">
        <v>1159</v>
      </c>
      <c r="G670" s="317" t="s">
        <v>4309</v>
      </c>
      <c r="H670" s="79" t="s">
        <v>3046</v>
      </c>
      <c r="I670" s="72">
        <v>1765</v>
      </c>
      <c r="J670" s="205" t="s">
        <v>3047</v>
      </c>
      <c r="K670" s="124">
        <v>2019</v>
      </c>
      <c r="L670" s="205" t="s">
        <v>3048</v>
      </c>
    </row>
    <row r="671" spans="1:12" ht="12.75">
      <c r="A671" s="198" t="s">
        <v>306</v>
      </c>
      <c r="B671" s="41">
        <v>577</v>
      </c>
      <c r="C671" s="11" t="str">
        <f>CONCATENATE(B669,", ",B670)</f>
        <v>575, 576</v>
      </c>
      <c r="D671" s="246" t="s">
        <v>3049</v>
      </c>
      <c r="E671" s="79" t="s">
        <v>1158</v>
      </c>
      <c r="F671" s="107" t="s">
        <v>1214</v>
      </c>
      <c r="G671" s="79" t="s">
        <v>1878</v>
      </c>
      <c r="H671" s="246" t="s">
        <v>3050</v>
      </c>
      <c r="I671" s="246" t="s">
        <v>2162</v>
      </c>
      <c r="J671" s="246" t="s">
        <v>3051</v>
      </c>
      <c r="K671" s="246">
        <v>2009</v>
      </c>
      <c r="L671" s="246" t="s">
        <v>3052</v>
      </c>
    </row>
    <row r="672" spans="1:12" ht="12.6" customHeight="1">
      <c r="A672" s="198" t="s">
        <v>306</v>
      </c>
      <c r="B672" s="41">
        <v>578</v>
      </c>
      <c r="C672" s="11">
        <f>B671</f>
        <v>577</v>
      </c>
      <c r="D672" s="191" t="s">
        <v>3053</v>
      </c>
      <c r="E672" s="107" t="s">
        <v>1158</v>
      </c>
      <c r="F672" s="107" t="s">
        <v>1159</v>
      </c>
      <c r="G672" s="107" t="s">
        <v>1165</v>
      </c>
      <c r="H672" s="107" t="s">
        <v>3054</v>
      </c>
      <c r="I672" s="124">
        <v>1816</v>
      </c>
      <c r="J672" s="205" t="s">
        <v>3055</v>
      </c>
      <c r="K672" s="124">
        <v>2014</v>
      </c>
      <c r="L672" s="205" t="s">
        <v>3056</v>
      </c>
    </row>
    <row r="673" spans="1:12" ht="12.6" customHeight="1">
      <c r="A673" s="198" t="s">
        <v>306</v>
      </c>
      <c r="B673" s="9">
        <v>579</v>
      </c>
      <c r="C673" s="11">
        <f>B672</f>
        <v>578</v>
      </c>
      <c r="D673" s="191" t="s">
        <v>3057</v>
      </c>
      <c r="E673" s="107" t="s">
        <v>1158</v>
      </c>
      <c r="F673" s="128" t="s">
        <v>1214</v>
      </c>
      <c r="G673" s="107" t="s">
        <v>1878</v>
      </c>
      <c r="H673" s="79" t="s">
        <v>3058</v>
      </c>
      <c r="I673" s="98" t="s">
        <v>3059</v>
      </c>
      <c r="J673" s="205" t="s">
        <v>3060</v>
      </c>
      <c r="K673" s="124">
        <v>2017</v>
      </c>
      <c r="L673" s="205" t="s">
        <v>3061</v>
      </c>
    </row>
    <row r="674" spans="1:12" ht="12.75">
      <c r="A674" s="182" t="s">
        <v>290</v>
      </c>
      <c r="B674" s="41">
        <v>547</v>
      </c>
      <c r="C674" s="11"/>
      <c r="D674" s="29" t="s">
        <v>864</v>
      </c>
      <c r="E674" s="181" t="s">
        <v>1153</v>
      </c>
      <c r="F674" s="128" t="s">
        <v>1153</v>
      </c>
      <c r="G674" s="181" t="s">
        <v>2235</v>
      </c>
      <c r="H674" s="79" t="s">
        <v>2969</v>
      </c>
      <c r="I674" s="124">
        <v>1733</v>
      </c>
      <c r="J674" s="107" t="s">
        <v>2970</v>
      </c>
      <c r="K674" s="124">
        <v>2019</v>
      </c>
      <c r="L674" s="107" t="s">
        <v>2971</v>
      </c>
    </row>
    <row r="675" spans="1:12" ht="12.75">
      <c r="A675" s="182" t="s">
        <v>290</v>
      </c>
      <c r="B675" s="41">
        <v>548</v>
      </c>
      <c r="C675" s="11">
        <f>B674</f>
        <v>547</v>
      </c>
      <c r="D675" s="29" t="s">
        <v>2972</v>
      </c>
      <c r="E675" s="181" t="s">
        <v>1158</v>
      </c>
      <c r="F675" s="128" t="s">
        <v>1173</v>
      </c>
      <c r="G675" s="79" t="s">
        <v>1472</v>
      </c>
      <c r="H675" s="79" t="s">
        <v>2973</v>
      </c>
      <c r="I675" s="124">
        <v>1852</v>
      </c>
      <c r="J675" s="107" t="s">
        <v>2974</v>
      </c>
      <c r="K675" s="124">
        <v>1981</v>
      </c>
      <c r="L675" s="107" t="s">
        <v>2975</v>
      </c>
    </row>
    <row r="676" spans="1:12" ht="12.75">
      <c r="A676" s="182" t="s">
        <v>290</v>
      </c>
      <c r="B676" s="9">
        <v>549</v>
      </c>
      <c r="C676" s="182">
        <f>B675</f>
        <v>548</v>
      </c>
      <c r="D676" s="29" t="s">
        <v>2976</v>
      </c>
      <c r="E676" s="181" t="s">
        <v>1152</v>
      </c>
      <c r="F676" s="128" t="s">
        <v>1190</v>
      </c>
      <c r="G676" s="79" t="s">
        <v>1232</v>
      </c>
      <c r="H676" s="79" t="s">
        <v>2977</v>
      </c>
      <c r="I676" s="124">
        <v>1901</v>
      </c>
      <c r="J676" s="107" t="s">
        <v>2978</v>
      </c>
      <c r="K676" s="124">
        <v>2012</v>
      </c>
      <c r="L676" s="107" t="s">
        <v>2979</v>
      </c>
    </row>
    <row r="677" spans="1:12" ht="12.75">
      <c r="A677" s="182" t="s">
        <v>290</v>
      </c>
      <c r="B677" s="41">
        <v>550</v>
      </c>
      <c r="C677" s="182">
        <f>B676</f>
        <v>549</v>
      </c>
      <c r="D677" s="191" t="s">
        <v>864</v>
      </c>
      <c r="E677" s="181" t="s">
        <v>1152</v>
      </c>
      <c r="F677" s="128" t="s">
        <v>1169</v>
      </c>
      <c r="G677" s="79" t="s">
        <v>1367</v>
      </c>
      <c r="H677" s="107" t="s">
        <v>2980</v>
      </c>
      <c r="I677" s="124">
        <v>1952</v>
      </c>
      <c r="J677" s="107" t="s">
        <v>2981</v>
      </c>
      <c r="K677" s="124">
        <v>2013</v>
      </c>
      <c r="L677" s="107" t="s">
        <v>2982</v>
      </c>
    </row>
    <row r="678" spans="1:12" ht="12.75">
      <c r="A678" s="182" t="s">
        <v>290</v>
      </c>
      <c r="B678" s="41">
        <v>551</v>
      </c>
      <c r="C678" s="182">
        <f>B677</f>
        <v>550</v>
      </c>
      <c r="D678" s="29" t="s">
        <v>864</v>
      </c>
      <c r="E678" s="181" t="s">
        <v>1152</v>
      </c>
      <c r="F678" s="128" t="s">
        <v>1169</v>
      </c>
      <c r="G678" s="107" t="s">
        <v>1367</v>
      </c>
      <c r="H678" s="107" t="s">
        <v>2983</v>
      </c>
      <c r="I678" s="124">
        <v>1956</v>
      </c>
      <c r="J678" s="107" t="s">
        <v>2984</v>
      </c>
      <c r="K678" s="124">
        <v>2010</v>
      </c>
      <c r="L678" s="107" t="s">
        <v>2985</v>
      </c>
    </row>
    <row r="679" spans="1:12" ht="12.75">
      <c r="A679" s="182" t="s">
        <v>290</v>
      </c>
      <c r="B679" s="9">
        <v>552</v>
      </c>
      <c r="C679" s="182">
        <f>B678</f>
        <v>551</v>
      </c>
      <c r="D679" s="29" t="s">
        <v>2976</v>
      </c>
      <c r="E679" s="181" t="s">
        <v>1152</v>
      </c>
      <c r="F679" s="128" t="s">
        <v>1190</v>
      </c>
      <c r="G679" s="107" t="s">
        <v>1232</v>
      </c>
      <c r="H679" s="107" t="s">
        <v>2986</v>
      </c>
      <c r="I679" s="124">
        <v>2002</v>
      </c>
      <c r="J679" s="107" t="s">
        <v>2987</v>
      </c>
      <c r="K679" s="124">
        <v>2019</v>
      </c>
      <c r="L679" s="107" t="s">
        <v>2988</v>
      </c>
    </row>
    <row r="680" spans="1:12" ht="12.6" customHeight="1">
      <c r="A680" s="9" t="s">
        <v>98</v>
      </c>
      <c r="B680" s="41">
        <v>127</v>
      </c>
      <c r="C680" s="11"/>
      <c r="D680" s="144" t="s">
        <v>99</v>
      </c>
      <c r="E680" s="107" t="s">
        <v>1153</v>
      </c>
      <c r="F680" s="79" t="s">
        <v>1153</v>
      </c>
      <c r="G680" s="107" t="s">
        <v>1186</v>
      </c>
      <c r="H680" s="79" t="s">
        <v>1615</v>
      </c>
      <c r="I680" s="98" t="s">
        <v>1616</v>
      </c>
      <c r="J680" s="82" t="s">
        <v>1617</v>
      </c>
      <c r="K680" s="124">
        <v>2015</v>
      </c>
      <c r="L680" s="107" t="s">
        <v>1618</v>
      </c>
    </row>
    <row r="681" spans="1:12" ht="12.6" customHeight="1">
      <c r="A681" s="9" t="s">
        <v>98</v>
      </c>
      <c r="B681" s="41">
        <v>128</v>
      </c>
      <c r="C681" s="11">
        <f>B680</f>
        <v>127</v>
      </c>
      <c r="D681" s="144" t="s">
        <v>99</v>
      </c>
      <c r="E681" s="79" t="s">
        <v>1152</v>
      </c>
      <c r="F681" s="79" t="s">
        <v>1190</v>
      </c>
      <c r="G681" s="107" t="s">
        <v>1585</v>
      </c>
      <c r="H681" s="79" t="s">
        <v>1619</v>
      </c>
      <c r="I681" s="72" t="s">
        <v>1616</v>
      </c>
      <c r="J681" s="82" t="s">
        <v>1617</v>
      </c>
      <c r="K681" s="124">
        <v>2015</v>
      </c>
      <c r="L681" s="107" t="s">
        <v>1620</v>
      </c>
    </row>
    <row r="682" spans="1:12" ht="12.6" customHeight="1">
      <c r="A682" s="9" t="s">
        <v>98</v>
      </c>
      <c r="B682" s="9">
        <v>129</v>
      </c>
      <c r="C682" s="11">
        <f>B680</f>
        <v>127</v>
      </c>
      <c r="D682" s="144" t="s">
        <v>99</v>
      </c>
      <c r="E682" s="107" t="s">
        <v>1152</v>
      </c>
      <c r="F682" s="79" t="s">
        <v>1190</v>
      </c>
      <c r="G682" s="107" t="s">
        <v>1585</v>
      </c>
      <c r="H682" s="107" t="s">
        <v>1621</v>
      </c>
      <c r="I682" s="124" t="s">
        <v>1616</v>
      </c>
      <c r="J682" s="107" t="s">
        <v>1617</v>
      </c>
      <c r="K682" s="124">
        <v>2015</v>
      </c>
      <c r="L682" s="107" t="s">
        <v>1618</v>
      </c>
    </row>
    <row r="683" spans="1:12" ht="12.6" customHeight="1">
      <c r="A683" s="9" t="s">
        <v>98</v>
      </c>
      <c r="B683" s="41">
        <v>130</v>
      </c>
      <c r="C683" s="11" t="str">
        <f>CONCATENATE(B680,", ",B681)</f>
        <v>127, 128</v>
      </c>
      <c r="D683" s="144" t="s">
        <v>99</v>
      </c>
      <c r="E683" s="107" t="s">
        <v>1152</v>
      </c>
      <c r="F683" s="79" t="s">
        <v>1169</v>
      </c>
      <c r="G683" s="107" t="s">
        <v>1367</v>
      </c>
      <c r="H683" s="107" t="s">
        <v>1622</v>
      </c>
      <c r="I683" s="124">
        <v>1923</v>
      </c>
      <c r="J683" s="205" t="s">
        <v>1623</v>
      </c>
      <c r="K683" s="124">
        <v>2013</v>
      </c>
      <c r="L683" s="107" t="s">
        <v>1624</v>
      </c>
    </row>
    <row r="684" spans="1:12" ht="12.6" customHeight="1">
      <c r="A684" s="182" t="s">
        <v>98</v>
      </c>
      <c r="B684" s="41">
        <v>131</v>
      </c>
      <c r="C684" s="182" t="str">
        <f>CONCATENATE(B680,", ",B681)</f>
        <v>127, 128</v>
      </c>
      <c r="D684" s="144" t="s">
        <v>99</v>
      </c>
      <c r="E684" s="79" t="s">
        <v>1152</v>
      </c>
      <c r="F684" s="58" t="s">
        <v>1190</v>
      </c>
      <c r="G684" s="107" t="s">
        <v>1191</v>
      </c>
      <c r="H684" s="107" t="s">
        <v>1625</v>
      </c>
      <c r="I684" s="72">
        <v>1923</v>
      </c>
      <c r="J684" s="205" t="s">
        <v>1623</v>
      </c>
      <c r="K684" s="72">
        <v>2012</v>
      </c>
      <c r="L684" s="107" t="s">
        <v>1626</v>
      </c>
    </row>
    <row r="685" spans="1:12" ht="12.6" customHeight="1">
      <c r="A685" s="182" t="s">
        <v>98</v>
      </c>
      <c r="B685" s="9">
        <v>132</v>
      </c>
      <c r="C685" s="11" t="str">
        <f>CONCATENATE(B680,", ",B681)</f>
        <v>127, 128</v>
      </c>
      <c r="D685" s="144" t="s">
        <v>99</v>
      </c>
      <c r="E685" s="79" t="s">
        <v>1152</v>
      </c>
      <c r="F685" s="79" t="s">
        <v>1190</v>
      </c>
      <c r="G685" s="107" t="s">
        <v>1191</v>
      </c>
      <c r="H685" s="107" t="s">
        <v>1627</v>
      </c>
      <c r="I685" s="72">
        <v>1923</v>
      </c>
      <c r="J685" s="205" t="s">
        <v>1623</v>
      </c>
      <c r="K685" s="98">
        <v>2012</v>
      </c>
      <c r="L685" s="82" t="s">
        <v>1628</v>
      </c>
    </row>
    <row r="686" spans="1:12" ht="12.6" customHeight="1">
      <c r="A686" s="182" t="s">
        <v>98</v>
      </c>
      <c r="B686" s="41">
        <v>133</v>
      </c>
      <c r="C686" s="11" t="str">
        <f>CONCATENATE(B683,", ",B684,", ",B685)</f>
        <v>130, 131, 132</v>
      </c>
      <c r="D686" s="144" t="s">
        <v>1629</v>
      </c>
      <c r="E686" s="107" t="s">
        <v>1158</v>
      </c>
      <c r="F686" s="107" t="s">
        <v>1173</v>
      </c>
      <c r="G686" s="107" t="s">
        <v>1472</v>
      </c>
      <c r="H686" s="107" t="s">
        <v>1630</v>
      </c>
      <c r="I686" s="124">
        <v>2010</v>
      </c>
      <c r="J686" s="107" t="s">
        <v>1631</v>
      </c>
      <c r="K686" s="124">
        <v>2022</v>
      </c>
      <c r="L686" s="181" t="s">
        <v>1632</v>
      </c>
    </row>
    <row r="687" spans="1:12" ht="12.6" customHeight="1">
      <c r="A687" s="182" t="s">
        <v>68</v>
      </c>
      <c r="B687" s="41">
        <v>75</v>
      </c>
      <c r="C687" s="11"/>
      <c r="D687" s="144" t="s">
        <v>1428</v>
      </c>
      <c r="E687" s="107" t="s">
        <v>1153</v>
      </c>
      <c r="F687" s="107" t="s">
        <v>1153</v>
      </c>
      <c r="G687" s="107" t="s">
        <v>1154</v>
      </c>
      <c r="H687" s="107" t="s">
        <v>1429</v>
      </c>
      <c r="I687" s="108">
        <v>1766</v>
      </c>
      <c r="J687" s="107" t="s">
        <v>1430</v>
      </c>
      <c r="K687" s="108">
        <v>1999</v>
      </c>
      <c r="L687" s="109" t="s">
        <v>1431</v>
      </c>
    </row>
    <row r="688" spans="1:12" ht="12.6" customHeight="1">
      <c r="A688" s="182" t="s">
        <v>68</v>
      </c>
      <c r="B688" s="9">
        <v>76</v>
      </c>
      <c r="C688" s="11">
        <f>B687</f>
        <v>75</v>
      </c>
      <c r="D688" s="144" t="s">
        <v>1432</v>
      </c>
      <c r="E688" s="107" t="s">
        <v>1158</v>
      </c>
      <c r="F688" s="107" t="s">
        <v>1173</v>
      </c>
      <c r="G688" s="107" t="s">
        <v>1174</v>
      </c>
      <c r="H688" s="107" t="s">
        <v>1433</v>
      </c>
      <c r="I688" s="108">
        <v>1824</v>
      </c>
      <c r="J688" s="107" t="s">
        <v>1434</v>
      </c>
      <c r="K688" s="108">
        <v>2015</v>
      </c>
      <c r="L688" s="109" t="s">
        <v>1435</v>
      </c>
    </row>
    <row r="689" spans="1:12" ht="12.6" customHeight="1">
      <c r="A689" s="182" t="s">
        <v>68</v>
      </c>
      <c r="B689" s="41">
        <v>77</v>
      </c>
      <c r="C689" s="11">
        <f>B688</f>
        <v>76</v>
      </c>
      <c r="D689" s="144" t="s">
        <v>1436</v>
      </c>
      <c r="E689" s="107" t="s">
        <v>1158</v>
      </c>
      <c r="F689" s="116" t="s">
        <v>1173</v>
      </c>
      <c r="G689" s="115" t="s">
        <v>1437</v>
      </c>
      <c r="H689" s="107" t="s">
        <v>1438</v>
      </c>
      <c r="I689" s="108">
        <v>1753</v>
      </c>
      <c r="J689" s="107" t="s">
        <v>1439</v>
      </c>
      <c r="K689" s="108">
        <v>2002</v>
      </c>
      <c r="L689" s="107" t="s">
        <v>1440</v>
      </c>
    </row>
    <row r="690" spans="1:12" ht="12.6" customHeight="1">
      <c r="A690" s="182" t="s">
        <v>68</v>
      </c>
      <c r="B690" s="41">
        <v>78</v>
      </c>
      <c r="C690" s="11">
        <f>B689</f>
        <v>77</v>
      </c>
      <c r="D690" s="188" t="s">
        <v>1436</v>
      </c>
      <c r="E690" s="107" t="s">
        <v>1152</v>
      </c>
      <c r="F690" s="116" t="s">
        <v>1169</v>
      </c>
      <c r="G690" s="115" t="s">
        <v>1202</v>
      </c>
      <c r="H690" s="107" t="s">
        <v>1441</v>
      </c>
      <c r="I690" s="108">
        <v>1833</v>
      </c>
      <c r="J690" s="62" t="s">
        <v>1442</v>
      </c>
      <c r="K690" s="124">
        <v>2003</v>
      </c>
      <c r="L690" s="109" t="s">
        <v>1443</v>
      </c>
    </row>
    <row r="691" spans="1:12" ht="12.6" customHeight="1">
      <c r="A691" s="182" t="s">
        <v>68</v>
      </c>
      <c r="B691" s="9">
        <v>79</v>
      </c>
      <c r="C691" s="11">
        <f>B690</f>
        <v>78</v>
      </c>
      <c r="D691" s="188" t="s">
        <v>1444</v>
      </c>
      <c r="E691" s="79" t="s">
        <v>1152</v>
      </c>
      <c r="F691" s="116" t="s">
        <v>1169</v>
      </c>
      <c r="G691" s="107" t="s">
        <v>1367</v>
      </c>
      <c r="H691" s="107" t="s">
        <v>1445</v>
      </c>
      <c r="I691" s="108">
        <v>1899</v>
      </c>
      <c r="J691" s="82" t="s">
        <v>1446</v>
      </c>
      <c r="K691" s="108">
        <v>2014</v>
      </c>
      <c r="L691" s="107" t="s">
        <v>1447</v>
      </c>
    </row>
    <row r="692" spans="1:12" ht="12.6" customHeight="1">
      <c r="A692" s="182" t="s">
        <v>68</v>
      </c>
      <c r="B692" s="41">
        <v>80</v>
      </c>
      <c r="C692" s="11">
        <f>B691</f>
        <v>79</v>
      </c>
      <c r="D692" s="188" t="s">
        <v>1444</v>
      </c>
      <c r="E692" s="79" t="s">
        <v>1152</v>
      </c>
      <c r="F692" s="116" t="s">
        <v>1169</v>
      </c>
      <c r="G692" s="107" t="s">
        <v>1448</v>
      </c>
      <c r="H692" s="107" t="s">
        <v>1449</v>
      </c>
      <c r="I692" s="108">
        <v>1903</v>
      </c>
      <c r="J692" s="82" t="s">
        <v>1450</v>
      </c>
      <c r="K692" s="108">
        <v>2012</v>
      </c>
      <c r="L692" s="107" t="s">
        <v>1451</v>
      </c>
    </row>
    <row r="693" spans="1:12" ht="12.6" customHeight="1">
      <c r="A693" s="182" t="s">
        <v>68</v>
      </c>
      <c r="B693" s="41">
        <v>81</v>
      </c>
      <c r="C693" s="11">
        <f>B687</f>
        <v>75</v>
      </c>
      <c r="D693" s="188" t="s">
        <v>69</v>
      </c>
      <c r="E693" s="79" t="s">
        <v>1152</v>
      </c>
      <c r="F693" s="116" t="s">
        <v>1208</v>
      </c>
      <c r="G693" s="115" t="s">
        <v>1209</v>
      </c>
      <c r="H693" s="107" t="s">
        <v>1452</v>
      </c>
      <c r="I693" s="108">
        <v>1830</v>
      </c>
      <c r="J693" s="107" t="s">
        <v>1453</v>
      </c>
      <c r="K693" s="98">
        <v>2010</v>
      </c>
      <c r="L693" s="107" t="s">
        <v>1454</v>
      </c>
    </row>
    <row r="694" spans="1:12" ht="12.75">
      <c r="A694" s="23" t="s">
        <v>202</v>
      </c>
      <c r="B694" s="9">
        <v>747</v>
      </c>
      <c r="C694" s="11"/>
      <c r="D694" s="29" t="s">
        <v>868</v>
      </c>
      <c r="E694" s="79" t="s">
        <v>1153</v>
      </c>
      <c r="F694" s="79" t="s">
        <v>1153</v>
      </c>
      <c r="G694" s="74" t="s">
        <v>1154</v>
      </c>
      <c r="H694" s="74" t="s">
        <v>3513</v>
      </c>
      <c r="I694" s="193">
        <v>1838</v>
      </c>
      <c r="J694" s="107" t="s">
        <v>3514</v>
      </c>
      <c r="K694" s="193">
        <v>1996</v>
      </c>
      <c r="L694" s="225" t="s">
        <v>3515</v>
      </c>
    </row>
    <row r="695" spans="1:12" ht="12.75">
      <c r="A695" s="23" t="s">
        <v>202</v>
      </c>
      <c r="B695" s="41">
        <v>748</v>
      </c>
      <c r="C695" s="11">
        <f>B694</f>
        <v>747</v>
      </c>
      <c r="D695" s="29" t="s">
        <v>3516</v>
      </c>
      <c r="E695" s="79" t="s">
        <v>1152</v>
      </c>
      <c r="F695" s="79" t="s">
        <v>1169</v>
      </c>
      <c r="G695" s="74" t="s">
        <v>1170</v>
      </c>
      <c r="H695" s="74" t="s">
        <v>3517</v>
      </c>
      <c r="I695" s="193">
        <v>1887</v>
      </c>
      <c r="J695" s="107" t="s">
        <v>3518</v>
      </c>
      <c r="K695" s="193">
        <v>2016</v>
      </c>
      <c r="L695" s="225" t="s">
        <v>3519</v>
      </c>
    </row>
    <row r="696" spans="1:12" ht="12.75">
      <c r="A696" s="198" t="s">
        <v>202</v>
      </c>
      <c r="B696" s="41">
        <v>749</v>
      </c>
      <c r="C696" s="182">
        <f>B694</f>
        <v>747</v>
      </c>
      <c r="D696" s="29" t="s">
        <v>3520</v>
      </c>
      <c r="E696" s="107" t="s">
        <v>1152</v>
      </c>
      <c r="F696" s="107" t="s">
        <v>1169</v>
      </c>
      <c r="G696" s="225" t="s">
        <v>1170</v>
      </c>
      <c r="H696" s="225" t="s">
        <v>3521</v>
      </c>
      <c r="I696" s="193">
        <v>1890</v>
      </c>
      <c r="J696" s="107" t="s">
        <v>3522</v>
      </c>
      <c r="K696" s="193">
        <v>2006</v>
      </c>
      <c r="L696" s="225" t="s">
        <v>3523</v>
      </c>
    </row>
    <row r="697" spans="1:12" ht="12.75">
      <c r="A697" s="9" t="s">
        <v>294</v>
      </c>
      <c r="B697" s="41">
        <v>553</v>
      </c>
      <c r="C697" s="182"/>
      <c r="D697" s="16" t="s">
        <v>883</v>
      </c>
      <c r="E697" s="107" t="s">
        <v>1153</v>
      </c>
      <c r="F697" s="58" t="s">
        <v>1153</v>
      </c>
      <c r="G697" s="107" t="s">
        <v>1154</v>
      </c>
      <c r="H697" s="107" t="s">
        <v>2989</v>
      </c>
      <c r="I697" s="72">
        <v>1800</v>
      </c>
      <c r="J697" s="62" t="s">
        <v>2990</v>
      </c>
      <c r="K697" s="72">
        <v>2015</v>
      </c>
      <c r="L697" s="62" t="s">
        <v>2991</v>
      </c>
    </row>
    <row r="698" spans="1:12" ht="12.75">
      <c r="A698" s="9" t="s">
        <v>294</v>
      </c>
      <c r="B698" s="9">
        <v>554</v>
      </c>
      <c r="C698" s="182">
        <f>B697</f>
        <v>553</v>
      </c>
      <c r="D698" s="16" t="s">
        <v>883</v>
      </c>
      <c r="E698" s="107" t="s">
        <v>1152</v>
      </c>
      <c r="F698" s="79" t="s">
        <v>1169</v>
      </c>
      <c r="G698" s="107" t="s">
        <v>1367</v>
      </c>
      <c r="H698" s="107" t="s">
        <v>2992</v>
      </c>
      <c r="I698" s="72">
        <v>1825</v>
      </c>
      <c r="J698" s="62" t="s">
        <v>2993</v>
      </c>
      <c r="K698" s="72">
        <v>2006</v>
      </c>
      <c r="L698" s="176" t="s">
        <v>2994</v>
      </c>
    </row>
    <row r="699" spans="1:12" ht="12.75">
      <c r="A699" s="9" t="s">
        <v>294</v>
      </c>
      <c r="B699" s="41">
        <v>555</v>
      </c>
      <c r="C699" s="11">
        <f>B698</f>
        <v>554</v>
      </c>
      <c r="D699" s="16" t="s">
        <v>883</v>
      </c>
      <c r="E699" s="181" t="s">
        <v>1152</v>
      </c>
      <c r="F699" s="181" t="s">
        <v>1190</v>
      </c>
      <c r="G699" s="107" t="s">
        <v>1228</v>
      </c>
      <c r="H699" s="107" t="s">
        <v>2995</v>
      </c>
      <c r="I699" s="98" t="s">
        <v>2996</v>
      </c>
      <c r="J699" s="82" t="s">
        <v>2997</v>
      </c>
      <c r="K699" s="98">
        <v>2014</v>
      </c>
      <c r="L699" s="82" t="s">
        <v>2998</v>
      </c>
    </row>
    <row r="700" spans="1:12" ht="12.75">
      <c r="A700" s="180" t="s">
        <v>101</v>
      </c>
      <c r="B700" s="41">
        <v>154</v>
      </c>
      <c r="C700" s="180"/>
      <c r="D700" s="85" t="s">
        <v>1700</v>
      </c>
      <c r="E700" s="181" t="s">
        <v>1153</v>
      </c>
      <c r="F700" s="181" t="s">
        <v>1153</v>
      </c>
      <c r="G700" s="181" t="s">
        <v>1154</v>
      </c>
      <c r="H700" s="181" t="s">
        <v>1701</v>
      </c>
      <c r="I700" s="165" t="s">
        <v>1702</v>
      </c>
      <c r="J700" s="181" t="s">
        <v>1703</v>
      </c>
      <c r="K700" s="165">
        <v>2015</v>
      </c>
      <c r="L700" s="181" t="s">
        <v>1704</v>
      </c>
    </row>
    <row r="701" spans="1:12" ht="12.75">
      <c r="A701" s="180" t="s">
        <v>101</v>
      </c>
      <c r="B701" s="41">
        <v>155</v>
      </c>
      <c r="C701" s="180">
        <f>B700</f>
        <v>154</v>
      </c>
      <c r="D701" s="85" t="s">
        <v>1700</v>
      </c>
      <c r="E701" s="181" t="s">
        <v>1152</v>
      </c>
      <c r="F701" s="181" t="s">
        <v>1169</v>
      </c>
      <c r="G701" s="181" t="s">
        <v>1297</v>
      </c>
      <c r="H701" s="181" t="s">
        <v>1705</v>
      </c>
      <c r="I701" s="165" t="s">
        <v>1547</v>
      </c>
      <c r="J701" s="181" t="s">
        <v>1706</v>
      </c>
      <c r="K701" s="165">
        <v>2016</v>
      </c>
      <c r="L701" s="181" t="s">
        <v>1707</v>
      </c>
    </row>
    <row r="702" spans="1:12" ht="12.75">
      <c r="A702" s="180" t="s">
        <v>101</v>
      </c>
      <c r="B702" s="9">
        <v>156</v>
      </c>
      <c r="C702" s="180">
        <f>B700</f>
        <v>154</v>
      </c>
      <c r="D702" s="188" t="s">
        <v>1708</v>
      </c>
      <c r="E702" s="181" t="s">
        <v>1152</v>
      </c>
      <c r="F702" s="181" t="s">
        <v>1190</v>
      </c>
      <c r="G702" s="181" t="s">
        <v>1228</v>
      </c>
      <c r="H702" s="181" t="s">
        <v>1709</v>
      </c>
      <c r="I702" s="165" t="s">
        <v>1547</v>
      </c>
      <c r="J702" s="181" t="s">
        <v>1706</v>
      </c>
      <c r="K702" s="165">
        <v>2006</v>
      </c>
      <c r="L702" s="181" t="s">
        <v>1710</v>
      </c>
    </row>
    <row r="703" spans="1:12" ht="12.75">
      <c r="A703" s="180" t="s">
        <v>101</v>
      </c>
      <c r="B703" s="41">
        <v>157</v>
      </c>
      <c r="C703" s="180" t="str">
        <f>CONCATENATE(B701,", ",B702)</f>
        <v>155, 156</v>
      </c>
      <c r="D703" s="85" t="s">
        <v>1711</v>
      </c>
      <c r="E703" s="181" t="s">
        <v>1158</v>
      </c>
      <c r="F703" s="181" t="s">
        <v>1159</v>
      </c>
      <c r="G703" s="181" t="s">
        <v>1267</v>
      </c>
      <c r="H703" s="181" t="s">
        <v>1712</v>
      </c>
      <c r="I703" s="165">
        <v>1874</v>
      </c>
      <c r="J703" s="181" t="s">
        <v>1713</v>
      </c>
      <c r="K703" s="165">
        <v>2001</v>
      </c>
      <c r="L703" s="181" t="s">
        <v>1714</v>
      </c>
    </row>
    <row r="704" spans="1:12" ht="12.75">
      <c r="A704" s="180" t="s">
        <v>101</v>
      </c>
      <c r="B704" s="41">
        <v>158</v>
      </c>
      <c r="C704" s="180">
        <f>B703</f>
        <v>157</v>
      </c>
      <c r="D704" s="85" t="s">
        <v>1715</v>
      </c>
      <c r="E704" s="181" t="s">
        <v>1158</v>
      </c>
      <c r="F704" s="181" t="s">
        <v>1173</v>
      </c>
      <c r="G704" s="181" t="s">
        <v>1371</v>
      </c>
      <c r="H704" s="181" t="s">
        <v>1716</v>
      </c>
      <c r="I704" s="165">
        <v>1912</v>
      </c>
      <c r="J704" s="181" t="s">
        <v>1717</v>
      </c>
      <c r="K704" s="165">
        <v>2016</v>
      </c>
      <c r="L704" s="181" t="s">
        <v>1707</v>
      </c>
    </row>
    <row r="705" spans="1:12" ht="12.6" customHeight="1">
      <c r="A705" s="180" t="s">
        <v>101</v>
      </c>
      <c r="B705" s="9">
        <v>159</v>
      </c>
      <c r="C705" s="180">
        <f>B704</f>
        <v>158</v>
      </c>
      <c r="D705" s="85" t="s">
        <v>1718</v>
      </c>
      <c r="E705" s="181" t="s">
        <v>1158</v>
      </c>
      <c r="F705" s="181" t="s">
        <v>1214</v>
      </c>
      <c r="G705" s="203" t="s">
        <v>1239</v>
      </c>
      <c r="H705" s="181" t="s">
        <v>1719</v>
      </c>
      <c r="I705" s="111">
        <v>1941</v>
      </c>
      <c r="J705" s="129" t="s">
        <v>1720</v>
      </c>
      <c r="K705" s="165">
        <v>2010</v>
      </c>
      <c r="L705" s="181" t="s">
        <v>1721</v>
      </c>
    </row>
    <row r="706" spans="1:12" ht="12.75">
      <c r="A706" s="23" t="s">
        <v>204</v>
      </c>
      <c r="B706" s="9">
        <v>38</v>
      </c>
      <c r="C706" s="11"/>
      <c r="D706" s="246" t="s">
        <v>1301</v>
      </c>
      <c r="E706" s="191" t="s">
        <v>1153</v>
      </c>
      <c r="F706" s="201" t="s">
        <v>1153</v>
      </c>
      <c r="G706" s="246" t="s">
        <v>1154</v>
      </c>
      <c r="H706" s="246" t="s">
        <v>1302</v>
      </c>
      <c r="I706" s="246">
        <v>1823</v>
      </c>
      <c r="J706" s="246" t="s">
        <v>1303</v>
      </c>
      <c r="K706" s="246">
        <v>2019</v>
      </c>
      <c r="L706" s="225" t="s">
        <v>1304</v>
      </c>
    </row>
    <row r="707" spans="1:12" ht="12.75">
      <c r="A707" s="23" t="s">
        <v>204</v>
      </c>
      <c r="B707" s="41">
        <v>39</v>
      </c>
      <c r="C707" s="11">
        <f>B706</f>
        <v>38</v>
      </c>
      <c r="D707" s="246" t="s">
        <v>1301</v>
      </c>
      <c r="E707" s="191" t="s">
        <v>1152</v>
      </c>
      <c r="F707" s="201" t="s">
        <v>1169</v>
      </c>
      <c r="G707" s="246" t="s">
        <v>1170</v>
      </c>
      <c r="H707" s="246" t="s">
        <v>1305</v>
      </c>
      <c r="I707" s="198">
        <v>1841</v>
      </c>
      <c r="J707" s="201" t="s">
        <v>1306</v>
      </c>
      <c r="K707" s="246">
        <v>2019</v>
      </c>
      <c r="L707" s="225" t="s">
        <v>1307</v>
      </c>
    </row>
    <row r="708" spans="1:12" ht="12.75">
      <c r="A708" s="23" t="s">
        <v>204</v>
      </c>
      <c r="B708" s="41">
        <v>40</v>
      </c>
      <c r="C708" s="11">
        <f>B707</f>
        <v>39</v>
      </c>
      <c r="D708" s="246" t="s">
        <v>1308</v>
      </c>
      <c r="E708" s="191" t="s">
        <v>1152</v>
      </c>
      <c r="F708" s="201" t="s">
        <v>1169</v>
      </c>
      <c r="G708" s="246" t="s">
        <v>1170</v>
      </c>
      <c r="H708" s="246" t="s">
        <v>1309</v>
      </c>
      <c r="I708" s="198">
        <v>1863</v>
      </c>
      <c r="J708" s="201" t="s">
        <v>1310</v>
      </c>
      <c r="K708" s="182">
        <v>2017</v>
      </c>
      <c r="L708" s="201" t="s">
        <v>1311</v>
      </c>
    </row>
    <row r="709" spans="1:12" ht="12.75">
      <c r="A709" s="23" t="s">
        <v>204</v>
      </c>
      <c r="B709" s="9">
        <v>41</v>
      </c>
      <c r="C709" s="182">
        <f>B707</f>
        <v>39</v>
      </c>
      <c r="D709" s="246" t="s">
        <v>1308</v>
      </c>
      <c r="E709" s="16" t="s">
        <v>1158</v>
      </c>
      <c r="F709" s="225" t="s">
        <v>1159</v>
      </c>
      <c r="G709" s="246" t="s">
        <v>1165</v>
      </c>
      <c r="H709" s="246" t="s">
        <v>1312</v>
      </c>
      <c r="I709" s="198">
        <v>1863</v>
      </c>
      <c r="J709" s="201" t="s">
        <v>1310</v>
      </c>
      <c r="K709" s="41">
        <v>2017</v>
      </c>
      <c r="L709" s="201" t="s">
        <v>1311</v>
      </c>
    </row>
    <row r="710" spans="1:12" ht="12.75">
      <c r="A710" s="23" t="s">
        <v>204</v>
      </c>
      <c r="B710" s="41">
        <v>42</v>
      </c>
      <c r="C710" s="182" t="str">
        <f>CONCATENATE(B708, ", ", B709)</f>
        <v>40, 41</v>
      </c>
      <c r="D710" s="246" t="s">
        <v>1301</v>
      </c>
      <c r="E710" s="16" t="s">
        <v>1152</v>
      </c>
      <c r="F710" s="225" t="s">
        <v>1169</v>
      </c>
      <c r="G710" s="246" t="s">
        <v>1170</v>
      </c>
      <c r="H710" s="246" t="s">
        <v>1313</v>
      </c>
      <c r="I710" s="198">
        <v>1903</v>
      </c>
      <c r="J710" s="246" t="s">
        <v>1314</v>
      </c>
      <c r="K710" s="246">
        <v>2008</v>
      </c>
      <c r="L710" s="201" t="s">
        <v>1315</v>
      </c>
    </row>
    <row r="711" spans="1:12" ht="12.75">
      <c r="A711" s="23" t="s">
        <v>204</v>
      </c>
      <c r="B711" s="41">
        <v>43</v>
      </c>
      <c r="C711" s="182">
        <f>B707</f>
        <v>39</v>
      </c>
      <c r="D711" s="246" t="s">
        <v>1301</v>
      </c>
      <c r="E711" s="16" t="s">
        <v>1152</v>
      </c>
      <c r="F711" s="225" t="s">
        <v>1169</v>
      </c>
      <c r="G711" s="246" t="s">
        <v>1170</v>
      </c>
      <c r="H711" s="246" t="s">
        <v>1316</v>
      </c>
      <c r="I711" s="198">
        <v>1903</v>
      </c>
      <c r="J711" s="201" t="s">
        <v>1317</v>
      </c>
      <c r="K711" s="41">
        <v>2013</v>
      </c>
      <c r="L711" s="107" t="s">
        <v>1318</v>
      </c>
    </row>
    <row r="712" spans="1:12" ht="12.75">
      <c r="A712" s="23" t="s">
        <v>204</v>
      </c>
      <c r="B712" s="9">
        <v>44</v>
      </c>
      <c r="C712" s="182" t="str">
        <f>CONCATENATE(B708, ", ", B709, ", ", B711)</f>
        <v>40, 41, 43</v>
      </c>
      <c r="D712" s="246" t="s">
        <v>1319</v>
      </c>
      <c r="E712" s="16" t="s">
        <v>1158</v>
      </c>
      <c r="F712" s="225" t="s">
        <v>1208</v>
      </c>
      <c r="G712" s="246" t="s">
        <v>1209</v>
      </c>
      <c r="H712" s="246" t="s">
        <v>1320</v>
      </c>
      <c r="I712" s="198">
        <v>2003</v>
      </c>
      <c r="J712" s="201" t="s">
        <v>1321</v>
      </c>
      <c r="K712" s="246">
        <v>2018</v>
      </c>
      <c r="L712" s="201" t="s">
        <v>1322</v>
      </c>
    </row>
    <row r="713" spans="1:12" ht="12.75">
      <c r="A713" s="23" t="s">
        <v>308</v>
      </c>
      <c r="B713" s="9">
        <v>581</v>
      </c>
      <c r="C713" s="182"/>
      <c r="D713" s="191" t="s">
        <v>3062</v>
      </c>
      <c r="E713" s="79" t="s">
        <v>1153</v>
      </c>
      <c r="F713" s="107" t="s">
        <v>1153</v>
      </c>
      <c r="G713" s="107" t="s">
        <v>1154</v>
      </c>
      <c r="H713" s="107" t="s">
        <v>3063</v>
      </c>
      <c r="I713" s="124" t="s">
        <v>3064</v>
      </c>
      <c r="J713" s="107" t="s">
        <v>3065</v>
      </c>
      <c r="K713" s="124">
        <v>2016</v>
      </c>
      <c r="L713" s="107" t="s">
        <v>3066</v>
      </c>
    </row>
    <row r="714" spans="1:12" ht="12.75">
      <c r="A714" s="23" t="s">
        <v>308</v>
      </c>
      <c r="B714" s="41">
        <v>582</v>
      </c>
      <c r="C714" s="182">
        <f>B713</f>
        <v>581</v>
      </c>
      <c r="D714" s="191" t="s">
        <v>3062</v>
      </c>
      <c r="E714" s="79" t="s">
        <v>1152</v>
      </c>
      <c r="F714" s="107" t="s">
        <v>1169</v>
      </c>
      <c r="G714" s="79" t="s">
        <v>1170</v>
      </c>
      <c r="H714" s="181" t="s">
        <v>3067</v>
      </c>
      <c r="I714" s="124">
        <v>1846</v>
      </c>
      <c r="J714" s="107" t="s">
        <v>3068</v>
      </c>
      <c r="K714" s="98">
        <v>2012</v>
      </c>
      <c r="L714" s="107" t="s">
        <v>3069</v>
      </c>
    </row>
    <row r="715" spans="1:12" ht="12.75">
      <c r="A715" s="23" t="s">
        <v>308</v>
      </c>
      <c r="B715" s="41">
        <v>583</v>
      </c>
      <c r="C715" s="182" t="str">
        <f>CONCATENATE(B714,", ",B715)</f>
        <v>582, 583</v>
      </c>
      <c r="D715" s="191" t="s">
        <v>3070</v>
      </c>
      <c r="E715" s="79" t="s">
        <v>1158</v>
      </c>
      <c r="F715" s="107" t="s">
        <v>1214</v>
      </c>
      <c r="G715" s="79" t="s">
        <v>1247</v>
      </c>
      <c r="H715" s="181" t="s">
        <v>3071</v>
      </c>
      <c r="I715" s="98">
        <v>1916</v>
      </c>
      <c r="J715" s="82" t="s">
        <v>3072</v>
      </c>
      <c r="K715" s="72">
        <v>2021</v>
      </c>
      <c r="L715" s="107" t="s">
        <v>3073</v>
      </c>
    </row>
    <row r="716" spans="1:12" ht="12.75">
      <c r="A716" s="23" t="s">
        <v>317</v>
      </c>
      <c r="B716" s="9">
        <v>600</v>
      </c>
      <c r="C716" s="182"/>
      <c r="D716" s="16" t="s">
        <v>933</v>
      </c>
      <c r="E716" s="107" t="s">
        <v>1152</v>
      </c>
      <c r="F716" s="107" t="s">
        <v>1169</v>
      </c>
      <c r="G716" s="126" t="s">
        <v>1297</v>
      </c>
      <c r="H716" s="189" t="s">
        <v>3120</v>
      </c>
      <c r="I716" s="124">
        <v>1830</v>
      </c>
      <c r="J716" s="107" t="s">
        <v>3121</v>
      </c>
      <c r="K716" s="124">
        <v>2019</v>
      </c>
      <c r="L716" s="107" t="s">
        <v>3122</v>
      </c>
    </row>
    <row r="717" spans="1:12" ht="25.5">
      <c r="A717" s="23" t="s">
        <v>317</v>
      </c>
      <c r="B717" s="41">
        <v>601</v>
      </c>
      <c r="C717" s="182">
        <f>B716</f>
        <v>600</v>
      </c>
      <c r="D717" s="16" t="s">
        <v>3123</v>
      </c>
      <c r="E717" s="79" t="s">
        <v>1158</v>
      </c>
      <c r="F717" s="128" t="s">
        <v>1159</v>
      </c>
      <c r="G717" s="317" t="s">
        <v>4309</v>
      </c>
      <c r="H717" s="107" t="s">
        <v>3124</v>
      </c>
      <c r="I717" s="72">
        <v>1830</v>
      </c>
      <c r="J717" s="62" t="s">
        <v>3125</v>
      </c>
      <c r="K717" s="98">
        <v>2017</v>
      </c>
      <c r="L717" s="107" t="s">
        <v>3126</v>
      </c>
    </row>
    <row r="718" spans="1:12" ht="25.5">
      <c r="A718" s="23" t="s">
        <v>317</v>
      </c>
      <c r="B718" s="41">
        <v>602</v>
      </c>
      <c r="C718" s="182">
        <f>B716</f>
        <v>600</v>
      </c>
      <c r="D718" s="16" t="s">
        <v>3127</v>
      </c>
      <c r="E718" s="79" t="s">
        <v>1158</v>
      </c>
      <c r="F718" s="107" t="s">
        <v>1159</v>
      </c>
      <c r="G718" s="317" t="s">
        <v>4309</v>
      </c>
      <c r="H718" s="107" t="s">
        <v>3128</v>
      </c>
      <c r="I718" s="72">
        <v>1847</v>
      </c>
      <c r="J718" s="62" t="s">
        <v>3129</v>
      </c>
      <c r="K718" s="98">
        <v>2016</v>
      </c>
      <c r="L718" s="107" t="s">
        <v>3130</v>
      </c>
    </row>
    <row r="719" spans="1:12" ht="12.75">
      <c r="A719" s="23" t="s">
        <v>317</v>
      </c>
      <c r="B719" s="9">
        <v>603</v>
      </c>
      <c r="C719" s="182" t="str">
        <f>CONCATENATE(B717,", ",B718)</f>
        <v>601, 602</v>
      </c>
      <c r="D719" s="16" t="s">
        <v>3131</v>
      </c>
      <c r="E719" s="107" t="s">
        <v>1158</v>
      </c>
      <c r="F719" s="107" t="s">
        <v>1159</v>
      </c>
      <c r="G719" s="181" t="s">
        <v>1267</v>
      </c>
      <c r="H719" s="107" t="s">
        <v>3132</v>
      </c>
      <c r="I719" s="72">
        <v>1847</v>
      </c>
      <c r="J719" s="62" t="s">
        <v>3133</v>
      </c>
      <c r="K719" s="98">
        <v>2013</v>
      </c>
      <c r="L719" s="107" t="s">
        <v>3134</v>
      </c>
    </row>
    <row r="720" spans="1:12" ht="12.75">
      <c r="A720" s="23" t="s">
        <v>317</v>
      </c>
      <c r="B720" s="41">
        <v>604</v>
      </c>
      <c r="C720" s="182">
        <f>B719</f>
        <v>603</v>
      </c>
      <c r="D720" s="191" t="s">
        <v>3131</v>
      </c>
      <c r="E720" s="107" t="s">
        <v>1152</v>
      </c>
      <c r="F720" s="107" t="s">
        <v>1169</v>
      </c>
      <c r="G720" s="79" t="s">
        <v>1448</v>
      </c>
      <c r="H720" s="107" t="s">
        <v>3135</v>
      </c>
      <c r="I720" s="72">
        <v>1865</v>
      </c>
      <c r="J720" s="62" t="s">
        <v>3136</v>
      </c>
      <c r="K720" s="98">
        <v>2016</v>
      </c>
      <c r="L720" s="107" t="s">
        <v>3137</v>
      </c>
    </row>
    <row r="721" spans="1:12" ht="12.75">
      <c r="A721" s="198" t="s">
        <v>317</v>
      </c>
      <c r="B721" s="41">
        <v>605</v>
      </c>
      <c r="C721" s="182">
        <f>B719</f>
        <v>603</v>
      </c>
      <c r="D721" s="29" t="s">
        <v>3131</v>
      </c>
      <c r="E721" s="107" t="s">
        <v>1152</v>
      </c>
      <c r="F721" s="107" t="s">
        <v>1169</v>
      </c>
      <c r="G721" s="181" t="s">
        <v>1297</v>
      </c>
      <c r="H721" s="107" t="s">
        <v>3138</v>
      </c>
      <c r="I721" s="124" t="s">
        <v>3139</v>
      </c>
      <c r="J721" s="107" t="s">
        <v>3140</v>
      </c>
      <c r="K721" s="124">
        <v>2014</v>
      </c>
      <c r="L721" s="107" t="s">
        <v>3141</v>
      </c>
    </row>
    <row r="722" spans="1:12" ht="12.75">
      <c r="A722" s="49"/>
      <c r="B722" s="9"/>
      <c r="C722" s="49"/>
      <c r="D722" s="45"/>
      <c r="E722" s="13"/>
      <c r="F722" s="15"/>
      <c r="G722" s="15"/>
      <c r="H722" s="197"/>
      <c r="I722" s="198"/>
      <c r="J722" s="25"/>
      <c r="L722" s="25"/>
    </row>
    <row r="723" spans="1:12" ht="12.75">
      <c r="A723" s="49"/>
      <c r="B723" s="9"/>
      <c r="C723" s="49"/>
      <c r="D723" s="45"/>
      <c r="E723" s="13"/>
      <c r="F723" s="15"/>
      <c r="G723" s="15"/>
      <c r="H723" s="197"/>
      <c r="I723" s="198"/>
      <c r="J723" s="25"/>
      <c r="L723" s="25"/>
    </row>
    <row r="724" spans="1:12" ht="12.75">
      <c r="A724" s="49"/>
      <c r="B724" s="9"/>
      <c r="C724" s="49"/>
      <c r="D724" s="45"/>
      <c r="E724" s="13"/>
      <c r="F724" s="15"/>
      <c r="G724" s="15"/>
      <c r="H724" s="197"/>
      <c r="I724" s="198"/>
      <c r="J724" s="25"/>
      <c r="L724" s="25"/>
    </row>
    <row r="725" spans="1:12" ht="12.75">
      <c r="A725" s="49"/>
      <c r="B725" s="9"/>
      <c r="C725" s="49"/>
      <c r="D725" s="45"/>
      <c r="E725" s="13"/>
      <c r="F725" s="15"/>
      <c r="G725" s="15"/>
      <c r="H725" s="197"/>
      <c r="I725" s="198"/>
      <c r="J725" s="25"/>
      <c r="L725" s="25"/>
    </row>
    <row r="726" spans="1:12" ht="12.75">
      <c r="A726" s="49"/>
      <c r="B726" s="9"/>
      <c r="C726" s="49"/>
      <c r="D726" s="45"/>
      <c r="E726" s="13"/>
      <c r="F726" s="15"/>
      <c r="G726" s="15"/>
      <c r="H726" s="197"/>
      <c r="I726" s="198"/>
      <c r="J726" s="25"/>
      <c r="L726" s="25"/>
    </row>
    <row r="727" spans="1:12" ht="12.75">
      <c r="A727" s="49"/>
      <c r="B727" s="9"/>
      <c r="C727" s="49"/>
      <c r="D727" s="45"/>
      <c r="E727" s="13"/>
      <c r="F727" s="15"/>
      <c r="G727" s="15"/>
      <c r="H727" s="197"/>
      <c r="I727" s="198"/>
      <c r="J727" s="25"/>
      <c r="L727" s="25"/>
    </row>
    <row r="728" spans="1:12" ht="12.75">
      <c r="A728" s="49"/>
      <c r="B728" s="9"/>
      <c r="C728" s="49"/>
      <c r="D728" s="45"/>
      <c r="E728" s="13"/>
      <c r="F728" s="15"/>
      <c r="G728" s="15"/>
      <c r="H728" s="197"/>
      <c r="I728" s="198"/>
      <c r="J728" s="25"/>
      <c r="L728" s="25"/>
    </row>
    <row r="729" spans="1:12" ht="12.75">
      <c r="A729" s="49"/>
      <c r="B729" s="9"/>
      <c r="C729" s="49"/>
      <c r="D729" s="45"/>
      <c r="E729" s="13"/>
      <c r="F729" s="15"/>
      <c r="G729" s="15"/>
      <c r="H729" s="197"/>
      <c r="I729" s="198"/>
      <c r="J729" s="25"/>
      <c r="L729" s="25"/>
    </row>
    <row r="730" spans="1:12" ht="12.75">
      <c r="A730" s="49"/>
      <c r="B730" s="9"/>
      <c r="C730" s="49"/>
      <c r="D730" s="45"/>
      <c r="E730" s="13"/>
      <c r="F730" s="15"/>
      <c r="G730" s="15"/>
      <c r="H730" s="197"/>
      <c r="I730" s="198"/>
      <c r="J730" s="25"/>
      <c r="L730" s="25"/>
    </row>
    <row r="731" spans="1:12" ht="12.75">
      <c r="A731" s="49"/>
      <c r="B731" s="9"/>
      <c r="C731" s="49"/>
      <c r="D731" s="45"/>
      <c r="E731" s="13"/>
      <c r="F731" s="15"/>
      <c r="G731" s="15"/>
      <c r="H731" s="197"/>
      <c r="I731" s="198"/>
      <c r="J731" s="25"/>
      <c r="L731" s="25"/>
    </row>
    <row r="732" spans="1:12" ht="12.75">
      <c r="A732" s="49"/>
      <c r="B732" s="9"/>
      <c r="C732" s="49"/>
      <c r="D732" s="45"/>
      <c r="E732" s="13"/>
      <c r="F732" s="15"/>
      <c r="G732" s="15"/>
      <c r="H732" s="197"/>
      <c r="I732" s="198"/>
      <c r="J732" s="25"/>
      <c r="L732" s="25"/>
    </row>
    <row r="733" spans="1:12" ht="12.75">
      <c r="A733" s="49"/>
      <c r="B733" s="9"/>
      <c r="C733" s="49"/>
      <c r="D733" s="45"/>
      <c r="E733" s="13"/>
      <c r="F733" s="15"/>
      <c r="G733" s="15"/>
      <c r="H733" s="197"/>
      <c r="I733" s="198"/>
      <c r="J733" s="25"/>
      <c r="L733" s="25"/>
    </row>
    <row r="734" spans="1:12" ht="12.75">
      <c r="A734" s="49"/>
      <c r="B734" s="9"/>
      <c r="C734" s="49"/>
      <c r="D734" s="45"/>
      <c r="E734" s="13"/>
      <c r="F734" s="15"/>
      <c r="G734" s="15"/>
      <c r="H734" s="197"/>
      <c r="I734" s="198"/>
      <c r="J734" s="25"/>
      <c r="L734" s="25"/>
    </row>
    <row r="735" spans="1:12" ht="12.75">
      <c r="A735" s="49"/>
      <c r="B735" s="9"/>
      <c r="C735" s="49"/>
      <c r="D735" s="45"/>
      <c r="E735" s="13"/>
      <c r="F735" s="15"/>
      <c r="G735" s="15"/>
      <c r="H735" s="197"/>
      <c r="I735" s="198"/>
      <c r="J735" s="25"/>
      <c r="L735" s="25"/>
    </row>
    <row r="736" spans="1:12" ht="12.75">
      <c r="A736" s="49"/>
      <c r="B736" s="9"/>
      <c r="C736" s="49"/>
      <c r="D736" s="45"/>
      <c r="E736" s="13"/>
      <c r="F736" s="15"/>
      <c r="G736" s="15"/>
      <c r="H736" s="197"/>
      <c r="I736" s="198"/>
      <c r="J736" s="25"/>
      <c r="L736" s="25"/>
    </row>
    <row r="737" spans="1:12" ht="12.75">
      <c r="A737" s="49"/>
      <c r="B737" s="9"/>
      <c r="C737" s="49"/>
      <c r="D737" s="45"/>
      <c r="E737" s="13"/>
      <c r="F737" s="15"/>
      <c r="G737" s="15"/>
      <c r="H737" s="197"/>
      <c r="I737" s="198"/>
      <c r="J737" s="25"/>
      <c r="L737" s="25"/>
    </row>
    <row r="738" spans="1:12" ht="12.75">
      <c r="A738" s="49"/>
      <c r="B738" s="9"/>
      <c r="C738" s="49"/>
      <c r="D738" s="45"/>
      <c r="E738" s="13"/>
      <c r="F738" s="15"/>
      <c r="G738" s="15"/>
      <c r="H738" s="197"/>
      <c r="I738" s="198"/>
      <c r="J738" s="25"/>
      <c r="L738" s="25"/>
    </row>
    <row r="739" spans="1:12" ht="12.75">
      <c r="A739" s="49"/>
      <c r="B739" s="9"/>
      <c r="C739" s="49"/>
      <c r="D739" s="45"/>
      <c r="E739" s="13"/>
      <c r="F739" s="15"/>
      <c r="G739" s="15"/>
      <c r="H739" s="197"/>
      <c r="I739" s="198"/>
      <c r="J739" s="25"/>
      <c r="L739" s="25"/>
    </row>
    <row r="740" spans="1:12" ht="12.75">
      <c r="A740" s="49"/>
      <c r="B740" s="9"/>
      <c r="C740" s="49"/>
      <c r="D740" s="45"/>
      <c r="E740" s="13"/>
      <c r="F740" s="15"/>
      <c r="G740" s="15"/>
      <c r="H740" s="197"/>
      <c r="I740" s="198"/>
      <c r="J740" s="25"/>
      <c r="L740" s="25"/>
    </row>
    <row r="741" spans="1:12" ht="12.75">
      <c r="A741" s="49"/>
      <c r="B741" s="9"/>
      <c r="C741" s="49"/>
      <c r="D741" s="45"/>
      <c r="E741" s="13"/>
      <c r="F741" s="15"/>
      <c r="G741" s="15"/>
      <c r="H741" s="197"/>
      <c r="I741" s="198"/>
      <c r="J741" s="25"/>
      <c r="L741" s="25"/>
    </row>
    <row r="742" spans="1:12" ht="12.75">
      <c r="A742" s="49"/>
      <c r="B742" s="9"/>
      <c r="C742" s="49"/>
      <c r="D742" s="45"/>
      <c r="E742" s="13"/>
      <c r="F742" s="15"/>
      <c r="G742" s="15"/>
      <c r="H742" s="197"/>
      <c r="I742" s="198"/>
      <c r="J742" s="25"/>
      <c r="L742" s="25"/>
    </row>
    <row r="743" spans="1:12" ht="12.75">
      <c r="A743" s="49"/>
      <c r="B743" s="9"/>
      <c r="C743" s="49"/>
      <c r="D743" s="45"/>
      <c r="E743" s="13"/>
      <c r="F743" s="15"/>
      <c r="G743" s="15"/>
      <c r="H743" s="197"/>
      <c r="I743" s="198"/>
      <c r="J743" s="25"/>
      <c r="L743" s="25"/>
    </row>
    <row r="744" spans="1:12" ht="12.75">
      <c r="A744" s="49"/>
      <c r="B744" s="9"/>
      <c r="C744" s="49"/>
      <c r="D744" s="45"/>
      <c r="E744" s="13"/>
      <c r="F744" s="15"/>
      <c r="G744" s="15"/>
      <c r="H744" s="197"/>
      <c r="I744" s="198"/>
      <c r="J744" s="25"/>
      <c r="L744" s="25"/>
    </row>
    <row r="745" spans="1:12" ht="12.75">
      <c r="A745" s="49"/>
      <c r="B745" s="9"/>
      <c r="C745" s="49"/>
      <c r="D745" s="45"/>
      <c r="E745" s="13"/>
      <c r="F745" s="15"/>
      <c r="G745" s="15"/>
      <c r="H745" s="197"/>
      <c r="I745" s="198"/>
      <c r="J745" s="25"/>
      <c r="L745" s="25"/>
    </row>
    <row r="746" spans="1:12" ht="12.75">
      <c r="A746" s="49"/>
      <c r="B746" s="9"/>
      <c r="C746" s="49"/>
      <c r="D746" s="45"/>
      <c r="E746" s="13"/>
      <c r="F746" s="15"/>
      <c r="G746" s="15"/>
      <c r="H746" s="197"/>
      <c r="I746" s="198"/>
      <c r="J746" s="25"/>
      <c r="L746" s="25"/>
    </row>
    <row r="747" spans="1:12" ht="12.75">
      <c r="A747" s="49"/>
      <c r="B747" s="9"/>
      <c r="C747" s="49"/>
      <c r="D747" s="45"/>
      <c r="E747" s="13"/>
      <c r="F747" s="15"/>
      <c r="G747" s="15"/>
      <c r="H747" s="197"/>
      <c r="I747" s="198"/>
      <c r="J747" s="25"/>
      <c r="L747" s="25"/>
    </row>
    <row r="748" spans="1:12" ht="12.75">
      <c r="A748" s="49"/>
      <c r="B748" s="9"/>
      <c r="C748" s="49"/>
      <c r="D748" s="45"/>
      <c r="E748" s="13"/>
      <c r="F748" s="15"/>
      <c r="G748" s="15"/>
      <c r="H748" s="197"/>
      <c r="I748" s="198"/>
      <c r="J748" s="25"/>
      <c r="L748" s="25"/>
    </row>
    <row r="749" spans="1:12" ht="12.75">
      <c r="A749" s="49"/>
      <c r="B749" s="9"/>
      <c r="C749" s="49"/>
      <c r="D749" s="45"/>
      <c r="E749" s="13"/>
      <c r="F749" s="15"/>
      <c r="G749" s="15"/>
      <c r="H749" s="197"/>
      <c r="I749" s="198"/>
      <c r="J749" s="25"/>
      <c r="L749" s="25"/>
    </row>
    <row r="750" spans="1:12" ht="12.75">
      <c r="A750" s="49"/>
      <c r="B750" s="9"/>
      <c r="C750" s="49"/>
      <c r="D750" s="45"/>
      <c r="E750" s="13"/>
      <c r="F750" s="15"/>
      <c r="G750" s="15"/>
      <c r="H750" s="197"/>
      <c r="I750" s="198"/>
      <c r="J750" s="25"/>
      <c r="L750" s="25"/>
    </row>
    <row r="751" spans="1:12" ht="12.75">
      <c r="A751" s="49"/>
      <c r="B751" s="9"/>
      <c r="C751" s="49"/>
      <c r="D751" s="45"/>
      <c r="E751" s="13"/>
      <c r="F751" s="15"/>
      <c r="G751" s="15"/>
      <c r="H751" s="197"/>
      <c r="I751" s="198"/>
      <c r="J751" s="25"/>
      <c r="L751" s="25"/>
    </row>
    <row r="752" spans="1:12" ht="12.75">
      <c r="A752" s="49"/>
      <c r="B752" s="9"/>
      <c r="C752" s="49"/>
      <c r="D752" s="45"/>
      <c r="E752" s="13"/>
      <c r="F752" s="15"/>
      <c r="G752" s="15"/>
      <c r="H752" s="197"/>
      <c r="I752" s="198"/>
      <c r="J752" s="25"/>
      <c r="L752" s="25"/>
    </row>
    <row r="753" spans="1:12" ht="12.75">
      <c r="A753" s="49"/>
      <c r="B753" s="9"/>
      <c r="C753" s="49"/>
      <c r="D753" s="45"/>
      <c r="E753" s="13"/>
      <c r="F753" s="15"/>
      <c r="G753" s="15"/>
      <c r="H753" s="197"/>
      <c r="I753" s="198"/>
      <c r="J753" s="25"/>
      <c r="L753" s="25"/>
    </row>
    <row r="754" spans="1:12" ht="12.75">
      <c r="A754" s="49"/>
      <c r="B754" s="9"/>
      <c r="C754" s="49"/>
      <c r="D754" s="45"/>
      <c r="E754" s="13"/>
      <c r="F754" s="15"/>
      <c r="G754" s="15"/>
      <c r="H754" s="197"/>
      <c r="I754" s="198"/>
      <c r="J754" s="25"/>
      <c r="L754" s="25"/>
    </row>
    <row r="755" spans="1:12" ht="12.75">
      <c r="A755" s="49"/>
      <c r="B755" s="9"/>
      <c r="C755" s="49"/>
      <c r="D755" s="45"/>
      <c r="E755" s="13"/>
      <c r="F755" s="15"/>
      <c r="G755" s="15"/>
      <c r="H755" s="197"/>
      <c r="I755" s="198"/>
      <c r="J755" s="25"/>
      <c r="L755" s="25"/>
    </row>
    <row r="756" spans="1:12" ht="12.75">
      <c r="A756" s="49"/>
      <c r="B756" s="9"/>
      <c r="C756" s="49"/>
      <c r="D756" s="45"/>
      <c r="E756" s="13"/>
      <c r="F756" s="15"/>
      <c r="G756" s="15"/>
      <c r="H756" s="197"/>
      <c r="I756" s="198"/>
      <c r="J756" s="25"/>
      <c r="L756" s="25"/>
    </row>
    <row r="757" spans="1:12" ht="12.75">
      <c r="A757" s="49"/>
      <c r="B757" s="9"/>
      <c r="C757" s="49"/>
      <c r="D757" s="45"/>
      <c r="E757" s="13"/>
      <c r="F757" s="15"/>
      <c r="G757" s="15"/>
      <c r="H757" s="197"/>
      <c r="I757" s="198"/>
      <c r="J757" s="25"/>
      <c r="L757" s="25"/>
    </row>
    <row r="758" spans="1:12" ht="12.75">
      <c r="A758" s="49"/>
      <c r="B758" s="9"/>
      <c r="C758" s="49"/>
      <c r="D758" s="45"/>
      <c r="E758" s="13"/>
      <c r="F758" s="15"/>
      <c r="G758" s="15"/>
      <c r="H758" s="197"/>
      <c r="I758" s="198"/>
      <c r="J758" s="25"/>
      <c r="L758" s="25"/>
    </row>
    <row r="759" spans="1:12" ht="12.75">
      <c r="A759" s="49"/>
      <c r="B759" s="9"/>
      <c r="C759" s="49"/>
      <c r="D759" s="45"/>
      <c r="E759" s="13"/>
      <c r="F759" s="15"/>
      <c r="G759" s="15"/>
      <c r="H759" s="197"/>
      <c r="I759" s="198"/>
      <c r="J759" s="25"/>
      <c r="L759" s="25"/>
    </row>
    <row r="760" spans="1:12" ht="12.75">
      <c r="A760" s="49"/>
      <c r="B760" s="9"/>
      <c r="C760" s="49"/>
      <c r="D760" s="45"/>
      <c r="E760" s="13"/>
      <c r="F760" s="15"/>
      <c r="G760" s="15"/>
      <c r="H760" s="197"/>
      <c r="I760" s="198"/>
      <c r="J760" s="25"/>
      <c r="L760" s="25"/>
    </row>
    <row r="761" spans="1:12" ht="12.75">
      <c r="A761" s="49"/>
      <c r="B761" s="9"/>
      <c r="C761" s="49"/>
      <c r="D761" s="45"/>
      <c r="E761" s="13"/>
      <c r="F761" s="15"/>
      <c r="G761" s="15"/>
      <c r="H761" s="197"/>
      <c r="I761" s="198"/>
      <c r="J761" s="25"/>
      <c r="L761" s="25"/>
    </row>
    <row r="762" spans="1:12" ht="12.75">
      <c r="A762" s="49"/>
      <c r="B762" s="9"/>
      <c r="C762" s="49"/>
      <c r="D762" s="45"/>
      <c r="E762" s="13"/>
      <c r="F762" s="15"/>
      <c r="G762" s="15"/>
      <c r="H762" s="197"/>
      <c r="I762" s="198"/>
      <c r="J762" s="25"/>
      <c r="L762" s="25"/>
    </row>
    <row r="763" spans="1:12" ht="12.75">
      <c r="A763" s="49"/>
      <c r="B763" s="9"/>
      <c r="C763" s="49"/>
      <c r="D763" s="45"/>
      <c r="E763" s="13"/>
      <c r="F763" s="15"/>
      <c r="G763" s="15"/>
      <c r="H763" s="197"/>
      <c r="I763" s="198"/>
      <c r="J763" s="25"/>
      <c r="L763" s="25"/>
    </row>
    <row r="764" spans="1:12" ht="12.75">
      <c r="A764" s="49"/>
      <c r="B764" s="9"/>
      <c r="C764" s="49"/>
      <c r="D764" s="45"/>
      <c r="E764" s="13"/>
      <c r="F764" s="15"/>
      <c r="G764" s="15"/>
      <c r="H764" s="197"/>
      <c r="I764" s="198"/>
      <c r="J764" s="25"/>
      <c r="L764" s="25"/>
    </row>
    <row r="765" spans="1:12" ht="12.75">
      <c r="A765" s="49"/>
      <c r="B765" s="9"/>
      <c r="C765" s="49"/>
      <c r="D765" s="45"/>
      <c r="E765" s="13"/>
      <c r="F765" s="15"/>
      <c r="G765" s="15"/>
      <c r="H765" s="197"/>
      <c r="I765" s="198"/>
      <c r="J765" s="25"/>
      <c r="L765" s="25"/>
    </row>
    <row r="766" spans="1:12" ht="12.75">
      <c r="A766" s="49"/>
      <c r="B766" s="9"/>
      <c r="C766" s="49"/>
      <c r="D766" s="45"/>
      <c r="E766" s="13"/>
      <c r="F766" s="15"/>
      <c r="G766" s="15"/>
      <c r="H766" s="197"/>
      <c r="I766" s="198"/>
      <c r="J766" s="25"/>
      <c r="L766" s="25"/>
    </row>
    <row r="767" spans="1:12" ht="12.75">
      <c r="A767" s="49"/>
      <c r="B767" s="9"/>
      <c r="C767" s="49"/>
      <c r="D767" s="45"/>
      <c r="E767" s="13"/>
      <c r="F767" s="15"/>
      <c r="G767" s="15"/>
      <c r="H767" s="197"/>
      <c r="I767" s="198"/>
      <c r="J767" s="25"/>
      <c r="L767" s="25"/>
    </row>
    <row r="768" spans="1:12" ht="12.75">
      <c r="A768" s="49"/>
      <c r="B768" s="9"/>
      <c r="C768" s="49"/>
      <c r="D768" s="45"/>
      <c r="E768" s="13"/>
      <c r="F768" s="15"/>
      <c r="G768" s="15"/>
      <c r="H768" s="197"/>
      <c r="I768" s="198"/>
      <c r="J768" s="25"/>
      <c r="L768" s="25"/>
    </row>
    <row r="769" spans="1:12" ht="12.75">
      <c r="A769" s="49"/>
      <c r="B769" s="9"/>
      <c r="C769" s="49"/>
      <c r="D769" s="45"/>
      <c r="E769" s="13"/>
      <c r="F769" s="15"/>
      <c r="G769" s="15"/>
      <c r="H769" s="197"/>
      <c r="I769" s="198"/>
      <c r="J769" s="25"/>
      <c r="L769" s="25"/>
    </row>
    <row r="770" spans="1:12" ht="12.75">
      <c r="A770" s="49"/>
      <c r="B770" s="9"/>
      <c r="C770" s="49"/>
      <c r="D770" s="45"/>
      <c r="E770" s="13"/>
      <c r="F770" s="15"/>
      <c r="G770" s="15"/>
      <c r="H770" s="197"/>
      <c r="I770" s="198"/>
      <c r="J770" s="25"/>
      <c r="L770" s="25"/>
    </row>
    <row r="771" spans="1:12" ht="12.75">
      <c r="A771" s="49"/>
      <c r="C771" s="49"/>
      <c r="D771" s="45"/>
      <c r="E771" s="13"/>
      <c r="F771" s="15"/>
      <c r="G771" s="15"/>
      <c r="H771" s="197"/>
      <c r="I771" s="198"/>
      <c r="J771" s="25"/>
      <c r="L771" s="25"/>
    </row>
    <row r="772" spans="1:12" ht="12.75">
      <c r="A772" s="49"/>
      <c r="C772" s="49"/>
      <c r="D772" s="45"/>
      <c r="E772" s="13"/>
      <c r="F772" s="15"/>
      <c r="G772" s="15"/>
      <c r="H772" s="197"/>
      <c r="I772" s="198"/>
      <c r="J772" s="25"/>
      <c r="L772" s="25"/>
    </row>
    <row r="773" spans="1:12" ht="12.75">
      <c r="A773" s="49"/>
      <c r="C773" s="49"/>
      <c r="D773" s="45"/>
      <c r="E773" s="13"/>
      <c r="F773" s="15"/>
      <c r="G773" s="15"/>
      <c r="H773" s="197"/>
      <c r="I773" s="198"/>
      <c r="J773" s="25"/>
      <c r="L773" s="25"/>
    </row>
    <row r="774" spans="1:12" ht="12.75">
      <c r="A774" s="49"/>
      <c r="C774" s="49"/>
      <c r="D774" s="45"/>
      <c r="E774" s="13"/>
      <c r="F774" s="15"/>
      <c r="G774" s="15"/>
      <c r="H774" s="197"/>
      <c r="I774" s="198"/>
      <c r="J774" s="25"/>
      <c r="L774" s="25"/>
    </row>
    <row r="775" spans="1:12" ht="12.75">
      <c r="A775" s="49"/>
      <c r="C775" s="49"/>
      <c r="D775" s="45"/>
      <c r="E775" s="13"/>
      <c r="F775" s="15"/>
      <c r="G775" s="15"/>
      <c r="H775" s="197"/>
      <c r="I775" s="198"/>
      <c r="J775" s="25"/>
      <c r="L775" s="25"/>
    </row>
    <row r="776" spans="1:12" ht="12.75">
      <c r="A776" s="49"/>
      <c r="C776" s="49"/>
      <c r="D776" s="45"/>
      <c r="E776" s="13"/>
      <c r="F776" s="15"/>
      <c r="G776" s="15"/>
      <c r="H776" s="197"/>
      <c r="I776" s="198"/>
      <c r="J776" s="25"/>
      <c r="L776" s="25"/>
    </row>
    <row r="777" spans="1:12" ht="12.75">
      <c r="A777" s="49"/>
      <c r="C777" s="49"/>
      <c r="D777" s="45"/>
      <c r="E777" s="13"/>
      <c r="F777" s="15"/>
      <c r="G777" s="15"/>
      <c r="H777" s="197"/>
      <c r="I777" s="198"/>
      <c r="J777" s="25"/>
      <c r="L777" s="25"/>
    </row>
    <row r="778" spans="1:12" ht="12.75">
      <c r="A778" s="49"/>
      <c r="C778" s="49"/>
      <c r="D778" s="45"/>
      <c r="E778" s="13"/>
      <c r="F778" s="15"/>
      <c r="G778" s="15"/>
      <c r="H778" s="197"/>
      <c r="I778" s="198"/>
      <c r="J778" s="25"/>
      <c r="L778" s="25"/>
    </row>
    <row r="779" spans="1:12" ht="12.75">
      <c r="A779" s="49"/>
      <c r="C779" s="49"/>
      <c r="D779" s="45"/>
      <c r="E779" s="13"/>
      <c r="F779" s="15"/>
      <c r="G779" s="15"/>
      <c r="H779" s="197"/>
      <c r="I779" s="198"/>
      <c r="J779" s="25"/>
      <c r="L779" s="25"/>
    </row>
    <row r="780" spans="1:12" ht="12.75">
      <c r="A780" s="49"/>
      <c r="C780" s="49"/>
      <c r="D780" s="45"/>
      <c r="E780" s="13"/>
      <c r="F780" s="15"/>
      <c r="G780" s="15"/>
      <c r="H780" s="197"/>
      <c r="I780" s="198"/>
      <c r="J780" s="25"/>
      <c r="L780" s="25"/>
    </row>
    <row r="781" spans="1:12" ht="12.75">
      <c r="A781" s="49"/>
      <c r="C781" s="49"/>
      <c r="D781" s="45"/>
      <c r="E781" s="13"/>
      <c r="F781" s="15"/>
      <c r="G781" s="15"/>
      <c r="H781" s="197"/>
      <c r="I781" s="198"/>
      <c r="J781" s="25"/>
      <c r="L781" s="25"/>
    </row>
    <row r="782" spans="1:12" ht="12.75">
      <c r="A782" s="49"/>
      <c r="C782" s="49"/>
      <c r="D782" s="45"/>
      <c r="E782" s="13"/>
      <c r="F782" s="15"/>
      <c r="G782" s="15"/>
      <c r="H782" s="197"/>
      <c r="I782" s="198"/>
      <c r="J782" s="25"/>
      <c r="L782" s="25"/>
    </row>
    <row r="783" spans="1:12" ht="12.75">
      <c r="A783" s="49"/>
      <c r="C783" s="49"/>
      <c r="D783" s="45"/>
      <c r="E783" s="13"/>
      <c r="F783" s="15"/>
      <c r="G783" s="15"/>
      <c r="H783" s="197"/>
      <c r="I783" s="198"/>
      <c r="J783" s="25"/>
      <c r="L783" s="25"/>
    </row>
    <row r="784" spans="1:12" ht="12.75">
      <c r="A784" s="49"/>
      <c r="C784" s="49"/>
      <c r="D784" s="45"/>
      <c r="E784" s="13"/>
      <c r="F784" s="15"/>
      <c r="G784" s="15"/>
      <c r="H784" s="197"/>
      <c r="I784" s="198"/>
      <c r="J784" s="25"/>
      <c r="L784" s="25"/>
    </row>
    <row r="785" spans="1:12" ht="12.75">
      <c r="A785" s="49"/>
      <c r="C785" s="49"/>
      <c r="D785" s="45"/>
      <c r="E785" s="13"/>
      <c r="F785" s="15"/>
      <c r="G785" s="15"/>
      <c r="H785" s="197"/>
      <c r="I785" s="198"/>
      <c r="J785" s="25"/>
      <c r="L785" s="25"/>
    </row>
    <row r="786" spans="1:12" ht="12.75">
      <c r="A786" s="49"/>
      <c r="C786" s="49"/>
      <c r="D786" s="45"/>
      <c r="E786" s="13"/>
      <c r="F786" s="15"/>
      <c r="G786" s="15"/>
      <c r="H786" s="197"/>
      <c r="I786" s="198"/>
      <c r="J786" s="25"/>
      <c r="L786" s="25"/>
    </row>
    <row r="787" spans="1:12" ht="12.75">
      <c r="A787" s="49"/>
      <c r="C787" s="49"/>
      <c r="D787" s="45"/>
      <c r="E787" s="13"/>
      <c r="F787" s="15"/>
      <c r="G787" s="15"/>
      <c r="H787" s="197"/>
      <c r="I787" s="198"/>
      <c r="J787" s="25"/>
      <c r="L787" s="25"/>
    </row>
    <row r="788" spans="1:12" ht="12.75">
      <c r="A788" s="49"/>
      <c r="C788" s="49"/>
      <c r="D788" s="45"/>
      <c r="E788" s="13"/>
      <c r="F788" s="15"/>
      <c r="G788" s="15"/>
      <c r="H788" s="197"/>
      <c r="I788" s="198"/>
      <c r="J788" s="25"/>
      <c r="L788" s="25"/>
    </row>
    <row r="789" spans="1:12" ht="12.75">
      <c r="A789" s="49"/>
      <c r="C789" s="49"/>
      <c r="D789" s="45"/>
      <c r="E789" s="13"/>
      <c r="F789" s="15"/>
      <c r="G789" s="15"/>
      <c r="H789" s="197"/>
      <c r="I789" s="198"/>
      <c r="J789" s="25"/>
      <c r="L789" s="25"/>
    </row>
    <row r="790" spans="1:12" ht="12.75">
      <c r="A790" s="49"/>
      <c r="C790" s="49"/>
      <c r="D790" s="45"/>
      <c r="E790" s="13"/>
      <c r="F790" s="15"/>
      <c r="G790" s="15"/>
      <c r="H790" s="197"/>
      <c r="I790" s="198"/>
      <c r="J790" s="25"/>
      <c r="L790" s="25"/>
    </row>
    <row r="791" spans="1:12" ht="12.75">
      <c r="A791" s="49"/>
      <c r="C791" s="49"/>
      <c r="D791" s="45"/>
      <c r="E791" s="13"/>
      <c r="F791" s="15"/>
      <c r="G791" s="15"/>
      <c r="H791" s="197"/>
      <c r="I791" s="198"/>
      <c r="J791" s="25"/>
      <c r="L791" s="25"/>
    </row>
    <row r="792" spans="1:12" ht="12.75">
      <c r="A792" s="49"/>
      <c r="C792" s="49"/>
      <c r="D792" s="45"/>
      <c r="E792" s="13"/>
      <c r="F792" s="15"/>
      <c r="G792" s="15"/>
      <c r="H792" s="197"/>
      <c r="I792" s="198"/>
      <c r="J792" s="25"/>
      <c r="L792" s="25"/>
    </row>
    <row r="793" spans="1:12" ht="12.75">
      <c r="A793" s="49"/>
      <c r="C793" s="49"/>
      <c r="D793" s="45"/>
      <c r="E793" s="13"/>
      <c r="F793" s="15"/>
      <c r="G793" s="15"/>
      <c r="H793" s="197"/>
      <c r="I793" s="198"/>
      <c r="J793" s="25"/>
      <c r="L793" s="25"/>
    </row>
    <row r="794" spans="1:12" ht="12.75">
      <c r="A794" s="49"/>
      <c r="C794" s="49"/>
      <c r="D794" s="45"/>
      <c r="E794" s="13"/>
      <c r="F794" s="15"/>
      <c r="G794" s="15"/>
      <c r="H794" s="197"/>
      <c r="I794" s="198"/>
      <c r="J794" s="25"/>
      <c r="L794" s="25"/>
    </row>
    <row r="795" spans="1:12" ht="12.75">
      <c r="A795" s="49"/>
      <c r="C795" s="49"/>
      <c r="D795" s="45"/>
      <c r="E795" s="13"/>
      <c r="F795" s="15"/>
      <c r="G795" s="15"/>
      <c r="H795" s="197"/>
      <c r="I795" s="198"/>
      <c r="J795" s="25"/>
      <c r="L795" s="25"/>
    </row>
    <row r="796" spans="1:12" ht="12.75">
      <c r="A796" s="49"/>
      <c r="C796" s="49"/>
      <c r="D796" s="45"/>
      <c r="E796" s="13"/>
      <c r="F796" s="15"/>
      <c r="G796" s="15"/>
      <c r="H796" s="197"/>
      <c r="I796" s="198"/>
      <c r="J796" s="25"/>
      <c r="L796" s="25"/>
    </row>
    <row r="797" spans="1:12" ht="12.75">
      <c r="A797" s="49"/>
      <c r="C797" s="49"/>
      <c r="D797" s="45"/>
      <c r="E797" s="13"/>
      <c r="F797" s="15"/>
      <c r="G797" s="15"/>
      <c r="H797" s="197"/>
      <c r="I797" s="198"/>
      <c r="J797" s="25"/>
      <c r="L797" s="25"/>
    </row>
    <row r="798" spans="1:12" ht="12.75">
      <c r="A798" s="49"/>
      <c r="C798" s="49"/>
      <c r="D798" s="45"/>
      <c r="E798" s="13"/>
      <c r="F798" s="15"/>
      <c r="G798" s="15"/>
      <c r="H798" s="197"/>
      <c r="I798" s="198"/>
      <c r="J798" s="25"/>
      <c r="L798" s="25"/>
    </row>
    <row r="799" spans="1:12" ht="12.75">
      <c r="A799" s="49"/>
      <c r="C799" s="49"/>
      <c r="D799" s="45"/>
      <c r="E799" s="13"/>
      <c r="F799" s="15"/>
      <c r="G799" s="15"/>
      <c r="H799" s="197"/>
      <c r="I799" s="198"/>
      <c r="J799" s="25"/>
      <c r="L799" s="25"/>
    </row>
    <row r="800" spans="1:12" ht="12.75">
      <c r="A800" s="49"/>
      <c r="C800" s="49"/>
      <c r="D800" s="45"/>
      <c r="E800" s="13"/>
      <c r="F800" s="15"/>
      <c r="G800" s="15"/>
      <c r="H800" s="197"/>
      <c r="I800" s="198"/>
      <c r="J800" s="25"/>
      <c r="L800" s="25"/>
    </row>
    <row r="801" spans="1:12" ht="12.75">
      <c r="A801" s="49"/>
      <c r="C801" s="49"/>
      <c r="D801" s="45"/>
      <c r="E801" s="13"/>
      <c r="F801" s="15"/>
      <c r="G801" s="15"/>
      <c r="H801" s="197"/>
      <c r="I801" s="198"/>
      <c r="J801" s="25"/>
      <c r="L801" s="25"/>
    </row>
    <row r="802" spans="1:12" ht="12.75">
      <c r="A802" s="49"/>
      <c r="C802" s="49"/>
      <c r="D802" s="45"/>
      <c r="E802" s="13"/>
      <c r="F802" s="15"/>
      <c r="G802" s="15"/>
      <c r="H802" s="197"/>
      <c r="I802" s="198"/>
      <c r="J802" s="25"/>
      <c r="L802" s="25"/>
    </row>
    <row r="803" spans="1:12" ht="12.75">
      <c r="A803" s="49"/>
      <c r="C803" s="49"/>
      <c r="D803" s="45"/>
      <c r="E803" s="13"/>
      <c r="F803" s="15"/>
      <c r="G803" s="15"/>
      <c r="H803" s="197"/>
      <c r="I803" s="198"/>
      <c r="J803" s="25"/>
      <c r="L803" s="25"/>
    </row>
    <row r="804" spans="1:12" ht="12.75">
      <c r="A804" s="49"/>
      <c r="C804" s="49"/>
      <c r="D804" s="45"/>
      <c r="E804" s="13"/>
      <c r="F804" s="15"/>
      <c r="G804" s="15"/>
      <c r="H804" s="197"/>
      <c r="I804" s="198"/>
      <c r="J804" s="25"/>
      <c r="L804" s="25"/>
    </row>
    <row r="805" spans="1:12" ht="12.75">
      <c r="A805" s="49"/>
      <c r="C805" s="49"/>
      <c r="D805" s="45"/>
      <c r="E805" s="13"/>
      <c r="F805" s="15"/>
      <c r="G805" s="15"/>
      <c r="H805" s="197"/>
      <c r="I805" s="198"/>
      <c r="J805" s="25"/>
      <c r="L805" s="25"/>
    </row>
    <row r="806" spans="1:12" ht="12.75">
      <c r="A806" s="49"/>
      <c r="C806" s="49"/>
      <c r="D806" s="45"/>
      <c r="E806" s="13"/>
      <c r="F806" s="15"/>
      <c r="G806" s="15"/>
      <c r="H806" s="197"/>
      <c r="I806" s="198"/>
      <c r="J806" s="25"/>
      <c r="L806" s="25"/>
    </row>
    <row r="807" spans="1:12" ht="12.75">
      <c r="A807" s="49"/>
      <c r="C807" s="49"/>
      <c r="D807" s="45"/>
      <c r="E807" s="13"/>
      <c r="F807" s="15"/>
      <c r="G807" s="15"/>
      <c r="H807" s="197"/>
      <c r="I807" s="198"/>
      <c r="J807" s="25"/>
      <c r="L807" s="25"/>
    </row>
    <row r="808" spans="1:12" ht="12.75">
      <c r="A808" s="49"/>
      <c r="C808" s="49"/>
      <c r="D808" s="45"/>
      <c r="E808" s="13"/>
      <c r="F808" s="15"/>
      <c r="G808" s="15"/>
      <c r="H808" s="197"/>
      <c r="I808" s="198"/>
      <c r="J808" s="25"/>
      <c r="L808" s="25"/>
    </row>
    <row r="809" spans="1:12" ht="12.75">
      <c r="A809" s="49"/>
      <c r="C809" s="49"/>
      <c r="D809" s="45"/>
      <c r="E809" s="13"/>
      <c r="F809" s="15"/>
      <c r="G809" s="15"/>
      <c r="H809" s="197"/>
      <c r="I809" s="198"/>
      <c r="J809" s="25"/>
      <c r="L809" s="25"/>
    </row>
    <row r="810" spans="1:12" ht="12.75">
      <c r="A810" s="49"/>
      <c r="C810" s="49"/>
      <c r="D810" s="45"/>
      <c r="E810" s="13"/>
      <c r="F810" s="15"/>
      <c r="G810" s="15"/>
      <c r="H810" s="197"/>
      <c r="I810" s="198"/>
      <c r="J810" s="25"/>
      <c r="L810" s="25"/>
    </row>
    <row r="811" spans="1:12" ht="12.75">
      <c r="A811" s="49"/>
      <c r="C811" s="49"/>
      <c r="D811" s="45"/>
      <c r="E811" s="13"/>
      <c r="F811" s="15"/>
      <c r="G811" s="15"/>
      <c r="H811" s="197"/>
      <c r="I811" s="198"/>
      <c r="J811" s="25"/>
      <c r="L811" s="25"/>
    </row>
    <row r="812" spans="1:12" ht="12.75">
      <c r="A812" s="49"/>
      <c r="C812" s="49"/>
      <c r="D812" s="45"/>
      <c r="E812" s="13"/>
      <c r="F812" s="15"/>
      <c r="G812" s="15"/>
      <c r="H812" s="197"/>
      <c r="I812" s="198"/>
      <c r="J812" s="25"/>
      <c r="L812" s="25"/>
    </row>
    <row r="813" spans="1:12" ht="12.75">
      <c r="A813" s="49"/>
      <c r="C813" s="49"/>
      <c r="D813" s="45"/>
      <c r="E813" s="13"/>
      <c r="F813" s="15"/>
      <c r="G813" s="15"/>
      <c r="H813" s="197"/>
      <c r="I813" s="198"/>
      <c r="J813" s="25"/>
      <c r="L813" s="25"/>
    </row>
    <row r="814" spans="1:12" ht="12.75">
      <c r="A814" s="49"/>
      <c r="C814" s="49"/>
      <c r="D814" s="45"/>
      <c r="E814" s="13"/>
      <c r="F814" s="15"/>
      <c r="G814" s="15"/>
      <c r="H814" s="197"/>
      <c r="I814" s="198"/>
      <c r="J814" s="25"/>
      <c r="L814" s="25"/>
    </row>
    <row r="815" spans="1:12" ht="12.75">
      <c r="A815" s="49"/>
      <c r="C815" s="49"/>
      <c r="D815" s="45"/>
      <c r="E815" s="13"/>
      <c r="F815" s="15"/>
      <c r="G815" s="15"/>
      <c r="H815" s="197"/>
      <c r="I815" s="198"/>
      <c r="J815" s="25"/>
      <c r="L815" s="25"/>
    </row>
    <row r="816" spans="1:12" ht="12.75">
      <c r="A816" s="49"/>
      <c r="C816" s="49"/>
      <c r="D816" s="45"/>
      <c r="E816" s="13"/>
      <c r="F816" s="15"/>
      <c r="G816" s="15"/>
      <c r="H816" s="197"/>
      <c r="I816" s="198"/>
      <c r="J816" s="25"/>
      <c r="L816" s="25"/>
    </row>
    <row r="817" spans="1:12" ht="12.75">
      <c r="A817" s="49"/>
      <c r="C817" s="49"/>
      <c r="D817" s="45"/>
      <c r="E817" s="13"/>
      <c r="F817" s="15"/>
      <c r="G817" s="15"/>
      <c r="H817" s="197"/>
      <c r="I817" s="198"/>
      <c r="J817" s="25"/>
      <c r="L817" s="25"/>
    </row>
    <row r="818" spans="1:12" ht="12.75">
      <c r="A818" s="49"/>
      <c r="C818" s="49"/>
      <c r="D818" s="45"/>
      <c r="E818" s="13"/>
      <c r="F818" s="15"/>
      <c r="G818" s="15"/>
      <c r="H818" s="197"/>
      <c r="I818" s="198"/>
      <c r="J818" s="25"/>
      <c r="L818" s="25"/>
    </row>
    <row r="819" spans="1:12" ht="12.75">
      <c r="A819" s="49"/>
      <c r="C819" s="49"/>
      <c r="D819" s="45"/>
      <c r="E819" s="13"/>
      <c r="F819" s="15"/>
      <c r="G819" s="15"/>
      <c r="H819" s="197"/>
      <c r="I819" s="198"/>
      <c r="J819" s="25"/>
      <c r="L819" s="25"/>
    </row>
    <row r="820" spans="1:12" ht="12.75">
      <c r="A820" s="49"/>
      <c r="C820" s="49"/>
      <c r="D820" s="45"/>
      <c r="E820" s="13"/>
      <c r="F820" s="15"/>
      <c r="G820" s="15"/>
      <c r="H820" s="197"/>
      <c r="I820" s="198"/>
      <c r="J820" s="25"/>
      <c r="L820" s="25"/>
    </row>
    <row r="821" spans="1:12" ht="12.75">
      <c r="A821" s="49"/>
      <c r="C821" s="49"/>
      <c r="D821" s="45"/>
      <c r="E821" s="13"/>
      <c r="F821" s="15"/>
      <c r="G821" s="15"/>
      <c r="H821" s="197"/>
      <c r="I821" s="198"/>
      <c r="J821" s="25"/>
      <c r="L821" s="25"/>
    </row>
    <row r="822" spans="1:12" ht="12.75">
      <c r="A822" s="49"/>
      <c r="C822" s="49"/>
      <c r="D822" s="45"/>
      <c r="E822" s="13"/>
      <c r="F822" s="15"/>
      <c r="G822" s="15"/>
      <c r="H822" s="197"/>
      <c r="I822" s="198"/>
      <c r="J822" s="25"/>
      <c r="L822" s="25"/>
    </row>
    <row r="823" spans="1:12" ht="12.75">
      <c r="A823" s="49"/>
      <c r="C823" s="49"/>
      <c r="D823" s="45"/>
      <c r="E823" s="13"/>
      <c r="F823" s="15"/>
      <c r="G823" s="15"/>
      <c r="H823" s="197"/>
      <c r="I823" s="198"/>
      <c r="J823" s="25"/>
      <c r="L823" s="25"/>
    </row>
    <row r="824" spans="1:12" ht="12.75">
      <c r="A824" s="49"/>
      <c r="C824" s="49"/>
      <c r="D824" s="45"/>
      <c r="E824" s="13"/>
      <c r="F824" s="15"/>
      <c r="G824" s="15"/>
      <c r="H824" s="197"/>
      <c r="I824" s="198"/>
      <c r="J824" s="25"/>
      <c r="L824" s="25"/>
    </row>
    <row r="825" spans="1:12" ht="12.75">
      <c r="A825" s="49"/>
      <c r="C825" s="49"/>
      <c r="D825" s="45"/>
      <c r="E825" s="13"/>
      <c r="F825" s="15"/>
      <c r="G825" s="15"/>
      <c r="H825" s="197"/>
      <c r="I825" s="198"/>
      <c r="J825" s="25"/>
      <c r="L825" s="25"/>
    </row>
    <row r="826" spans="1:12" ht="12.75">
      <c r="A826" s="49"/>
      <c r="C826" s="49"/>
      <c r="D826" s="45"/>
      <c r="E826" s="13"/>
      <c r="F826" s="15"/>
      <c r="G826" s="15"/>
      <c r="H826" s="197"/>
      <c r="I826" s="198"/>
      <c r="J826" s="25"/>
      <c r="L826" s="25"/>
    </row>
    <row r="827" spans="1:12" ht="12.75">
      <c r="A827" s="49"/>
      <c r="C827" s="49"/>
      <c r="D827" s="45"/>
      <c r="E827" s="13"/>
      <c r="F827" s="15"/>
      <c r="G827" s="15"/>
      <c r="H827" s="197"/>
      <c r="I827" s="198"/>
      <c r="J827" s="25"/>
      <c r="L827" s="25"/>
    </row>
    <row r="828" spans="1:12" ht="12.75">
      <c r="A828" s="49"/>
      <c r="C828" s="49"/>
      <c r="D828" s="45"/>
      <c r="E828" s="13"/>
      <c r="F828" s="15"/>
      <c r="G828" s="15"/>
      <c r="H828" s="197"/>
      <c r="I828" s="198"/>
      <c r="J828" s="25"/>
      <c r="L828" s="25"/>
    </row>
    <row r="829" spans="1:12" ht="12.75">
      <c r="A829" s="49"/>
      <c r="C829" s="49"/>
      <c r="D829" s="45"/>
      <c r="E829" s="13"/>
      <c r="F829" s="15"/>
      <c r="G829" s="15"/>
      <c r="H829" s="197"/>
      <c r="I829" s="198"/>
      <c r="J829" s="25"/>
      <c r="L829" s="25"/>
    </row>
    <row r="830" spans="1:12" ht="12.75">
      <c r="A830" s="49"/>
      <c r="C830" s="49"/>
      <c r="D830" s="45"/>
      <c r="E830" s="13"/>
      <c r="F830" s="15"/>
      <c r="G830" s="15"/>
      <c r="H830" s="197"/>
      <c r="I830" s="198"/>
      <c r="J830" s="25"/>
      <c r="L830" s="25"/>
    </row>
    <row r="831" spans="1:12" ht="12.75">
      <c r="A831" s="49"/>
      <c r="C831" s="49"/>
      <c r="D831" s="45"/>
      <c r="E831" s="13"/>
      <c r="F831" s="15"/>
      <c r="G831" s="15"/>
      <c r="H831" s="197"/>
      <c r="I831" s="198"/>
      <c r="J831" s="25"/>
      <c r="L831" s="25"/>
    </row>
    <row r="832" spans="1:12" ht="12.75">
      <c r="A832" s="49"/>
      <c r="C832" s="49"/>
      <c r="D832" s="45"/>
      <c r="E832" s="13"/>
      <c r="F832" s="15"/>
      <c r="G832" s="15"/>
      <c r="H832" s="197"/>
      <c r="I832" s="198"/>
      <c r="J832" s="25"/>
      <c r="L832" s="25"/>
    </row>
    <row r="833" spans="1:12" ht="12.75">
      <c r="A833" s="49"/>
      <c r="C833" s="49"/>
      <c r="D833" s="45"/>
      <c r="E833" s="13"/>
      <c r="F833" s="15"/>
      <c r="G833" s="15"/>
      <c r="H833" s="197"/>
      <c r="I833" s="198"/>
      <c r="J833" s="25"/>
      <c r="L833" s="25"/>
    </row>
    <row r="834" spans="1:12" ht="12.75">
      <c r="A834" s="49"/>
      <c r="C834" s="49"/>
      <c r="D834" s="45"/>
      <c r="E834" s="13"/>
      <c r="F834" s="15"/>
      <c r="G834" s="15"/>
      <c r="H834" s="197"/>
      <c r="I834" s="198"/>
      <c r="J834" s="25"/>
      <c r="L834" s="25"/>
    </row>
    <row r="835" spans="1:12" ht="12.75">
      <c r="A835" s="49"/>
      <c r="C835" s="49"/>
      <c r="D835" s="45"/>
      <c r="E835" s="13"/>
      <c r="F835" s="15"/>
      <c r="G835" s="15"/>
      <c r="H835" s="197"/>
      <c r="I835" s="198"/>
      <c r="J835" s="25"/>
      <c r="L835" s="25"/>
    </row>
    <row r="836" spans="1:12" ht="12.75">
      <c r="A836" s="49"/>
      <c r="C836" s="49"/>
      <c r="D836" s="45"/>
      <c r="E836" s="13"/>
      <c r="F836" s="15"/>
      <c r="G836" s="15"/>
      <c r="H836" s="197"/>
      <c r="I836" s="198"/>
      <c r="J836" s="25"/>
      <c r="L836" s="25"/>
    </row>
    <row r="837" spans="1:12" ht="12.75">
      <c r="A837" s="49"/>
      <c r="C837" s="49"/>
      <c r="D837" s="45"/>
      <c r="E837" s="13"/>
      <c r="F837" s="15"/>
      <c r="G837" s="15"/>
      <c r="H837" s="197"/>
      <c r="I837" s="198"/>
      <c r="J837" s="25"/>
      <c r="L837" s="25"/>
    </row>
    <row r="838" spans="1:12" ht="12.75">
      <c r="A838" s="49"/>
      <c r="C838" s="49"/>
      <c r="D838" s="45"/>
      <c r="E838" s="13"/>
      <c r="F838" s="15"/>
      <c r="G838" s="15"/>
      <c r="H838" s="197"/>
      <c r="I838" s="198"/>
      <c r="J838" s="25"/>
      <c r="L838" s="25"/>
    </row>
    <row r="839" spans="1:12" ht="12.75">
      <c r="A839" s="49"/>
      <c r="C839" s="49"/>
      <c r="D839" s="45"/>
      <c r="E839" s="13"/>
      <c r="F839" s="15"/>
      <c r="G839" s="15"/>
      <c r="H839" s="197"/>
      <c r="I839" s="198"/>
      <c r="J839" s="25"/>
      <c r="L839" s="25"/>
    </row>
    <row r="840" spans="1:12" ht="12.75">
      <c r="A840" s="49"/>
      <c r="C840" s="49"/>
      <c r="D840" s="45"/>
      <c r="E840" s="13"/>
      <c r="F840" s="15"/>
      <c r="G840" s="15"/>
      <c r="H840" s="197"/>
      <c r="I840" s="198"/>
      <c r="J840" s="25"/>
      <c r="L840" s="25"/>
    </row>
    <row r="841" spans="1:12" ht="12.75">
      <c r="A841" s="49"/>
      <c r="C841" s="49"/>
      <c r="D841" s="45"/>
      <c r="E841" s="13"/>
      <c r="F841" s="15"/>
      <c r="G841" s="15"/>
      <c r="H841" s="197"/>
      <c r="I841" s="198"/>
      <c r="J841" s="25"/>
      <c r="L841" s="25"/>
    </row>
    <row r="842" spans="1:12" ht="12.75">
      <c r="A842" s="49"/>
      <c r="C842" s="49"/>
      <c r="D842" s="45"/>
      <c r="E842" s="13"/>
      <c r="F842" s="15"/>
      <c r="G842" s="15"/>
      <c r="H842" s="197"/>
      <c r="I842" s="198"/>
      <c r="J842" s="25"/>
      <c r="L842" s="25"/>
    </row>
    <row r="843" spans="1:12" ht="12.75">
      <c r="A843" s="49"/>
      <c r="C843" s="49"/>
      <c r="D843" s="45"/>
      <c r="E843" s="13"/>
      <c r="F843" s="15"/>
      <c r="G843" s="15"/>
      <c r="H843" s="197"/>
      <c r="I843" s="198"/>
      <c r="J843" s="25"/>
      <c r="L843" s="25"/>
    </row>
    <row r="844" spans="1:12" ht="12.75">
      <c r="A844" s="49"/>
      <c r="C844" s="49"/>
      <c r="D844" s="45"/>
      <c r="E844" s="13"/>
      <c r="F844" s="15"/>
      <c r="G844" s="15"/>
      <c r="H844" s="197"/>
      <c r="I844" s="198"/>
      <c r="J844" s="25"/>
      <c r="L844" s="25"/>
    </row>
    <row r="845" spans="1:12" ht="12.75">
      <c r="A845" s="49"/>
      <c r="C845" s="49"/>
      <c r="D845" s="45"/>
      <c r="E845" s="13"/>
      <c r="F845" s="15"/>
      <c r="G845" s="15"/>
      <c r="H845" s="197"/>
      <c r="I845" s="198"/>
      <c r="J845" s="25"/>
      <c r="L845" s="25"/>
    </row>
    <row r="846" spans="1:12" ht="12.75">
      <c r="A846" s="49"/>
      <c r="C846" s="49"/>
      <c r="D846" s="45"/>
      <c r="E846" s="13"/>
      <c r="F846" s="15"/>
      <c r="G846" s="15"/>
      <c r="H846" s="197"/>
      <c r="I846" s="198"/>
      <c r="J846" s="25"/>
      <c r="L846" s="25"/>
    </row>
    <row r="847" spans="1:12" ht="12.75">
      <c r="A847" s="49"/>
      <c r="C847" s="49"/>
      <c r="D847" s="45"/>
      <c r="E847" s="13"/>
      <c r="F847" s="15"/>
      <c r="G847" s="15"/>
      <c r="H847" s="197"/>
      <c r="I847" s="198"/>
      <c r="J847" s="25"/>
      <c r="L847" s="25"/>
    </row>
    <row r="848" spans="1:12" ht="12.75">
      <c r="A848" s="49"/>
      <c r="C848" s="49"/>
      <c r="D848" s="45"/>
      <c r="E848" s="13"/>
      <c r="F848" s="15"/>
      <c r="G848" s="15"/>
      <c r="H848" s="197"/>
      <c r="I848" s="198"/>
      <c r="J848" s="25"/>
      <c r="L848" s="25"/>
    </row>
    <row r="849" spans="1:12" ht="12.75">
      <c r="A849" s="49"/>
      <c r="C849" s="49"/>
      <c r="D849" s="45"/>
      <c r="E849" s="13"/>
      <c r="F849" s="15"/>
      <c r="G849" s="15"/>
      <c r="H849" s="197"/>
      <c r="I849" s="198"/>
      <c r="J849" s="25"/>
      <c r="L849" s="25"/>
    </row>
    <row r="850" spans="1:12" ht="12.75">
      <c r="A850" s="49"/>
      <c r="C850" s="49"/>
      <c r="D850" s="45"/>
      <c r="E850" s="13"/>
      <c r="F850" s="15"/>
      <c r="G850" s="15"/>
      <c r="H850" s="197"/>
      <c r="I850" s="198"/>
      <c r="J850" s="25"/>
      <c r="L850" s="25"/>
    </row>
    <row r="851" spans="1:12" ht="12.75">
      <c r="A851" s="49"/>
      <c r="C851" s="49"/>
      <c r="D851" s="45"/>
      <c r="E851" s="13"/>
      <c r="F851" s="15"/>
      <c r="G851" s="15"/>
      <c r="H851" s="197"/>
      <c r="I851" s="198"/>
      <c r="J851" s="25"/>
      <c r="L851" s="25"/>
    </row>
    <row r="852" spans="1:12" ht="12.75">
      <c r="A852" s="49"/>
      <c r="C852" s="49"/>
      <c r="D852" s="45"/>
      <c r="E852" s="13"/>
      <c r="F852" s="15"/>
      <c r="H852" s="197"/>
      <c r="I852" s="198"/>
      <c r="J852" s="25"/>
      <c r="L852" s="25"/>
    </row>
    <row r="853" spans="1:12" ht="12.75">
      <c r="A853" s="49"/>
      <c r="C853" s="49"/>
      <c r="D853" s="45"/>
      <c r="E853" s="13"/>
      <c r="F853" s="15"/>
      <c r="H853" s="197"/>
      <c r="I853" s="198"/>
      <c r="J853" s="25"/>
      <c r="L853" s="25"/>
    </row>
    <row r="854" spans="1:12" ht="12.75">
      <c r="A854" s="49"/>
      <c r="C854" s="49"/>
      <c r="D854" s="45"/>
      <c r="E854" s="13"/>
      <c r="F854" s="15"/>
      <c r="H854" s="197"/>
      <c r="J854" s="25"/>
      <c r="L854" s="25"/>
    </row>
    <row r="855" spans="1:12" ht="12.75">
      <c r="A855" s="49"/>
      <c r="C855" s="49"/>
      <c r="D855" s="45"/>
      <c r="E855" s="13"/>
      <c r="F855" s="126"/>
      <c r="G855" s="200"/>
      <c r="H855" s="152"/>
      <c r="I855" s="173"/>
      <c r="J855" s="192"/>
      <c r="K855" s="173"/>
      <c r="L855" s="192"/>
    </row>
    <row r="856" spans="1:12" ht="12.75">
      <c r="A856" s="49"/>
      <c r="C856" s="49"/>
      <c r="D856" s="45"/>
      <c r="E856" s="13"/>
      <c r="F856" s="126"/>
      <c r="G856" s="200"/>
      <c r="H856" s="152"/>
      <c r="I856" s="173"/>
      <c r="J856" s="192"/>
      <c r="K856" s="173"/>
      <c r="L856" s="192"/>
    </row>
    <row r="857" spans="1:12" ht="12.75">
      <c r="A857" s="49"/>
      <c r="C857" s="49"/>
      <c r="D857" s="45"/>
      <c r="E857" s="13"/>
      <c r="F857" s="126"/>
      <c r="G857" s="200"/>
      <c r="H857" s="152"/>
      <c r="I857" s="173"/>
      <c r="J857" s="192"/>
      <c r="K857" s="173"/>
      <c r="L857" s="192"/>
    </row>
    <row r="858" spans="1:12" ht="12.75">
      <c r="A858" s="49"/>
      <c r="C858" s="49"/>
      <c r="D858" s="45"/>
      <c r="E858" s="13"/>
      <c r="F858" s="126"/>
      <c r="G858" s="200"/>
      <c r="H858" s="152"/>
      <c r="I858" s="173"/>
      <c r="J858" s="192"/>
      <c r="K858" s="173"/>
      <c r="L858" s="192"/>
    </row>
    <row r="859" spans="1:12" ht="12.75">
      <c r="A859" s="49"/>
      <c r="C859" s="49"/>
      <c r="D859" s="45"/>
      <c r="E859" s="13"/>
      <c r="F859" s="126"/>
      <c r="G859" s="200"/>
      <c r="H859" s="152"/>
      <c r="I859" s="173"/>
      <c r="J859" s="192"/>
      <c r="K859" s="173"/>
      <c r="L859" s="192"/>
    </row>
    <row r="860" spans="1:12" ht="12.75">
      <c r="A860" s="49"/>
      <c r="C860" s="49"/>
      <c r="D860" s="45"/>
      <c r="E860" s="13"/>
      <c r="F860" s="126"/>
      <c r="G860" s="200"/>
      <c r="H860" s="152"/>
      <c r="I860" s="173"/>
      <c r="J860" s="192"/>
      <c r="K860" s="173"/>
      <c r="L860" s="192"/>
    </row>
    <row r="861" spans="1:12" ht="12.75">
      <c r="A861" s="49"/>
      <c r="C861" s="49"/>
      <c r="D861" s="45"/>
      <c r="E861" s="13"/>
      <c r="F861" s="126"/>
      <c r="G861" s="200"/>
      <c r="H861" s="152"/>
      <c r="I861" s="173"/>
      <c r="J861" s="192"/>
      <c r="K861" s="173"/>
      <c r="L861" s="192"/>
    </row>
    <row r="862" spans="1:12" ht="12.75">
      <c r="A862" s="49"/>
      <c r="C862" s="49"/>
      <c r="D862" s="45"/>
      <c r="E862" s="13"/>
      <c r="F862" s="126"/>
      <c r="G862" s="200"/>
      <c r="H862" s="152"/>
      <c r="I862" s="173"/>
      <c r="J862" s="192"/>
      <c r="K862" s="173"/>
      <c r="L862" s="192"/>
    </row>
    <row r="863" spans="1:12" ht="12.75">
      <c r="A863" s="49"/>
      <c r="C863" s="49"/>
      <c r="D863" s="45"/>
      <c r="E863" s="13"/>
      <c r="F863" s="126"/>
      <c r="G863" s="200"/>
      <c r="H863" s="152"/>
      <c r="I863" s="173"/>
      <c r="J863" s="192"/>
      <c r="K863" s="173"/>
      <c r="L863" s="192"/>
    </row>
    <row r="864" spans="1:12" ht="12.75">
      <c r="A864" s="49"/>
      <c r="C864" s="49"/>
      <c r="D864" s="45"/>
      <c r="E864" s="13"/>
      <c r="F864" s="126"/>
      <c r="G864" s="200"/>
      <c r="H864" s="152"/>
      <c r="I864" s="173"/>
      <c r="J864" s="192"/>
      <c r="K864" s="173"/>
      <c r="L864" s="192"/>
    </row>
    <row r="865" spans="1:12" ht="12.75">
      <c r="A865" s="49"/>
      <c r="C865" s="49"/>
      <c r="D865" s="45"/>
      <c r="E865" s="13"/>
      <c r="F865" s="126"/>
      <c r="G865" s="200"/>
      <c r="H865" s="152"/>
      <c r="I865" s="173"/>
      <c r="J865" s="192"/>
      <c r="K865" s="173"/>
      <c r="L865" s="192"/>
    </row>
    <row r="866" spans="1:12" ht="12.75">
      <c r="A866" s="49"/>
      <c r="C866" s="49"/>
      <c r="D866" s="45"/>
      <c r="E866" s="13"/>
      <c r="F866" s="126"/>
      <c r="G866" s="200"/>
      <c r="H866" s="152"/>
      <c r="I866" s="173"/>
      <c r="J866" s="192"/>
      <c r="K866" s="173"/>
      <c r="L866" s="192"/>
    </row>
    <row r="867" spans="1:12" ht="12.75">
      <c r="A867" s="49"/>
      <c r="C867" s="49"/>
      <c r="D867" s="45"/>
      <c r="E867" s="13"/>
      <c r="F867" s="126"/>
      <c r="G867" s="200"/>
      <c r="H867" s="152"/>
      <c r="I867" s="173"/>
      <c r="J867" s="192"/>
      <c r="K867" s="173"/>
      <c r="L867" s="192"/>
    </row>
    <row r="868" spans="1:12" ht="12.75">
      <c r="A868" s="49"/>
      <c r="C868" s="49"/>
      <c r="D868" s="45"/>
      <c r="E868" s="13"/>
      <c r="F868" s="126"/>
      <c r="G868" s="200"/>
      <c r="H868" s="152"/>
      <c r="I868" s="173"/>
      <c r="J868" s="192"/>
      <c r="K868" s="173"/>
      <c r="L868" s="192"/>
    </row>
    <row r="869" spans="1:12" ht="12.75">
      <c r="A869" s="49"/>
      <c r="C869" s="49"/>
      <c r="D869" s="45"/>
      <c r="E869" s="13"/>
      <c r="F869" s="126"/>
      <c r="G869" s="200"/>
      <c r="H869" s="152"/>
      <c r="I869" s="173"/>
      <c r="J869" s="192"/>
      <c r="K869" s="173"/>
      <c r="L869" s="192"/>
    </row>
    <row r="870" spans="1:12" ht="12.75">
      <c r="A870" s="49"/>
      <c r="C870" s="49"/>
      <c r="D870" s="45"/>
      <c r="E870" s="13"/>
      <c r="F870" s="126"/>
      <c r="G870" s="200"/>
      <c r="H870" s="152"/>
      <c r="I870" s="173"/>
      <c r="J870" s="192"/>
      <c r="K870" s="173"/>
      <c r="L870" s="192"/>
    </row>
    <row r="871" spans="1:12" ht="12.75">
      <c r="A871" s="49"/>
      <c r="C871" s="49"/>
      <c r="D871" s="45"/>
      <c r="E871" s="13"/>
      <c r="F871" s="126"/>
      <c r="G871" s="200"/>
      <c r="H871" s="152"/>
      <c r="I871" s="173"/>
      <c r="J871" s="192"/>
      <c r="K871" s="173"/>
      <c r="L871" s="192"/>
    </row>
    <row r="872" spans="1:12" ht="12.75">
      <c r="A872" s="49"/>
      <c r="C872" s="49"/>
      <c r="D872" s="45"/>
      <c r="E872" s="13"/>
      <c r="F872" s="126"/>
      <c r="G872" s="200"/>
      <c r="H872" s="152"/>
      <c r="I872" s="173"/>
      <c r="J872" s="192"/>
      <c r="K872" s="173"/>
      <c r="L872" s="192"/>
    </row>
    <row r="873" spans="1:12" ht="12.75">
      <c r="A873" s="49"/>
      <c r="C873" s="49"/>
      <c r="D873" s="45"/>
      <c r="E873" s="13"/>
      <c r="F873" s="126"/>
      <c r="G873" s="200"/>
      <c r="H873" s="152"/>
      <c r="I873" s="173"/>
      <c r="J873" s="192"/>
      <c r="K873" s="173"/>
      <c r="L873" s="192"/>
    </row>
    <row r="874" spans="1:12" ht="12.75">
      <c r="A874" s="49"/>
      <c r="C874" s="49"/>
      <c r="D874" s="45"/>
      <c r="E874" s="13"/>
      <c r="F874" s="126"/>
      <c r="G874" s="200"/>
      <c r="H874" s="152"/>
      <c r="I874" s="173"/>
      <c r="J874" s="192"/>
      <c r="K874" s="173"/>
      <c r="L874" s="192"/>
    </row>
    <row r="875" spans="1:12" ht="12.75">
      <c r="A875" s="49"/>
      <c r="C875" s="49"/>
      <c r="D875" s="45"/>
      <c r="E875" s="13"/>
      <c r="F875" s="126"/>
      <c r="G875" s="200"/>
      <c r="H875" s="152"/>
      <c r="I875" s="173"/>
      <c r="J875" s="192"/>
      <c r="K875" s="173"/>
      <c r="L875" s="192"/>
    </row>
    <row r="876" spans="1:12" ht="12.75">
      <c r="A876" s="49"/>
      <c r="C876" s="49"/>
      <c r="D876" s="45"/>
      <c r="E876" s="13"/>
      <c r="F876" s="126"/>
      <c r="G876" s="200"/>
      <c r="H876" s="152"/>
      <c r="I876" s="173"/>
      <c r="J876" s="192"/>
      <c r="K876" s="173"/>
      <c r="L876" s="192"/>
    </row>
    <row r="877" spans="1:12" ht="12.75">
      <c r="A877" s="49"/>
      <c r="C877" s="49"/>
      <c r="D877" s="45"/>
      <c r="E877" s="13"/>
      <c r="F877" s="126"/>
      <c r="G877" s="200"/>
      <c r="H877" s="152"/>
      <c r="I877" s="173"/>
      <c r="J877" s="192"/>
      <c r="K877" s="173"/>
      <c r="L877" s="192"/>
    </row>
    <row r="878" spans="1:12" ht="12.75">
      <c r="A878" s="49"/>
      <c r="C878" s="49"/>
      <c r="D878" s="45"/>
      <c r="E878" s="13"/>
      <c r="F878" s="126"/>
      <c r="G878" s="200"/>
      <c r="H878" s="152"/>
      <c r="I878" s="173"/>
      <c r="J878" s="192"/>
      <c r="K878" s="173"/>
      <c r="L878" s="192"/>
    </row>
    <row r="879" spans="1:12" ht="12.75">
      <c r="A879" s="49"/>
      <c r="C879" s="49"/>
      <c r="D879" s="45"/>
      <c r="E879" s="13"/>
      <c r="F879" s="126"/>
      <c r="G879" s="200"/>
      <c r="H879" s="152"/>
      <c r="I879" s="173"/>
      <c r="J879" s="192"/>
      <c r="K879" s="173"/>
      <c r="L879" s="192"/>
    </row>
    <row r="880" spans="1:12" ht="12.75">
      <c r="A880" s="49"/>
      <c r="C880" s="49"/>
      <c r="D880" s="45"/>
      <c r="E880" s="13"/>
      <c r="F880" s="126"/>
      <c r="G880" s="200"/>
      <c r="H880" s="152"/>
      <c r="I880" s="173"/>
      <c r="J880" s="192"/>
      <c r="K880" s="173"/>
      <c r="L880" s="192"/>
    </row>
    <row r="881" spans="1:12" ht="12.75">
      <c r="A881" s="49"/>
      <c r="C881" s="49"/>
      <c r="D881" s="45"/>
      <c r="E881" s="13"/>
      <c r="F881" s="126"/>
      <c r="G881" s="200"/>
      <c r="H881" s="152"/>
      <c r="I881" s="173"/>
      <c r="J881" s="192"/>
      <c r="K881" s="173"/>
      <c r="L881" s="192"/>
    </row>
    <row r="882" spans="1:12" ht="12.75">
      <c r="A882" s="49"/>
      <c r="C882" s="49"/>
      <c r="D882" s="45"/>
      <c r="E882" s="13"/>
      <c r="F882" s="126"/>
      <c r="G882" s="200"/>
      <c r="H882" s="152"/>
      <c r="I882" s="173"/>
      <c r="J882" s="192"/>
      <c r="K882" s="173"/>
      <c r="L882" s="192"/>
    </row>
    <row r="883" spans="1:12" ht="12.75">
      <c r="A883" s="49"/>
      <c r="C883" s="49"/>
      <c r="D883" s="45"/>
      <c r="E883" s="13"/>
      <c r="F883" s="126"/>
      <c r="G883" s="200"/>
      <c r="H883" s="152"/>
      <c r="I883" s="173"/>
      <c r="J883" s="192"/>
      <c r="K883" s="173"/>
      <c r="L883" s="192"/>
    </row>
    <row r="884" spans="1:12" ht="12.75">
      <c r="A884" s="49"/>
      <c r="C884" s="49"/>
      <c r="D884" s="45"/>
      <c r="E884" s="13"/>
      <c r="F884" s="126"/>
      <c r="G884" s="200"/>
      <c r="H884" s="152"/>
      <c r="I884" s="173"/>
      <c r="J884" s="192"/>
      <c r="K884" s="173"/>
      <c r="L884" s="192"/>
    </row>
    <row r="885" spans="1:12" ht="12.75">
      <c r="A885" s="49"/>
      <c r="C885" s="49"/>
      <c r="D885" s="45"/>
      <c r="E885" s="13"/>
      <c r="F885" s="126"/>
      <c r="G885" s="200"/>
      <c r="H885" s="152"/>
      <c r="I885" s="173"/>
      <c r="J885" s="192"/>
      <c r="K885" s="173"/>
      <c r="L885" s="192"/>
    </row>
    <row r="886" spans="1:12" ht="12.75">
      <c r="A886" s="49"/>
      <c r="C886" s="49"/>
      <c r="D886" s="45"/>
      <c r="E886" s="13"/>
      <c r="F886" s="126"/>
      <c r="G886" s="200"/>
      <c r="H886" s="152"/>
      <c r="I886" s="173"/>
      <c r="J886" s="192"/>
      <c r="K886" s="173"/>
      <c r="L886" s="192"/>
    </row>
    <row r="887" spans="1:12" ht="12.75">
      <c r="A887" s="49"/>
      <c r="C887" s="49"/>
      <c r="D887" s="45"/>
      <c r="E887" s="13"/>
      <c r="F887" s="126"/>
      <c r="G887" s="200"/>
      <c r="H887" s="152"/>
      <c r="I887" s="173"/>
      <c r="J887" s="192"/>
      <c r="K887" s="173"/>
      <c r="L887" s="192"/>
    </row>
    <row r="888" spans="1:12" ht="12.75">
      <c r="A888" s="49"/>
      <c r="C888" s="49"/>
      <c r="D888" s="45"/>
      <c r="E888" s="13"/>
      <c r="F888" s="126"/>
      <c r="G888" s="200"/>
      <c r="H888" s="152"/>
      <c r="I888" s="173"/>
      <c r="J888" s="192"/>
      <c r="K888" s="173"/>
      <c r="L888" s="192"/>
    </row>
    <row r="889" spans="1:12" ht="12.75">
      <c r="A889" s="49"/>
      <c r="C889" s="49"/>
      <c r="D889" s="45"/>
      <c r="E889" s="13"/>
      <c r="F889" s="126"/>
      <c r="G889" s="200"/>
      <c r="H889" s="152"/>
      <c r="I889" s="173"/>
      <c r="J889" s="192"/>
      <c r="K889" s="173"/>
      <c r="L889" s="192"/>
    </row>
    <row r="890" spans="1:12" ht="12.75">
      <c r="A890" s="49"/>
      <c r="C890" s="49"/>
      <c r="D890" s="45"/>
      <c r="E890" s="13"/>
      <c r="F890" s="126"/>
      <c r="G890" s="200"/>
      <c r="H890" s="152"/>
      <c r="I890" s="173"/>
      <c r="J890" s="192"/>
      <c r="K890" s="173"/>
      <c r="L890" s="192"/>
    </row>
    <row r="891" spans="1:12" ht="12.75">
      <c r="A891" s="49"/>
      <c r="C891" s="49"/>
      <c r="D891" s="45"/>
      <c r="E891" s="13"/>
      <c r="F891" s="126"/>
      <c r="G891" s="200"/>
      <c r="H891" s="152"/>
      <c r="I891" s="173"/>
      <c r="J891" s="192"/>
      <c r="K891" s="173"/>
      <c r="L891" s="192"/>
    </row>
    <row r="892" spans="1:12" ht="12.75">
      <c r="A892" s="49"/>
      <c r="C892" s="49"/>
      <c r="D892" s="45"/>
      <c r="E892" s="13"/>
      <c r="F892" s="126"/>
      <c r="G892" s="200"/>
      <c r="H892" s="152"/>
      <c r="I892" s="173"/>
      <c r="J892" s="192"/>
      <c r="K892" s="173"/>
      <c r="L892" s="192"/>
    </row>
    <row r="893" spans="1:12" ht="12.75">
      <c r="A893" s="49"/>
      <c r="C893" s="49"/>
      <c r="D893" s="45"/>
      <c r="E893" s="13"/>
      <c r="F893" s="126"/>
      <c r="G893" s="200"/>
      <c r="H893" s="152"/>
      <c r="I893" s="173"/>
      <c r="J893" s="192"/>
      <c r="K893" s="173"/>
      <c r="L893" s="192"/>
    </row>
    <row r="894" spans="1:12" ht="12.75">
      <c r="A894" s="49"/>
      <c r="C894" s="49"/>
      <c r="D894" s="45"/>
      <c r="E894" s="13"/>
      <c r="F894" s="126"/>
      <c r="G894" s="200"/>
      <c r="H894" s="152"/>
      <c r="I894" s="173"/>
      <c r="J894" s="192"/>
      <c r="K894" s="173"/>
      <c r="L894" s="192"/>
    </row>
    <row r="895" spans="1:12" ht="12.75">
      <c r="A895" s="49"/>
      <c r="C895" s="49"/>
      <c r="D895" s="45"/>
      <c r="E895" s="13"/>
      <c r="F895" s="126"/>
      <c r="G895" s="200"/>
      <c r="H895" s="152"/>
      <c r="I895" s="173"/>
      <c r="J895" s="192"/>
      <c r="K895" s="173"/>
      <c r="L895" s="192"/>
    </row>
    <row r="896" spans="1:12" ht="12.75">
      <c r="A896" s="49"/>
      <c r="C896" s="49"/>
      <c r="D896" s="45"/>
      <c r="E896" s="13"/>
      <c r="F896" s="126"/>
      <c r="G896" s="200"/>
      <c r="H896" s="152"/>
      <c r="I896" s="173"/>
      <c r="J896" s="192"/>
      <c r="K896" s="173"/>
      <c r="L896" s="192"/>
    </row>
    <row r="897" spans="1:12" ht="12.75">
      <c r="A897" s="49"/>
      <c r="C897" s="49"/>
      <c r="D897" s="45"/>
      <c r="E897" s="13"/>
      <c r="F897" s="126"/>
      <c r="G897" s="200"/>
      <c r="H897" s="152"/>
      <c r="I897" s="173"/>
      <c r="J897" s="192"/>
      <c r="K897" s="173"/>
      <c r="L897" s="192"/>
    </row>
    <row r="898" spans="1:12" ht="12.75">
      <c r="A898" s="49"/>
      <c r="C898" s="49"/>
      <c r="D898" s="45"/>
      <c r="E898" s="13"/>
      <c r="F898" s="126"/>
      <c r="G898" s="200"/>
      <c r="H898" s="152"/>
      <c r="I898" s="173"/>
      <c r="J898" s="192"/>
      <c r="K898" s="173"/>
      <c r="L898" s="192"/>
    </row>
    <row r="899" spans="1:12" ht="12.75">
      <c r="A899" s="49"/>
      <c r="C899" s="49"/>
      <c r="D899" s="45"/>
      <c r="E899" s="13"/>
      <c r="F899" s="126"/>
      <c r="G899" s="200"/>
      <c r="H899" s="152"/>
      <c r="I899" s="173"/>
      <c r="J899" s="192"/>
      <c r="K899" s="173"/>
      <c r="L899" s="192"/>
    </row>
    <row r="900" spans="1:12" ht="12.75">
      <c r="A900" s="49"/>
      <c r="C900" s="49"/>
      <c r="D900" s="45"/>
      <c r="E900" s="13"/>
      <c r="F900" s="126"/>
      <c r="G900" s="200"/>
      <c r="H900" s="152"/>
      <c r="I900" s="173"/>
      <c r="J900" s="192"/>
      <c r="K900" s="173"/>
      <c r="L900" s="192"/>
    </row>
    <row r="901" spans="1:12" ht="12.75">
      <c r="A901" s="49"/>
      <c r="C901" s="49"/>
      <c r="D901" s="45"/>
      <c r="E901" s="13"/>
      <c r="F901" s="126"/>
      <c r="G901" s="200"/>
      <c r="H901" s="152"/>
      <c r="I901" s="173"/>
      <c r="J901" s="192"/>
      <c r="K901" s="173"/>
      <c r="L901" s="192"/>
    </row>
    <row r="902" spans="1:12" ht="12.75">
      <c r="A902" s="49"/>
      <c r="C902" s="49"/>
      <c r="D902" s="45"/>
      <c r="E902" s="13"/>
      <c r="F902" s="126"/>
      <c r="G902" s="200"/>
      <c r="H902" s="152"/>
      <c r="I902" s="173"/>
      <c r="J902" s="192"/>
      <c r="K902" s="173"/>
      <c r="L902" s="192"/>
    </row>
    <row r="903" spans="1:12" ht="12.75">
      <c r="A903" s="49"/>
      <c r="C903" s="49"/>
      <c r="D903" s="45"/>
      <c r="E903" s="13"/>
      <c r="F903" s="126"/>
      <c r="G903" s="200"/>
      <c r="H903" s="152"/>
      <c r="I903" s="173"/>
      <c r="J903" s="192"/>
      <c r="K903" s="173"/>
      <c r="L903" s="192"/>
    </row>
    <row r="904" spans="1:12" ht="12.75">
      <c r="A904" s="49"/>
      <c r="C904" s="49"/>
      <c r="D904" s="45"/>
      <c r="E904" s="13"/>
      <c r="F904" s="126"/>
      <c r="G904" s="200"/>
      <c r="H904" s="152"/>
      <c r="I904" s="173"/>
      <c r="J904" s="192"/>
      <c r="K904" s="173"/>
      <c r="L904" s="192"/>
    </row>
    <row r="905" spans="1:12" ht="12.75">
      <c r="A905" s="49"/>
      <c r="C905" s="49"/>
      <c r="D905" s="45"/>
      <c r="E905" s="13"/>
      <c r="F905" s="126"/>
      <c r="G905" s="200"/>
      <c r="H905" s="152"/>
      <c r="I905" s="173"/>
      <c r="J905" s="192"/>
      <c r="K905" s="173"/>
      <c r="L905" s="192"/>
    </row>
    <row r="906" spans="1:12" ht="12.75">
      <c r="A906" s="49"/>
      <c r="C906" s="49"/>
      <c r="D906" s="45"/>
      <c r="E906" s="13"/>
      <c r="F906" s="126"/>
      <c r="G906" s="200"/>
      <c r="H906" s="152"/>
      <c r="I906" s="173"/>
      <c r="J906" s="192"/>
      <c r="K906" s="173"/>
      <c r="L906" s="192"/>
    </row>
    <row r="907" spans="1:12" ht="12.75">
      <c r="A907" s="49"/>
      <c r="C907" s="49"/>
      <c r="D907" s="45"/>
      <c r="E907" s="13"/>
      <c r="F907" s="126"/>
      <c r="G907" s="200"/>
      <c r="H907" s="152"/>
      <c r="I907" s="173"/>
      <c r="J907" s="192"/>
      <c r="K907" s="173"/>
      <c r="L907" s="192"/>
    </row>
    <row r="908" spans="1:12" ht="12.75">
      <c r="A908" s="49"/>
      <c r="C908" s="49"/>
      <c r="D908" s="45"/>
      <c r="E908" s="13"/>
      <c r="F908" s="126"/>
      <c r="G908" s="200"/>
      <c r="H908" s="152"/>
      <c r="I908" s="173"/>
      <c r="J908" s="192"/>
      <c r="K908" s="173"/>
      <c r="L908" s="192"/>
    </row>
    <row r="909" spans="1:12" ht="12.75">
      <c r="A909" s="49"/>
      <c r="C909" s="49"/>
      <c r="D909" s="45"/>
      <c r="E909" s="13"/>
      <c r="F909" s="126"/>
      <c r="G909" s="200"/>
      <c r="H909" s="152"/>
      <c r="I909" s="173"/>
      <c r="J909" s="192"/>
      <c r="K909" s="173"/>
      <c r="L909" s="192"/>
    </row>
    <row r="910" spans="1:12" ht="12.75">
      <c r="A910" s="49"/>
      <c r="C910" s="49"/>
      <c r="D910" s="45"/>
      <c r="E910" s="13"/>
      <c r="F910" s="126"/>
      <c r="G910" s="200"/>
      <c r="H910" s="152"/>
      <c r="I910" s="173"/>
      <c r="J910" s="192"/>
      <c r="K910" s="173"/>
      <c r="L910" s="192"/>
    </row>
    <row r="911" spans="1:12" ht="12.75">
      <c r="A911" s="49"/>
      <c r="C911" s="49"/>
      <c r="D911" s="45"/>
      <c r="E911" s="13"/>
      <c r="F911" s="126"/>
      <c r="G911" s="200"/>
      <c r="H911" s="152"/>
      <c r="I911" s="173"/>
      <c r="J911" s="192"/>
      <c r="K911" s="173"/>
      <c r="L911" s="192"/>
    </row>
    <row r="912" spans="1:12" ht="12.75">
      <c r="A912" s="49"/>
      <c r="C912" s="49"/>
      <c r="D912" s="45"/>
      <c r="E912" s="13"/>
      <c r="F912" s="126"/>
      <c r="G912" s="200"/>
      <c r="H912" s="152"/>
      <c r="I912" s="173"/>
      <c r="J912" s="192"/>
      <c r="K912" s="173"/>
      <c r="L912" s="192"/>
    </row>
    <row r="913" spans="1:12" ht="12.75">
      <c r="A913" s="49"/>
      <c r="C913" s="49"/>
      <c r="D913" s="45"/>
      <c r="E913" s="13"/>
      <c r="F913" s="126"/>
      <c r="G913" s="200"/>
      <c r="H913" s="152"/>
      <c r="I913" s="173"/>
      <c r="J913" s="192"/>
      <c r="K913" s="173"/>
      <c r="L913" s="192"/>
    </row>
    <row r="914" spans="1:12" ht="12.75">
      <c r="A914" s="49"/>
      <c r="C914" s="49"/>
      <c r="D914" s="45"/>
      <c r="E914" s="13"/>
      <c r="F914" s="126"/>
      <c r="G914" s="200"/>
      <c r="H914" s="152"/>
      <c r="I914" s="173"/>
      <c r="J914" s="192"/>
      <c r="K914" s="173"/>
      <c r="L914" s="192"/>
    </row>
    <row r="915" spans="1:12" ht="12.75">
      <c r="A915" s="49"/>
      <c r="C915" s="49"/>
      <c r="D915" s="45"/>
      <c r="E915" s="13"/>
      <c r="F915" s="126"/>
      <c r="G915" s="200"/>
      <c r="H915" s="152"/>
      <c r="I915" s="173"/>
      <c r="J915" s="192"/>
      <c r="K915" s="173"/>
      <c r="L915" s="192"/>
    </row>
    <row r="916" spans="1:12" ht="12.75">
      <c r="A916" s="49"/>
      <c r="C916" s="49"/>
      <c r="D916" s="45"/>
      <c r="E916" s="13"/>
      <c r="F916" s="126"/>
      <c r="G916" s="200"/>
      <c r="H916" s="152"/>
      <c r="I916" s="173"/>
      <c r="J916" s="192"/>
      <c r="K916" s="173"/>
      <c r="L916" s="192"/>
    </row>
    <row r="917" spans="1:12" ht="12.75">
      <c r="A917" s="49"/>
      <c r="C917" s="49"/>
      <c r="D917" s="45"/>
      <c r="E917" s="13"/>
      <c r="F917" s="126"/>
      <c r="G917" s="200"/>
      <c r="H917" s="152"/>
      <c r="I917" s="173"/>
      <c r="J917" s="192"/>
      <c r="K917" s="173"/>
      <c r="L917" s="192"/>
    </row>
    <row r="918" spans="1:12" ht="12.75">
      <c r="A918" s="49"/>
      <c r="C918" s="49"/>
      <c r="D918" s="45"/>
      <c r="E918" s="13"/>
      <c r="F918" s="126"/>
      <c r="G918" s="200"/>
      <c r="H918" s="152"/>
      <c r="I918" s="173"/>
      <c r="J918" s="192"/>
      <c r="K918" s="173"/>
      <c r="L918" s="192"/>
    </row>
    <row r="919" spans="1:12" ht="12.75">
      <c r="A919" s="49"/>
      <c r="C919" s="49"/>
      <c r="D919" s="45"/>
      <c r="E919" s="13"/>
      <c r="F919" s="126"/>
      <c r="G919" s="200"/>
      <c r="H919" s="152"/>
      <c r="I919" s="173"/>
      <c r="J919" s="192"/>
      <c r="K919" s="173"/>
      <c r="L919" s="192"/>
    </row>
    <row r="920" spans="1:12" ht="12.75">
      <c r="A920" s="49"/>
      <c r="C920" s="49"/>
      <c r="D920" s="45"/>
      <c r="E920" s="13"/>
      <c r="F920" s="126"/>
      <c r="G920" s="200"/>
      <c r="H920" s="152"/>
      <c r="I920" s="173"/>
      <c r="J920" s="192"/>
      <c r="K920" s="173"/>
      <c r="L920" s="192"/>
    </row>
    <row r="921" spans="1:12" ht="12.75">
      <c r="A921" s="49"/>
      <c r="C921" s="49"/>
      <c r="D921" s="45"/>
      <c r="E921" s="13"/>
      <c r="F921" s="126"/>
      <c r="G921" s="200"/>
      <c r="H921" s="152"/>
      <c r="I921" s="173"/>
      <c r="J921" s="192"/>
      <c r="K921" s="173"/>
      <c r="L921" s="192"/>
    </row>
    <row r="922" spans="1:12" ht="12.75">
      <c r="A922" s="49"/>
      <c r="C922" s="49"/>
      <c r="D922" s="45"/>
      <c r="E922" s="13"/>
      <c r="F922" s="126"/>
      <c r="G922" s="200"/>
      <c r="H922" s="152"/>
      <c r="I922" s="173"/>
      <c r="J922" s="192"/>
      <c r="K922" s="173"/>
      <c r="L922" s="192"/>
    </row>
    <row r="923" spans="1:12" ht="12.75">
      <c r="A923" s="49"/>
      <c r="C923" s="49"/>
      <c r="D923" s="45"/>
      <c r="E923" s="13"/>
      <c r="F923" s="126"/>
      <c r="G923" s="200"/>
      <c r="H923" s="152"/>
      <c r="I923" s="173"/>
      <c r="J923" s="192"/>
      <c r="K923" s="173"/>
      <c r="L923" s="192"/>
    </row>
    <row r="924" spans="1:12" ht="12.75">
      <c r="A924" s="49"/>
      <c r="C924" s="49"/>
      <c r="D924" s="45"/>
      <c r="E924" s="13"/>
      <c r="F924" s="126"/>
      <c r="G924" s="200"/>
      <c r="H924" s="152"/>
      <c r="I924" s="173"/>
      <c r="J924" s="192"/>
      <c r="K924" s="173"/>
      <c r="L924" s="192"/>
    </row>
    <row r="925" spans="1:12" ht="12.75">
      <c r="A925" s="49"/>
      <c r="C925" s="49"/>
      <c r="D925" s="45"/>
      <c r="E925" s="13"/>
      <c r="F925" s="126"/>
      <c r="G925" s="200"/>
      <c r="H925" s="152"/>
      <c r="I925" s="173"/>
      <c r="J925" s="192"/>
      <c r="K925" s="173"/>
      <c r="L925" s="192"/>
    </row>
    <row r="926" spans="1:12" ht="12.75">
      <c r="A926" s="49"/>
      <c r="C926" s="49"/>
      <c r="D926" s="45"/>
      <c r="E926" s="13"/>
      <c r="F926" s="126"/>
      <c r="G926" s="200"/>
      <c r="H926" s="152"/>
      <c r="I926" s="173"/>
      <c r="J926" s="192"/>
      <c r="K926" s="173"/>
      <c r="L926" s="192"/>
    </row>
    <row r="927" spans="1:12" ht="12.75">
      <c r="A927" s="49"/>
      <c r="C927" s="49"/>
      <c r="D927" s="45"/>
      <c r="E927" s="13"/>
      <c r="F927" s="126"/>
      <c r="G927" s="200"/>
      <c r="H927" s="152"/>
      <c r="I927" s="173"/>
      <c r="J927" s="192"/>
      <c r="K927" s="173"/>
      <c r="L927" s="192"/>
    </row>
    <row r="928" spans="1:12" ht="12.75">
      <c r="A928" s="49"/>
      <c r="C928" s="49"/>
      <c r="D928" s="45"/>
      <c r="E928" s="13"/>
      <c r="F928" s="126"/>
      <c r="G928" s="200"/>
      <c r="H928" s="152"/>
      <c r="I928" s="173"/>
      <c r="J928" s="192"/>
      <c r="K928" s="173"/>
      <c r="L928" s="192"/>
    </row>
    <row r="929" spans="1:12" ht="12.75">
      <c r="A929" s="49"/>
      <c r="C929" s="49"/>
      <c r="D929" s="45"/>
      <c r="E929" s="13"/>
      <c r="F929" s="126"/>
      <c r="G929" s="200"/>
      <c r="H929" s="152"/>
      <c r="I929" s="173"/>
      <c r="J929" s="192"/>
      <c r="K929" s="173"/>
      <c r="L929" s="192"/>
    </row>
    <row r="930" spans="1:12" ht="12.75">
      <c r="A930" s="49"/>
      <c r="C930" s="49"/>
      <c r="D930" s="45"/>
      <c r="E930" s="13"/>
      <c r="F930" s="126"/>
      <c r="G930" s="200"/>
      <c r="H930" s="152"/>
      <c r="I930" s="173"/>
      <c r="J930" s="192"/>
      <c r="K930" s="173"/>
      <c r="L930" s="192"/>
    </row>
    <row r="931" spans="1:12" ht="12.75">
      <c r="A931" s="49"/>
      <c r="C931" s="49"/>
      <c r="D931" s="45"/>
      <c r="E931" s="13"/>
      <c r="F931" s="126"/>
      <c r="G931" s="200"/>
      <c r="H931" s="152"/>
      <c r="I931" s="173"/>
      <c r="J931" s="192"/>
      <c r="K931" s="173"/>
      <c r="L931" s="192"/>
    </row>
    <row r="932" spans="1:12" ht="12.75">
      <c r="A932" s="49"/>
      <c r="C932" s="49"/>
      <c r="D932" s="45"/>
      <c r="E932" s="13"/>
      <c r="F932" s="126"/>
      <c r="G932" s="200"/>
      <c r="H932" s="152"/>
      <c r="I932" s="173"/>
      <c r="J932" s="192"/>
      <c r="K932" s="173"/>
      <c r="L932" s="192"/>
    </row>
    <row r="933" spans="1:12" ht="12.75">
      <c r="A933" s="49"/>
      <c r="C933" s="49"/>
      <c r="D933" s="45"/>
      <c r="E933" s="13"/>
      <c r="F933" s="126"/>
      <c r="G933" s="200"/>
      <c r="H933" s="152"/>
      <c r="I933" s="173"/>
      <c r="J933" s="192"/>
      <c r="K933" s="173"/>
      <c r="L933" s="192"/>
    </row>
    <row r="934" spans="1:12" ht="12.75">
      <c r="A934" s="49"/>
      <c r="C934" s="49"/>
      <c r="D934" s="45"/>
      <c r="E934" s="13"/>
      <c r="F934" s="126"/>
      <c r="G934" s="200"/>
      <c r="H934" s="152"/>
      <c r="I934" s="173"/>
      <c r="J934" s="192"/>
      <c r="K934" s="173"/>
      <c r="L934" s="192"/>
    </row>
    <row r="935" spans="1:12" ht="12.75">
      <c r="A935" s="49"/>
      <c r="C935" s="49"/>
      <c r="D935" s="45"/>
      <c r="E935" s="13"/>
      <c r="F935" s="126"/>
      <c r="G935" s="200"/>
      <c r="H935" s="152"/>
      <c r="I935" s="173"/>
      <c r="J935" s="192"/>
      <c r="K935" s="173"/>
      <c r="L935" s="192"/>
    </row>
    <row r="936" spans="1:12" ht="12.75">
      <c r="A936" s="49"/>
      <c r="C936" s="49"/>
      <c r="D936" s="45"/>
      <c r="E936" s="13"/>
      <c r="F936" s="126"/>
      <c r="G936" s="200"/>
      <c r="H936" s="152"/>
      <c r="I936" s="173"/>
      <c r="J936" s="192"/>
      <c r="K936" s="173"/>
      <c r="L936" s="192"/>
    </row>
    <row r="937" spans="1:12" ht="12.75">
      <c r="A937" s="49"/>
      <c r="C937" s="49"/>
      <c r="D937" s="45"/>
      <c r="E937" s="13"/>
      <c r="F937" s="126"/>
      <c r="G937" s="200"/>
      <c r="H937" s="152"/>
      <c r="I937" s="173"/>
      <c r="J937" s="192"/>
      <c r="K937" s="173"/>
      <c r="L937" s="192"/>
    </row>
    <row r="938" spans="1:12" ht="12.75">
      <c r="A938" s="49"/>
      <c r="C938" s="49"/>
      <c r="D938" s="45"/>
      <c r="E938" s="13"/>
      <c r="F938" s="126"/>
      <c r="G938" s="200"/>
      <c r="H938" s="152"/>
      <c r="I938" s="173"/>
      <c r="J938" s="192"/>
      <c r="K938" s="173"/>
      <c r="L938" s="192"/>
    </row>
    <row r="939" spans="1:12" ht="12.75">
      <c r="A939" s="49"/>
      <c r="C939" s="49"/>
      <c r="D939" s="45"/>
      <c r="E939" s="13"/>
      <c r="F939" s="126"/>
      <c r="G939" s="200"/>
      <c r="H939" s="152"/>
      <c r="I939" s="173"/>
      <c r="J939" s="192"/>
      <c r="K939" s="173"/>
      <c r="L939" s="192"/>
    </row>
    <row r="940" spans="1:12" ht="12.75">
      <c r="A940" s="49"/>
      <c r="C940" s="49"/>
      <c r="D940" s="45"/>
      <c r="E940" s="13"/>
      <c r="F940" s="126"/>
      <c r="G940" s="200"/>
      <c r="H940" s="152"/>
      <c r="I940" s="173"/>
      <c r="J940" s="192"/>
      <c r="K940" s="173"/>
      <c r="L940" s="192"/>
    </row>
    <row r="941" spans="1:12" ht="12.75">
      <c r="A941" s="49"/>
      <c r="C941" s="49"/>
      <c r="D941" s="45"/>
      <c r="E941" s="13"/>
      <c r="F941" s="126"/>
      <c r="G941" s="200"/>
      <c r="H941" s="152"/>
      <c r="I941" s="173"/>
      <c r="J941" s="192"/>
      <c r="K941" s="173"/>
      <c r="L941" s="192"/>
    </row>
    <row r="942" spans="1:12" ht="12.75">
      <c r="A942" s="49"/>
      <c r="C942" s="49"/>
      <c r="D942" s="45"/>
      <c r="E942" s="13"/>
      <c r="F942" s="126"/>
      <c r="G942" s="200"/>
      <c r="H942" s="152"/>
      <c r="I942" s="173"/>
      <c r="J942" s="192"/>
      <c r="K942" s="173"/>
      <c r="L942" s="192"/>
    </row>
    <row r="943" spans="1:12" ht="12.75">
      <c r="A943" s="49"/>
      <c r="C943" s="49"/>
      <c r="D943" s="45"/>
      <c r="E943" s="13"/>
      <c r="F943" s="126"/>
      <c r="G943" s="200"/>
      <c r="H943" s="152"/>
      <c r="I943" s="173"/>
      <c r="J943" s="192"/>
      <c r="K943" s="173"/>
      <c r="L943" s="192"/>
    </row>
    <row r="944" spans="1:12" ht="12.75">
      <c r="A944" s="49"/>
      <c r="C944" s="49"/>
      <c r="D944" s="45"/>
      <c r="E944" s="13"/>
      <c r="F944" s="126"/>
      <c r="G944" s="200"/>
      <c r="H944" s="152"/>
      <c r="I944" s="173"/>
      <c r="J944" s="192"/>
      <c r="K944" s="173"/>
      <c r="L944" s="192"/>
    </row>
    <row r="945" spans="1:12" ht="12.75">
      <c r="A945" s="49"/>
      <c r="C945" s="49"/>
      <c r="D945" s="45"/>
      <c r="E945" s="13"/>
      <c r="F945" s="126"/>
      <c r="G945" s="200"/>
      <c r="H945" s="152"/>
      <c r="I945" s="173"/>
      <c r="J945" s="192"/>
      <c r="K945" s="173"/>
      <c r="L945" s="192"/>
    </row>
    <row r="946" spans="1:12" ht="12.75">
      <c r="A946" s="49"/>
      <c r="C946" s="49"/>
      <c r="D946" s="45"/>
      <c r="E946" s="13"/>
      <c r="F946" s="126"/>
      <c r="G946" s="200"/>
      <c r="H946" s="152"/>
      <c r="I946" s="173"/>
      <c r="J946" s="192"/>
      <c r="K946" s="173"/>
      <c r="L946" s="192"/>
    </row>
    <row r="947" spans="1:12" ht="12.75">
      <c r="A947" s="49"/>
      <c r="C947" s="49"/>
      <c r="D947" s="45"/>
      <c r="E947" s="13"/>
      <c r="F947" s="126"/>
      <c r="G947" s="200"/>
      <c r="H947" s="152"/>
      <c r="I947" s="173"/>
      <c r="J947" s="192"/>
      <c r="K947" s="173"/>
      <c r="L947" s="192"/>
    </row>
    <row r="948" spans="1:12" ht="12.75">
      <c r="A948" s="49"/>
      <c r="C948" s="49"/>
      <c r="D948" s="45"/>
      <c r="E948" s="13"/>
      <c r="F948" s="126"/>
      <c r="G948" s="200"/>
      <c r="H948" s="152"/>
      <c r="I948" s="173"/>
      <c r="J948" s="192"/>
      <c r="K948" s="173"/>
      <c r="L948" s="192"/>
    </row>
    <row r="949" spans="1:12" ht="12.75">
      <c r="A949" s="49"/>
      <c r="C949" s="49"/>
      <c r="D949" s="45"/>
      <c r="E949" s="13"/>
      <c r="F949" s="126"/>
      <c r="G949" s="200"/>
      <c r="H949" s="152"/>
      <c r="I949" s="173"/>
      <c r="J949" s="192"/>
      <c r="K949" s="173"/>
      <c r="L949" s="192"/>
    </row>
    <row r="950" spans="1:12" ht="12.75">
      <c r="A950" s="49"/>
      <c r="C950" s="49"/>
      <c r="D950" s="45"/>
      <c r="E950" s="13"/>
      <c r="F950" s="126"/>
      <c r="G950" s="200"/>
      <c r="H950" s="152"/>
      <c r="I950" s="173"/>
      <c r="J950" s="192"/>
      <c r="K950" s="173"/>
      <c r="L950" s="192"/>
    </row>
    <row r="951" spans="1:12" ht="12.75">
      <c r="A951" s="49"/>
      <c r="C951" s="49"/>
      <c r="D951" s="45"/>
      <c r="E951" s="13"/>
      <c r="F951" s="126"/>
      <c r="G951" s="200"/>
      <c r="H951" s="152"/>
      <c r="I951" s="173"/>
      <c r="J951" s="192"/>
      <c r="K951" s="173"/>
      <c r="L951" s="192"/>
    </row>
    <row r="952" spans="1:12" ht="12.75">
      <c r="A952" s="49"/>
      <c r="C952" s="49"/>
      <c r="D952" s="45"/>
      <c r="E952" s="13"/>
      <c r="F952" s="126"/>
      <c r="G952" s="200"/>
      <c r="H952" s="152"/>
      <c r="I952" s="173"/>
      <c r="J952" s="192"/>
      <c r="K952" s="173"/>
      <c r="L952" s="192"/>
    </row>
    <row r="953" spans="1:12" ht="12.75">
      <c r="A953" s="49"/>
      <c r="C953" s="49"/>
      <c r="D953" s="45"/>
      <c r="E953" s="13"/>
      <c r="F953" s="126"/>
      <c r="G953" s="200"/>
      <c r="H953" s="152"/>
      <c r="I953" s="173"/>
      <c r="J953" s="192"/>
      <c r="K953" s="173"/>
      <c r="L953" s="192"/>
    </row>
    <row r="954" spans="1:12" ht="12.75">
      <c r="A954" s="49"/>
      <c r="C954" s="49"/>
      <c r="D954" s="45"/>
      <c r="E954" s="13"/>
      <c r="F954" s="126"/>
      <c r="G954" s="200"/>
      <c r="H954" s="152"/>
      <c r="I954" s="173"/>
      <c r="J954" s="192"/>
      <c r="K954" s="173"/>
      <c r="L954" s="192"/>
    </row>
    <row r="955" spans="1:12" ht="12.75">
      <c r="A955" s="49"/>
      <c r="C955" s="49"/>
      <c r="D955" s="45"/>
      <c r="E955" s="13"/>
      <c r="F955" s="126"/>
      <c r="G955" s="200"/>
      <c r="H955" s="152"/>
      <c r="I955" s="173"/>
      <c r="J955" s="192"/>
      <c r="K955" s="173"/>
      <c r="L955" s="192"/>
    </row>
    <row r="956" spans="1:12" ht="12.75">
      <c r="A956" s="49"/>
      <c r="C956" s="49"/>
      <c r="D956" s="45"/>
      <c r="E956" s="13"/>
      <c r="F956" s="126"/>
      <c r="G956" s="200"/>
      <c r="H956" s="152"/>
      <c r="I956" s="173"/>
      <c r="J956" s="192"/>
      <c r="K956" s="173"/>
      <c r="L956" s="192"/>
    </row>
    <row r="957" spans="1:12" ht="12.75">
      <c r="A957" s="49"/>
      <c r="C957" s="49"/>
      <c r="D957" s="45"/>
      <c r="E957" s="13"/>
      <c r="F957" s="126"/>
      <c r="G957" s="200"/>
      <c r="H957" s="152"/>
      <c r="I957" s="173"/>
      <c r="J957" s="192"/>
      <c r="K957" s="173"/>
      <c r="L957" s="192"/>
    </row>
    <row r="958" spans="1:12" ht="12.75">
      <c r="A958" s="49"/>
      <c r="C958" s="49"/>
      <c r="D958" s="45"/>
      <c r="E958" s="13"/>
      <c r="F958" s="126"/>
      <c r="G958" s="200"/>
      <c r="H958" s="152"/>
      <c r="I958" s="173"/>
      <c r="J958" s="192"/>
      <c r="K958" s="173"/>
      <c r="L958" s="192"/>
    </row>
    <row r="959" spans="1:12" ht="12.75">
      <c r="A959" s="49"/>
      <c r="C959" s="49"/>
      <c r="D959" s="45"/>
      <c r="E959" s="13"/>
      <c r="F959" s="126"/>
      <c r="G959" s="200"/>
      <c r="H959" s="152"/>
      <c r="I959" s="173"/>
      <c r="J959" s="192"/>
      <c r="K959" s="173"/>
      <c r="L959" s="192"/>
    </row>
    <row r="960" spans="1:12" ht="12.75">
      <c r="A960" s="49"/>
      <c r="C960" s="49"/>
      <c r="D960" s="45"/>
      <c r="E960" s="13"/>
      <c r="F960" s="126"/>
      <c r="G960" s="200"/>
      <c r="H960" s="152"/>
      <c r="I960" s="173"/>
      <c r="J960" s="192"/>
      <c r="K960" s="173"/>
      <c r="L960" s="192"/>
    </row>
    <row r="961" spans="1:12" ht="12.75">
      <c r="A961" s="49"/>
      <c r="C961" s="49"/>
      <c r="D961" s="45"/>
      <c r="E961" s="13"/>
      <c r="F961" s="126"/>
      <c r="G961" s="200"/>
      <c r="H961" s="152"/>
      <c r="I961" s="173"/>
      <c r="J961" s="192"/>
      <c r="K961" s="173"/>
      <c r="L961" s="192"/>
    </row>
    <row r="962" spans="1:12" ht="12.75">
      <c r="A962" s="49"/>
      <c r="C962" s="49"/>
      <c r="D962" s="45"/>
      <c r="E962" s="13"/>
      <c r="F962" s="126"/>
      <c r="G962" s="200"/>
      <c r="H962" s="152"/>
      <c r="I962" s="173"/>
      <c r="J962" s="192"/>
      <c r="K962" s="173"/>
      <c r="L962" s="192"/>
    </row>
    <row r="963" spans="1:12" ht="12.75">
      <c r="A963" s="49"/>
      <c r="C963" s="49"/>
      <c r="D963" s="45"/>
      <c r="E963" s="13"/>
      <c r="F963" s="126"/>
      <c r="G963" s="200"/>
      <c r="H963" s="152"/>
      <c r="I963" s="173"/>
      <c r="J963" s="192"/>
      <c r="K963" s="173"/>
      <c r="L963" s="192"/>
    </row>
    <row r="964" spans="1:12" ht="12.75">
      <c r="A964" s="49"/>
      <c r="C964" s="49"/>
      <c r="D964" s="45"/>
      <c r="E964" s="13"/>
      <c r="F964" s="126"/>
      <c r="G964" s="200"/>
      <c r="H964" s="152"/>
      <c r="I964" s="173"/>
      <c r="J964" s="192"/>
      <c r="K964" s="173"/>
      <c r="L964" s="192"/>
    </row>
    <row r="965" spans="1:12" ht="12.75">
      <c r="A965" s="49"/>
      <c r="C965" s="49"/>
      <c r="D965" s="45"/>
      <c r="E965" s="13"/>
      <c r="F965" s="126"/>
      <c r="G965" s="200"/>
      <c r="H965" s="152"/>
      <c r="I965" s="173"/>
      <c r="J965" s="192"/>
      <c r="K965" s="173"/>
      <c r="L965" s="192"/>
    </row>
    <row r="966" spans="1:12" ht="12.75">
      <c r="A966" s="49"/>
      <c r="C966" s="49"/>
      <c r="D966" s="45"/>
      <c r="E966" s="13"/>
      <c r="F966" s="126"/>
      <c r="G966" s="200"/>
      <c r="H966" s="152"/>
      <c r="I966" s="173"/>
      <c r="J966" s="192"/>
      <c r="K966" s="173"/>
      <c r="L966" s="192"/>
    </row>
    <row r="967" spans="1:12" ht="12.75">
      <c r="A967" s="49"/>
      <c r="C967" s="49"/>
      <c r="D967" s="45"/>
      <c r="E967" s="13"/>
      <c r="F967" s="126"/>
      <c r="G967" s="200"/>
      <c r="H967" s="152"/>
      <c r="I967" s="173"/>
      <c r="J967" s="192"/>
      <c r="K967" s="173"/>
      <c r="L967" s="192"/>
    </row>
    <row r="968" spans="1:12" ht="12.75">
      <c r="A968" s="49"/>
      <c r="C968" s="49"/>
      <c r="D968" s="45"/>
      <c r="E968" s="13"/>
      <c r="F968" s="126"/>
      <c r="G968" s="200"/>
      <c r="H968" s="152"/>
      <c r="I968" s="173"/>
      <c r="J968" s="192"/>
      <c r="K968" s="173"/>
      <c r="L968" s="192"/>
    </row>
    <row r="969" spans="1:12" ht="12.75">
      <c r="A969" s="49"/>
      <c r="C969" s="49"/>
      <c r="D969" s="45"/>
      <c r="E969" s="13"/>
      <c r="F969" s="126"/>
      <c r="G969" s="200"/>
      <c r="H969" s="152"/>
      <c r="I969" s="173"/>
      <c r="J969" s="192"/>
      <c r="K969" s="173"/>
      <c r="L969" s="192"/>
    </row>
    <row r="970" spans="1:12" ht="12.75">
      <c r="A970" s="49"/>
      <c r="C970" s="49"/>
      <c r="D970" s="45"/>
      <c r="E970" s="13"/>
      <c r="F970" s="126"/>
      <c r="G970" s="200"/>
      <c r="H970" s="152"/>
      <c r="I970" s="173"/>
      <c r="J970" s="192"/>
      <c r="K970" s="173"/>
      <c r="L970" s="192"/>
    </row>
    <row r="971" spans="1:12" ht="12.75">
      <c r="A971" s="49"/>
      <c r="C971" s="49"/>
      <c r="D971" s="45"/>
      <c r="E971" s="13"/>
      <c r="F971" s="126"/>
      <c r="G971" s="200"/>
      <c r="H971" s="152"/>
      <c r="I971" s="173"/>
      <c r="J971" s="192"/>
      <c r="K971" s="173"/>
      <c r="L971" s="192"/>
    </row>
    <row r="972" spans="1:12" ht="12.75">
      <c r="A972" s="49"/>
      <c r="C972" s="49"/>
      <c r="D972" s="45"/>
      <c r="E972" s="13"/>
      <c r="F972" s="126"/>
      <c r="G972" s="200"/>
      <c r="H972" s="152"/>
      <c r="I972" s="173"/>
      <c r="J972" s="192"/>
      <c r="K972" s="173"/>
      <c r="L972" s="192"/>
    </row>
    <row r="973" spans="1:12" ht="12.75">
      <c r="A973" s="49"/>
      <c r="C973" s="49"/>
      <c r="D973" s="45"/>
      <c r="E973" s="13"/>
      <c r="F973" s="126"/>
      <c r="G973" s="200"/>
      <c r="H973" s="152"/>
      <c r="I973" s="173"/>
      <c r="J973" s="192"/>
      <c r="K973" s="173"/>
      <c r="L973" s="192"/>
    </row>
    <row r="974" spans="1:12" ht="12.75">
      <c r="A974" s="49"/>
      <c r="C974" s="49"/>
      <c r="D974" s="45"/>
      <c r="E974" s="13"/>
      <c r="F974" s="126"/>
      <c r="G974" s="200"/>
      <c r="H974" s="152"/>
      <c r="I974" s="173"/>
      <c r="J974" s="192"/>
      <c r="K974" s="173"/>
      <c r="L974" s="192"/>
    </row>
    <row r="975" spans="1:12" ht="12.75">
      <c r="A975" s="49"/>
      <c r="C975" s="49"/>
      <c r="D975" s="45"/>
      <c r="E975" s="13"/>
      <c r="F975" s="126"/>
      <c r="G975" s="200"/>
      <c r="H975" s="152"/>
      <c r="I975" s="173"/>
      <c r="J975" s="192"/>
      <c r="K975" s="173"/>
      <c r="L975" s="192"/>
    </row>
    <row r="976" spans="1:12" ht="12.75">
      <c r="A976" s="49"/>
      <c r="C976" s="49"/>
      <c r="D976" s="45"/>
      <c r="E976" s="13"/>
      <c r="F976" s="126"/>
      <c r="G976" s="200"/>
      <c r="H976" s="152"/>
      <c r="I976" s="173"/>
      <c r="J976" s="192"/>
      <c r="K976" s="173"/>
      <c r="L976" s="192"/>
    </row>
    <row r="977" spans="1:12" ht="12.75">
      <c r="A977" s="49"/>
      <c r="C977" s="49"/>
      <c r="D977" s="45"/>
      <c r="E977" s="13"/>
      <c r="F977" s="126"/>
      <c r="G977" s="200"/>
      <c r="H977" s="152"/>
      <c r="I977" s="173"/>
      <c r="J977" s="192"/>
      <c r="K977" s="173"/>
      <c r="L977" s="192"/>
    </row>
    <row r="978" spans="1:12" ht="12.75">
      <c r="A978" s="49"/>
      <c r="C978" s="49"/>
      <c r="D978" s="45"/>
      <c r="E978" s="13"/>
      <c r="F978" s="126"/>
      <c r="G978" s="200"/>
      <c r="H978" s="152"/>
      <c r="I978" s="173"/>
      <c r="J978" s="192"/>
      <c r="K978" s="173"/>
      <c r="L978" s="192"/>
    </row>
    <row r="979" spans="1:12" ht="12.75">
      <c r="A979" s="49"/>
      <c r="C979" s="49"/>
      <c r="D979" s="45"/>
      <c r="E979" s="13"/>
      <c r="F979" s="126"/>
      <c r="G979" s="200"/>
      <c r="H979" s="152"/>
      <c r="I979" s="173"/>
      <c r="J979" s="192"/>
      <c r="K979" s="173"/>
      <c r="L979" s="192"/>
    </row>
    <row r="980" spans="1:12" ht="12.75">
      <c r="A980" s="49"/>
      <c r="C980" s="49"/>
      <c r="D980" s="45"/>
      <c r="E980" s="13"/>
      <c r="F980" s="126"/>
      <c r="G980" s="200"/>
      <c r="H980" s="152"/>
      <c r="I980" s="173"/>
      <c r="J980" s="192"/>
      <c r="K980" s="173"/>
      <c r="L980" s="192"/>
    </row>
    <row r="981" spans="1:12" ht="12.75">
      <c r="A981" s="49"/>
      <c r="C981" s="49"/>
      <c r="D981" s="45"/>
      <c r="E981" s="13"/>
      <c r="F981" s="126"/>
      <c r="G981" s="200"/>
      <c r="H981" s="152"/>
      <c r="I981" s="173"/>
      <c r="J981" s="192"/>
      <c r="K981" s="173"/>
      <c r="L981" s="192"/>
    </row>
    <row r="982" spans="1:12" ht="12.75">
      <c r="A982" s="49"/>
      <c r="C982" s="49"/>
      <c r="D982" s="45"/>
      <c r="E982" s="13"/>
      <c r="F982" s="126"/>
      <c r="G982" s="200"/>
      <c r="H982" s="152"/>
      <c r="I982" s="173"/>
      <c r="J982" s="192"/>
      <c r="K982" s="173"/>
      <c r="L982" s="192"/>
    </row>
    <row r="983" spans="1:12" ht="12.75">
      <c r="A983" s="49"/>
      <c r="C983" s="49"/>
      <c r="D983" s="45"/>
      <c r="E983" s="13"/>
      <c r="F983" s="126"/>
      <c r="G983" s="200"/>
      <c r="H983" s="152"/>
      <c r="I983" s="173"/>
      <c r="J983" s="192"/>
      <c r="K983" s="173"/>
      <c r="L983" s="192"/>
    </row>
    <row r="984" spans="1:12" ht="12.75">
      <c r="A984" s="49"/>
      <c r="C984" s="49"/>
      <c r="D984" s="45"/>
      <c r="E984" s="13"/>
      <c r="F984" s="126"/>
      <c r="G984" s="200"/>
      <c r="H984" s="152"/>
      <c r="I984" s="173"/>
      <c r="J984" s="192"/>
      <c r="K984" s="173"/>
      <c r="L984" s="192"/>
    </row>
    <row r="985" spans="1:12" ht="12.75">
      <c r="A985" s="49"/>
      <c r="C985" s="49"/>
      <c r="D985" s="45"/>
      <c r="E985" s="13"/>
      <c r="F985" s="126"/>
      <c r="G985" s="200"/>
      <c r="H985" s="152"/>
      <c r="I985" s="173"/>
      <c r="J985" s="192"/>
      <c r="K985" s="173"/>
      <c r="L985" s="192"/>
    </row>
    <row r="986" spans="1:12" ht="12.75">
      <c r="A986" s="49"/>
      <c r="C986" s="49"/>
      <c r="D986" s="45"/>
      <c r="E986" s="13"/>
      <c r="F986" s="126"/>
      <c r="G986" s="200"/>
      <c r="H986" s="152"/>
      <c r="I986" s="173"/>
      <c r="J986" s="192"/>
      <c r="K986" s="173"/>
      <c r="L986" s="192"/>
    </row>
    <row r="987" spans="1:12" ht="12.75">
      <c r="A987" s="49"/>
      <c r="C987" s="49"/>
      <c r="D987" s="45"/>
      <c r="E987" s="13"/>
      <c r="F987" s="126"/>
      <c r="G987" s="200"/>
      <c r="H987" s="152"/>
      <c r="I987" s="173"/>
      <c r="J987" s="192"/>
      <c r="K987" s="173"/>
      <c r="L987" s="192"/>
    </row>
    <row r="988" spans="1:12" ht="12.75">
      <c r="A988" s="49"/>
      <c r="C988" s="49"/>
      <c r="D988" s="45"/>
      <c r="E988" s="13"/>
      <c r="F988" s="126"/>
      <c r="G988" s="200"/>
      <c r="H988" s="152"/>
      <c r="I988" s="173"/>
      <c r="J988" s="192"/>
      <c r="K988" s="173"/>
      <c r="L988" s="192"/>
    </row>
    <row r="989" spans="1:12" ht="12.75">
      <c r="A989" s="49"/>
      <c r="C989" s="49"/>
      <c r="D989" s="45"/>
      <c r="E989" s="13"/>
      <c r="F989" s="126"/>
      <c r="G989" s="200"/>
      <c r="H989" s="152"/>
      <c r="I989" s="173"/>
      <c r="J989" s="192"/>
      <c r="K989" s="173"/>
      <c r="L989" s="192"/>
    </row>
    <row r="990" spans="1:12" ht="12.75">
      <c r="A990" s="49"/>
      <c r="C990" s="49"/>
      <c r="D990" s="45"/>
      <c r="E990" s="13"/>
      <c r="F990" s="126"/>
      <c r="G990" s="200"/>
      <c r="H990" s="152"/>
      <c r="I990" s="173"/>
      <c r="J990" s="192"/>
      <c r="K990" s="173"/>
      <c r="L990" s="192"/>
    </row>
    <row r="991" spans="1:12" ht="12.75">
      <c r="A991" s="49"/>
      <c r="C991" s="49"/>
      <c r="D991" s="45"/>
      <c r="E991" s="13"/>
      <c r="F991" s="126"/>
      <c r="G991" s="200"/>
      <c r="H991" s="152"/>
      <c r="I991" s="173"/>
      <c r="J991" s="192"/>
      <c r="K991" s="173"/>
      <c r="L991" s="192"/>
    </row>
    <row r="992" spans="1:12" ht="12.75">
      <c r="A992" s="49"/>
      <c r="C992" s="49"/>
      <c r="D992" s="45"/>
      <c r="E992" s="13"/>
      <c r="F992" s="126"/>
      <c r="G992" s="200"/>
      <c r="H992" s="152"/>
      <c r="I992" s="173"/>
      <c r="J992" s="192"/>
      <c r="K992" s="173"/>
      <c r="L992" s="192"/>
    </row>
    <row r="993" spans="1:12" ht="12.75">
      <c r="A993" s="49"/>
      <c r="C993" s="49"/>
      <c r="D993" s="45"/>
      <c r="E993" s="13"/>
      <c r="F993" s="126"/>
      <c r="G993" s="200"/>
      <c r="H993" s="152"/>
      <c r="I993" s="173"/>
      <c r="J993" s="192"/>
      <c r="K993" s="173"/>
      <c r="L993" s="192"/>
    </row>
    <row r="994" spans="1:12" ht="12.75">
      <c r="A994" s="49"/>
      <c r="C994" s="49"/>
      <c r="D994" s="45"/>
      <c r="E994" s="13"/>
      <c r="F994" s="126"/>
      <c r="G994" s="200"/>
      <c r="H994" s="152"/>
      <c r="I994" s="173"/>
      <c r="J994" s="192"/>
      <c r="K994" s="173"/>
      <c r="L994" s="192"/>
    </row>
    <row r="995" spans="1:12" ht="12.75">
      <c r="A995" s="49"/>
      <c r="C995" s="49"/>
      <c r="D995" s="45"/>
      <c r="E995" s="13"/>
      <c r="F995" s="126"/>
      <c r="G995" s="200"/>
      <c r="H995" s="152"/>
      <c r="I995" s="173"/>
      <c r="J995" s="192"/>
      <c r="K995" s="173"/>
      <c r="L995" s="192"/>
    </row>
    <row r="996" spans="1:12" ht="12.75">
      <c r="A996" s="49"/>
      <c r="C996" s="49"/>
      <c r="D996" s="45"/>
      <c r="E996" s="13"/>
      <c r="F996" s="126"/>
      <c r="G996" s="200"/>
      <c r="H996" s="152"/>
      <c r="I996" s="173"/>
      <c r="J996" s="192"/>
      <c r="K996" s="173"/>
      <c r="L996" s="192"/>
    </row>
    <row r="997" spans="1:12" ht="12.75">
      <c r="A997" s="49"/>
      <c r="C997" s="49"/>
      <c r="D997" s="45"/>
      <c r="E997" s="13"/>
      <c r="F997" s="126"/>
      <c r="G997" s="200"/>
      <c r="H997" s="152"/>
      <c r="I997" s="173"/>
      <c r="J997" s="192"/>
      <c r="K997" s="173"/>
      <c r="L997" s="192"/>
    </row>
    <row r="998" spans="1:12" ht="12.75">
      <c r="A998" s="49"/>
      <c r="C998" s="49"/>
      <c r="D998" s="45"/>
      <c r="E998" s="13"/>
      <c r="F998" s="126"/>
      <c r="G998" s="200"/>
      <c r="H998" s="152"/>
      <c r="I998" s="173"/>
      <c r="J998" s="192"/>
      <c r="K998" s="173"/>
      <c r="L998" s="192"/>
    </row>
    <row r="999" spans="1:12" ht="12.75">
      <c r="A999" s="49"/>
      <c r="C999" s="49"/>
      <c r="D999" s="45"/>
      <c r="E999" s="13"/>
      <c r="F999" s="126"/>
      <c r="G999" s="200"/>
      <c r="H999" s="152"/>
      <c r="I999" s="173"/>
      <c r="J999" s="192"/>
      <c r="K999" s="173"/>
      <c r="L999" s="192"/>
    </row>
    <row r="1000" spans="1:12" ht="12.75">
      <c r="A1000" s="49"/>
      <c r="C1000" s="49"/>
      <c r="D1000" s="45"/>
      <c r="E1000" s="13"/>
      <c r="F1000" s="126"/>
      <c r="G1000" s="200"/>
      <c r="H1000" s="152"/>
      <c r="I1000" s="173"/>
      <c r="J1000" s="192"/>
      <c r="K1000" s="173"/>
      <c r="L1000" s="192"/>
    </row>
    <row r="1001" spans="1:12" ht="12.75">
      <c r="A1001" s="49"/>
      <c r="C1001" s="49"/>
      <c r="D1001" s="45"/>
      <c r="E1001" s="13"/>
      <c r="F1001" s="126"/>
      <c r="G1001" s="200"/>
      <c r="H1001" s="152"/>
      <c r="I1001" s="173"/>
      <c r="J1001" s="192"/>
      <c r="K1001" s="173"/>
      <c r="L1001" s="192"/>
    </row>
    <row r="1002" spans="1:12" ht="12.75">
      <c r="A1002" s="49"/>
      <c r="C1002" s="49"/>
      <c r="D1002" s="45"/>
      <c r="E1002" s="13"/>
      <c r="F1002" s="126"/>
      <c r="G1002" s="200"/>
      <c r="H1002" s="152"/>
      <c r="I1002" s="173"/>
      <c r="J1002" s="192"/>
      <c r="K1002" s="173"/>
      <c r="L1002" s="192"/>
    </row>
    <row r="1003" spans="1:12" ht="12.75">
      <c r="A1003" s="49"/>
      <c r="C1003" s="49"/>
      <c r="D1003" s="45"/>
      <c r="E1003" s="13"/>
      <c r="F1003" s="126"/>
      <c r="G1003" s="200"/>
      <c r="H1003" s="152"/>
      <c r="I1003" s="173"/>
      <c r="J1003" s="192"/>
      <c r="K1003" s="173"/>
      <c r="L1003" s="192"/>
    </row>
    <row r="1004" spans="1:12" ht="12.75">
      <c r="A1004" s="49"/>
      <c r="C1004" s="49"/>
      <c r="D1004" s="45"/>
      <c r="E1004" s="13"/>
      <c r="F1004" s="126"/>
      <c r="G1004" s="200"/>
      <c r="H1004" s="152"/>
      <c r="I1004" s="173"/>
      <c r="J1004" s="192"/>
      <c r="K1004" s="173"/>
      <c r="L1004" s="192"/>
    </row>
    <row r="1005" spans="1:12" ht="12.75">
      <c r="A1005" s="49"/>
      <c r="C1005" s="49"/>
      <c r="D1005" s="45"/>
      <c r="E1005" s="13"/>
      <c r="F1005" s="126"/>
      <c r="G1005" s="200"/>
      <c r="H1005" s="152"/>
      <c r="I1005" s="173"/>
      <c r="J1005" s="192"/>
      <c r="K1005" s="173"/>
      <c r="L1005" s="192"/>
    </row>
    <row r="1006" spans="1:12" ht="12.75">
      <c r="A1006" s="49"/>
      <c r="C1006" s="49"/>
      <c r="D1006" s="45"/>
      <c r="E1006" s="13"/>
      <c r="F1006" s="126"/>
      <c r="G1006" s="200"/>
      <c r="H1006" s="152"/>
      <c r="I1006" s="173"/>
      <c r="J1006" s="192"/>
      <c r="K1006" s="173"/>
      <c r="L1006" s="192"/>
    </row>
    <row r="1007" spans="1:12" ht="12.75">
      <c r="A1007" s="49"/>
      <c r="C1007" s="49"/>
      <c r="D1007" s="45"/>
      <c r="E1007" s="13"/>
      <c r="F1007" s="126"/>
      <c r="G1007" s="200"/>
      <c r="H1007" s="152"/>
      <c r="I1007" s="173"/>
      <c r="J1007" s="192"/>
      <c r="K1007" s="173"/>
      <c r="L1007" s="192"/>
    </row>
    <row r="1008" spans="1:12" ht="12.75">
      <c r="A1008" s="49"/>
      <c r="C1008" s="49"/>
      <c r="D1008" s="45"/>
      <c r="E1008" s="13"/>
      <c r="F1008" s="126"/>
      <c r="G1008" s="200"/>
      <c r="H1008" s="152"/>
      <c r="I1008" s="173"/>
      <c r="J1008" s="192"/>
      <c r="K1008" s="173"/>
      <c r="L1008" s="192"/>
    </row>
    <row r="1009" spans="1:12" ht="12.75">
      <c r="A1009" s="49"/>
      <c r="C1009" s="49"/>
      <c r="D1009" s="45"/>
      <c r="E1009" s="13"/>
      <c r="F1009" s="126"/>
      <c r="G1009" s="200"/>
      <c r="H1009" s="152"/>
      <c r="I1009" s="173"/>
      <c r="J1009" s="192"/>
      <c r="K1009" s="173"/>
      <c r="L1009" s="192"/>
    </row>
    <row r="1010" spans="1:12" ht="12.75">
      <c r="A1010" s="49"/>
      <c r="C1010" s="49"/>
      <c r="D1010" s="45"/>
      <c r="E1010" s="13"/>
      <c r="F1010" s="126"/>
      <c r="G1010" s="200"/>
      <c r="H1010" s="152"/>
      <c r="I1010" s="173"/>
      <c r="J1010" s="192"/>
      <c r="K1010" s="173"/>
      <c r="L1010" s="192"/>
    </row>
    <row r="1011" spans="1:12" ht="12.75">
      <c r="A1011" s="49"/>
      <c r="C1011" s="49"/>
      <c r="D1011" s="45"/>
      <c r="E1011" s="13"/>
      <c r="F1011" s="126"/>
      <c r="G1011" s="200"/>
      <c r="H1011" s="152"/>
      <c r="I1011" s="173"/>
      <c r="J1011" s="192"/>
      <c r="K1011" s="173"/>
      <c r="L1011" s="192"/>
    </row>
    <row r="1012" spans="1:12" ht="12.75">
      <c r="A1012" s="49"/>
      <c r="C1012" s="49"/>
      <c r="D1012" s="45"/>
      <c r="E1012" s="13"/>
      <c r="F1012" s="126"/>
      <c r="G1012" s="200"/>
      <c r="H1012" s="152"/>
      <c r="I1012" s="173"/>
      <c r="J1012" s="192"/>
      <c r="K1012" s="173"/>
      <c r="L1012" s="192"/>
    </row>
    <row r="1013" spans="1:12" ht="12.75">
      <c r="A1013" s="49"/>
      <c r="C1013" s="49"/>
      <c r="D1013" s="45"/>
      <c r="E1013" s="13"/>
      <c r="F1013" s="126"/>
      <c r="G1013" s="200"/>
      <c r="H1013" s="152"/>
      <c r="I1013" s="173"/>
      <c r="J1013" s="192"/>
      <c r="K1013" s="173"/>
      <c r="L1013" s="192"/>
    </row>
    <row r="1014" spans="1:12" ht="12.75">
      <c r="A1014" s="49"/>
      <c r="C1014" s="49"/>
      <c r="D1014" s="45"/>
      <c r="E1014" s="13"/>
      <c r="F1014" s="126"/>
      <c r="G1014" s="200"/>
      <c r="H1014" s="152"/>
      <c r="I1014" s="173"/>
      <c r="J1014" s="192"/>
      <c r="K1014" s="173"/>
      <c r="L1014" s="192"/>
    </row>
    <row r="1015" spans="1:12" ht="12.75">
      <c r="A1015" s="49"/>
      <c r="C1015" s="49"/>
      <c r="D1015" s="45"/>
      <c r="E1015" s="13"/>
      <c r="F1015" s="126"/>
      <c r="G1015" s="200"/>
      <c r="H1015" s="152"/>
      <c r="I1015" s="173"/>
      <c r="J1015" s="192"/>
      <c r="K1015" s="173"/>
      <c r="L1015" s="192"/>
    </row>
    <row r="1016" spans="1:12" ht="12.75">
      <c r="A1016" s="49"/>
      <c r="C1016" s="49"/>
      <c r="D1016" s="45"/>
      <c r="E1016" s="13"/>
      <c r="F1016" s="126"/>
      <c r="G1016" s="200"/>
      <c r="H1016" s="152"/>
      <c r="I1016" s="173"/>
      <c r="J1016" s="192"/>
      <c r="K1016" s="173"/>
      <c r="L1016" s="192"/>
    </row>
    <row r="1017" spans="1:12" ht="12.75">
      <c r="A1017" s="49"/>
      <c r="C1017" s="49"/>
      <c r="D1017" s="45"/>
      <c r="E1017" s="13"/>
      <c r="F1017" s="126"/>
      <c r="G1017" s="200"/>
      <c r="H1017" s="152"/>
      <c r="I1017" s="173"/>
      <c r="J1017" s="192"/>
      <c r="K1017" s="173"/>
      <c r="L1017" s="192"/>
    </row>
    <row r="1018" spans="1:12" ht="12.75">
      <c r="A1018" s="49"/>
      <c r="C1018" s="49"/>
      <c r="D1018" s="45"/>
      <c r="E1018" s="13"/>
      <c r="F1018" s="126"/>
      <c r="G1018" s="200"/>
      <c r="H1018" s="152"/>
      <c r="I1018" s="173"/>
      <c r="J1018" s="192"/>
      <c r="K1018" s="173"/>
      <c r="L1018" s="192"/>
    </row>
    <row r="1019" spans="1:12" ht="12.75">
      <c r="A1019" s="49"/>
      <c r="C1019" s="49"/>
      <c r="D1019" s="45"/>
      <c r="E1019" s="13"/>
      <c r="F1019" s="126"/>
      <c r="G1019" s="200"/>
      <c r="H1019" s="152"/>
      <c r="I1019" s="173"/>
      <c r="J1019" s="192"/>
      <c r="K1019" s="173"/>
      <c r="L1019" s="192"/>
    </row>
    <row r="1020" spans="1:12" ht="12.75">
      <c r="A1020" s="49"/>
      <c r="C1020" s="49"/>
      <c r="D1020" s="45"/>
      <c r="E1020" s="13"/>
      <c r="F1020" s="126"/>
      <c r="G1020" s="200"/>
      <c r="H1020" s="152"/>
      <c r="I1020" s="173"/>
      <c r="J1020" s="192"/>
      <c r="K1020" s="173"/>
      <c r="L1020" s="192"/>
    </row>
    <row r="1021" spans="1:12" ht="12.75">
      <c r="A1021" s="49"/>
      <c r="C1021" s="49"/>
      <c r="D1021" s="45"/>
      <c r="E1021" s="13"/>
      <c r="F1021" s="126"/>
      <c r="G1021" s="200"/>
      <c r="H1021" s="152"/>
      <c r="I1021" s="173"/>
      <c r="J1021" s="192"/>
      <c r="K1021" s="173"/>
      <c r="L1021" s="192"/>
    </row>
    <row r="1022" spans="1:12" ht="12.75">
      <c r="A1022" s="49"/>
      <c r="C1022" s="49"/>
      <c r="D1022" s="45"/>
      <c r="E1022" s="13"/>
      <c r="F1022" s="126"/>
      <c r="G1022" s="200"/>
      <c r="H1022" s="152"/>
      <c r="I1022" s="173"/>
      <c r="J1022" s="192"/>
      <c r="K1022" s="173"/>
      <c r="L1022" s="192"/>
    </row>
    <row r="1023" spans="1:12" ht="12.75">
      <c r="A1023" s="49"/>
      <c r="C1023" s="49"/>
      <c r="D1023" s="45"/>
      <c r="E1023" s="13"/>
      <c r="F1023" s="126"/>
      <c r="G1023" s="200"/>
      <c r="H1023" s="152"/>
      <c r="I1023" s="173"/>
      <c r="J1023" s="192"/>
      <c r="K1023" s="173"/>
      <c r="L1023" s="192"/>
    </row>
    <row r="1024" spans="1:12" ht="12.75">
      <c r="A1024" s="49"/>
      <c r="C1024" s="49"/>
      <c r="D1024" s="45"/>
      <c r="E1024" s="13"/>
      <c r="F1024" s="126"/>
      <c r="G1024" s="200"/>
      <c r="H1024" s="152"/>
      <c r="I1024" s="173"/>
      <c r="J1024" s="192"/>
      <c r="K1024" s="173"/>
      <c r="L1024" s="192"/>
    </row>
    <row r="1025" spans="1:12" ht="12.75">
      <c r="A1025" s="49"/>
      <c r="C1025" s="49"/>
      <c r="D1025" s="45"/>
      <c r="E1025" s="13"/>
      <c r="F1025" s="126"/>
      <c r="G1025" s="200"/>
      <c r="H1025" s="152"/>
      <c r="I1025" s="173"/>
      <c r="J1025" s="192"/>
      <c r="K1025" s="173"/>
      <c r="L1025" s="192"/>
    </row>
    <row r="1026" spans="1:12" ht="12.75">
      <c r="A1026" s="49"/>
      <c r="C1026" s="49"/>
      <c r="D1026" s="45"/>
      <c r="E1026" s="13"/>
      <c r="F1026" s="126"/>
      <c r="G1026" s="200"/>
      <c r="H1026" s="152"/>
      <c r="I1026" s="173"/>
      <c r="J1026" s="192"/>
      <c r="K1026" s="173"/>
      <c r="L1026" s="192"/>
    </row>
    <row r="1027" spans="1:12" ht="12.75">
      <c r="A1027" s="49"/>
      <c r="C1027" s="49"/>
      <c r="D1027" s="45"/>
      <c r="E1027" s="13"/>
      <c r="F1027" s="126"/>
      <c r="G1027" s="200"/>
      <c r="H1027" s="152"/>
      <c r="I1027" s="173"/>
      <c r="J1027" s="192"/>
      <c r="K1027" s="173"/>
      <c r="L1027" s="192"/>
    </row>
    <row r="1028" spans="1:12" ht="12.75">
      <c r="A1028" s="49"/>
      <c r="C1028" s="49"/>
      <c r="D1028" s="45"/>
      <c r="E1028" s="13"/>
      <c r="F1028" s="126"/>
      <c r="G1028" s="200"/>
      <c r="H1028" s="152"/>
      <c r="I1028" s="173"/>
      <c r="J1028" s="192"/>
      <c r="K1028" s="173"/>
      <c r="L1028" s="192"/>
    </row>
    <row r="1029" spans="1:12" ht="12.75">
      <c r="A1029" s="49"/>
      <c r="C1029" s="49"/>
      <c r="D1029" s="45"/>
      <c r="E1029" s="13"/>
      <c r="F1029" s="126"/>
      <c r="G1029" s="200"/>
      <c r="H1029" s="152"/>
      <c r="I1029" s="173"/>
      <c r="J1029" s="192"/>
      <c r="K1029" s="173"/>
      <c r="L1029" s="192"/>
    </row>
    <row r="1030" spans="1:12" ht="12.75">
      <c r="A1030" s="49"/>
      <c r="C1030" s="49"/>
      <c r="D1030" s="45"/>
      <c r="E1030" s="13"/>
      <c r="F1030" s="126"/>
      <c r="G1030" s="200"/>
      <c r="H1030" s="152"/>
      <c r="I1030" s="173"/>
      <c r="J1030" s="192"/>
      <c r="K1030" s="173"/>
      <c r="L1030" s="192"/>
    </row>
    <row r="1031" spans="1:12" ht="12.75">
      <c r="A1031" s="49"/>
      <c r="C1031" s="49"/>
      <c r="D1031" s="45"/>
      <c r="E1031" s="13"/>
      <c r="F1031" s="126"/>
      <c r="G1031" s="200"/>
      <c r="H1031" s="152"/>
      <c r="I1031" s="173"/>
      <c r="J1031" s="192"/>
      <c r="K1031" s="173"/>
      <c r="L1031" s="192"/>
    </row>
    <row r="1032" spans="1:12" ht="12.75">
      <c r="A1032" s="49"/>
      <c r="C1032" s="49"/>
      <c r="D1032" s="45"/>
      <c r="E1032" s="13"/>
      <c r="F1032" s="126"/>
      <c r="G1032" s="200"/>
      <c r="H1032" s="152"/>
      <c r="I1032" s="173"/>
      <c r="J1032" s="192"/>
      <c r="K1032" s="173"/>
      <c r="L1032" s="192"/>
    </row>
    <row r="1033" spans="1:12" ht="12.75">
      <c r="A1033" s="49"/>
      <c r="C1033" s="49"/>
      <c r="D1033" s="45"/>
      <c r="E1033" s="13"/>
      <c r="F1033" s="126"/>
      <c r="G1033" s="200"/>
      <c r="H1033" s="152"/>
      <c r="I1033" s="173"/>
      <c r="J1033" s="192"/>
      <c r="K1033" s="173"/>
      <c r="L1033" s="192"/>
    </row>
    <row r="1034" spans="1:12" ht="12.75">
      <c r="A1034" s="49"/>
      <c r="C1034" s="49"/>
      <c r="D1034" s="45"/>
      <c r="E1034" s="13"/>
      <c r="F1034" s="126"/>
      <c r="G1034" s="200"/>
      <c r="H1034" s="152"/>
      <c r="I1034" s="173"/>
      <c r="J1034" s="192"/>
      <c r="K1034" s="173"/>
      <c r="L1034" s="192"/>
    </row>
    <row r="1035" spans="1:12" ht="12.75">
      <c r="A1035" s="49"/>
      <c r="C1035" s="49"/>
      <c r="D1035" s="45"/>
      <c r="E1035" s="13"/>
      <c r="F1035" s="126"/>
      <c r="G1035" s="200"/>
      <c r="H1035" s="152"/>
      <c r="I1035" s="173"/>
      <c r="J1035" s="192"/>
      <c r="K1035" s="173"/>
      <c r="L1035" s="192"/>
    </row>
    <row r="1036" spans="1:12" ht="12.75">
      <c r="A1036" s="49"/>
      <c r="C1036" s="49"/>
      <c r="D1036" s="45"/>
      <c r="E1036" s="13"/>
      <c r="F1036" s="126"/>
      <c r="G1036" s="200"/>
      <c r="H1036" s="152"/>
      <c r="I1036" s="173"/>
      <c r="J1036" s="192"/>
      <c r="K1036" s="173"/>
      <c r="L1036" s="192"/>
    </row>
    <row r="1037" spans="1:12" ht="12.75">
      <c r="A1037" s="49"/>
      <c r="C1037" s="49"/>
      <c r="D1037" s="45"/>
      <c r="E1037" s="13"/>
      <c r="F1037" s="126"/>
      <c r="G1037" s="200"/>
      <c r="H1037" s="152"/>
      <c r="I1037" s="173"/>
      <c r="J1037" s="192"/>
      <c r="K1037" s="173"/>
      <c r="L1037" s="192"/>
    </row>
    <row r="1038" spans="1:12" ht="12.75">
      <c r="A1038" s="49"/>
      <c r="C1038" s="49"/>
      <c r="D1038" s="45"/>
      <c r="E1038" s="13"/>
      <c r="F1038" s="126"/>
      <c r="G1038" s="200"/>
      <c r="H1038" s="152"/>
      <c r="I1038" s="173"/>
      <c r="J1038" s="192"/>
      <c r="K1038" s="173"/>
      <c r="L1038" s="192"/>
    </row>
    <row r="1039" spans="1:12" ht="12.75">
      <c r="A1039" s="49"/>
      <c r="C1039" s="49"/>
      <c r="D1039" s="45"/>
      <c r="E1039" s="13"/>
      <c r="F1039" s="126"/>
      <c r="G1039" s="200"/>
      <c r="H1039" s="152"/>
      <c r="I1039" s="173"/>
      <c r="J1039" s="192"/>
      <c r="K1039" s="173"/>
      <c r="L1039" s="192"/>
    </row>
    <row r="1040" spans="1:12" ht="12.75">
      <c r="A1040" s="49"/>
      <c r="C1040" s="49"/>
      <c r="D1040" s="45"/>
      <c r="E1040" s="13"/>
      <c r="F1040" s="126"/>
      <c r="G1040" s="200"/>
      <c r="H1040" s="152"/>
      <c r="I1040" s="173"/>
      <c r="J1040" s="192"/>
      <c r="K1040" s="173"/>
      <c r="L1040" s="192"/>
    </row>
    <row r="1041" spans="1:12" ht="12.75">
      <c r="A1041" s="49"/>
      <c r="C1041" s="49"/>
      <c r="D1041" s="45"/>
      <c r="E1041" s="13"/>
      <c r="F1041" s="126"/>
      <c r="G1041" s="200"/>
      <c r="H1041" s="152"/>
      <c r="I1041" s="173"/>
      <c r="J1041" s="192"/>
      <c r="K1041" s="173"/>
      <c r="L1041" s="192"/>
    </row>
    <row r="1042" spans="1:12" ht="12.75">
      <c r="A1042" s="49"/>
      <c r="C1042" s="49"/>
      <c r="D1042" s="45"/>
      <c r="E1042" s="13"/>
      <c r="F1042" s="126"/>
      <c r="G1042" s="200"/>
      <c r="H1042" s="152"/>
      <c r="I1042" s="173"/>
      <c r="J1042" s="192"/>
      <c r="K1042" s="173"/>
      <c r="L1042" s="192"/>
    </row>
    <row r="1043" spans="1:12" ht="12.75">
      <c r="A1043" s="49"/>
      <c r="C1043" s="49"/>
      <c r="D1043" s="45"/>
      <c r="E1043" s="13"/>
      <c r="F1043" s="126"/>
      <c r="G1043" s="200"/>
      <c r="H1043" s="152"/>
      <c r="I1043" s="173"/>
      <c r="J1043" s="192"/>
      <c r="K1043" s="173"/>
      <c r="L1043" s="192"/>
    </row>
    <row r="1044" spans="1:12" ht="12.75">
      <c r="A1044" s="49"/>
      <c r="C1044" s="49"/>
      <c r="D1044" s="45"/>
      <c r="E1044" s="13"/>
      <c r="F1044" s="126"/>
      <c r="G1044" s="200"/>
      <c r="H1044" s="152"/>
      <c r="I1044" s="173"/>
      <c r="J1044" s="192"/>
      <c r="K1044" s="173"/>
      <c r="L1044" s="192"/>
    </row>
    <row r="1045" spans="1:12" ht="12.75">
      <c r="A1045" s="49"/>
      <c r="C1045" s="49"/>
      <c r="D1045" s="45"/>
      <c r="E1045" s="13"/>
      <c r="F1045" s="126"/>
      <c r="G1045" s="200"/>
      <c r="H1045" s="152"/>
      <c r="I1045" s="173"/>
      <c r="J1045" s="192"/>
      <c r="K1045" s="173"/>
      <c r="L1045" s="192"/>
    </row>
    <row r="1046" spans="1:12" ht="12.75">
      <c r="A1046" s="49"/>
      <c r="C1046" s="49"/>
      <c r="D1046" s="45"/>
      <c r="E1046" s="13"/>
      <c r="F1046" s="126"/>
      <c r="G1046" s="200"/>
      <c r="H1046" s="152"/>
      <c r="I1046" s="173"/>
      <c r="J1046" s="192"/>
      <c r="K1046" s="173"/>
      <c r="L1046" s="192"/>
    </row>
    <row r="1047" spans="1:12" ht="12.75">
      <c r="A1047" s="49"/>
      <c r="C1047" s="49"/>
      <c r="D1047" s="45"/>
      <c r="E1047" s="13"/>
      <c r="F1047" s="126"/>
      <c r="G1047" s="200"/>
      <c r="H1047" s="152"/>
      <c r="I1047" s="173"/>
      <c r="J1047" s="192"/>
      <c r="K1047" s="173"/>
      <c r="L1047" s="192"/>
    </row>
    <row r="1048" spans="1:12" ht="12.75">
      <c r="A1048" s="49"/>
      <c r="C1048" s="49"/>
      <c r="D1048" s="45"/>
      <c r="E1048" s="13"/>
      <c r="F1048" s="126"/>
      <c r="G1048" s="200"/>
      <c r="H1048" s="152"/>
      <c r="I1048" s="173"/>
      <c r="J1048" s="192"/>
      <c r="K1048" s="173"/>
      <c r="L1048" s="192"/>
    </row>
    <row r="1049" spans="1:12" ht="12.75">
      <c r="A1049" s="49"/>
      <c r="C1049" s="49"/>
      <c r="D1049" s="45"/>
      <c r="E1049" s="13"/>
      <c r="F1049" s="126"/>
      <c r="G1049" s="200"/>
      <c r="H1049" s="152"/>
      <c r="I1049" s="173"/>
      <c r="J1049" s="192"/>
      <c r="K1049" s="173"/>
      <c r="L1049" s="192"/>
    </row>
    <row r="1050" spans="1:12" ht="12.75">
      <c r="A1050" s="49"/>
      <c r="C1050" s="49"/>
      <c r="D1050" s="45"/>
      <c r="E1050" s="13"/>
      <c r="F1050" s="126"/>
      <c r="G1050" s="200"/>
      <c r="H1050" s="152"/>
      <c r="I1050" s="173"/>
      <c r="J1050" s="192"/>
      <c r="K1050" s="173"/>
      <c r="L1050" s="192"/>
    </row>
    <row r="1051" spans="1:12" ht="12.75">
      <c r="A1051" s="49"/>
      <c r="C1051" s="49"/>
      <c r="D1051" s="45"/>
      <c r="E1051" s="13"/>
      <c r="F1051" s="126"/>
      <c r="G1051" s="200"/>
      <c r="H1051" s="152"/>
      <c r="I1051" s="173"/>
      <c r="J1051" s="192"/>
      <c r="K1051" s="173"/>
      <c r="L1051" s="192"/>
    </row>
    <row r="1052" spans="1:12" ht="12.75">
      <c r="A1052" s="49"/>
      <c r="C1052" s="49"/>
      <c r="D1052" s="45"/>
      <c r="E1052" s="13"/>
      <c r="F1052" s="126"/>
      <c r="G1052" s="200"/>
      <c r="H1052" s="152"/>
      <c r="I1052" s="173"/>
      <c r="J1052" s="192"/>
      <c r="K1052" s="173"/>
      <c r="L1052" s="192"/>
    </row>
    <row r="1053" spans="1:12" ht="12.75">
      <c r="A1053" s="49"/>
      <c r="C1053" s="49"/>
      <c r="D1053" s="45"/>
      <c r="E1053" s="13"/>
      <c r="F1053" s="126"/>
      <c r="G1053" s="200"/>
      <c r="H1053" s="152"/>
      <c r="I1053" s="173"/>
      <c r="J1053" s="192"/>
      <c r="K1053" s="173"/>
      <c r="L1053" s="192"/>
    </row>
    <row r="1054" spans="1:12" ht="12.75">
      <c r="A1054" s="49"/>
      <c r="C1054" s="49"/>
      <c r="D1054" s="45"/>
      <c r="E1054" s="13"/>
      <c r="F1054" s="126"/>
      <c r="G1054" s="200"/>
      <c r="H1054" s="152"/>
      <c r="I1054" s="173"/>
      <c r="J1054" s="192"/>
      <c r="K1054" s="173"/>
      <c r="L1054" s="192"/>
    </row>
    <row r="1055" spans="1:12" ht="12.75">
      <c r="A1055" s="49"/>
      <c r="C1055" s="49"/>
      <c r="D1055" s="45"/>
      <c r="E1055" s="13"/>
      <c r="F1055" s="126"/>
      <c r="G1055" s="200"/>
      <c r="H1055" s="152"/>
      <c r="I1055" s="173"/>
      <c r="J1055" s="192"/>
      <c r="K1055" s="173"/>
      <c r="L1055" s="192"/>
    </row>
    <row r="1056" spans="1:12" ht="12.75">
      <c r="A1056" s="49"/>
      <c r="C1056" s="49"/>
      <c r="D1056" s="45"/>
      <c r="E1056" s="13"/>
      <c r="F1056" s="126"/>
      <c r="G1056" s="200"/>
      <c r="H1056" s="152"/>
      <c r="I1056" s="173"/>
      <c r="J1056" s="192"/>
      <c r="K1056" s="173"/>
      <c r="L1056" s="192"/>
    </row>
    <row r="1057" spans="1:12" ht="12.75">
      <c r="A1057" s="49"/>
      <c r="C1057" s="49"/>
      <c r="D1057" s="45"/>
      <c r="E1057" s="13"/>
      <c r="F1057" s="126"/>
      <c r="G1057" s="200"/>
      <c r="H1057" s="152"/>
      <c r="I1057" s="173"/>
      <c r="J1057" s="192"/>
      <c r="K1057" s="173"/>
      <c r="L1057" s="192"/>
    </row>
    <row r="1058" spans="1:12" ht="12.75">
      <c r="A1058" s="49"/>
      <c r="C1058" s="49"/>
      <c r="D1058" s="45"/>
      <c r="E1058" s="13"/>
      <c r="F1058" s="126"/>
      <c r="G1058" s="200"/>
      <c r="H1058" s="152"/>
      <c r="I1058" s="173"/>
      <c r="J1058" s="192"/>
      <c r="K1058" s="173"/>
      <c r="L1058" s="192"/>
    </row>
    <row r="1059" spans="1:12" ht="12.75">
      <c r="A1059" s="49"/>
      <c r="C1059" s="49"/>
      <c r="D1059" s="45"/>
      <c r="E1059" s="13"/>
      <c r="F1059" s="126"/>
      <c r="G1059" s="200"/>
      <c r="H1059" s="152"/>
      <c r="I1059" s="173"/>
      <c r="J1059" s="192"/>
      <c r="K1059" s="173"/>
      <c r="L1059" s="192"/>
    </row>
    <row r="1060" spans="1:12" ht="12.75">
      <c r="A1060" s="49"/>
      <c r="C1060" s="49"/>
      <c r="D1060" s="45"/>
      <c r="E1060" s="13"/>
      <c r="F1060" s="126"/>
      <c r="G1060" s="200"/>
      <c r="H1060" s="152"/>
      <c r="I1060" s="173"/>
      <c r="J1060" s="192"/>
      <c r="K1060" s="173"/>
      <c r="L1060" s="192"/>
    </row>
    <row r="1061" spans="1:12" ht="12.75">
      <c r="A1061" s="49"/>
      <c r="C1061" s="49"/>
      <c r="D1061" s="45"/>
      <c r="E1061" s="13"/>
      <c r="F1061" s="126"/>
      <c r="G1061" s="200"/>
      <c r="H1061" s="152"/>
      <c r="I1061" s="173"/>
      <c r="J1061" s="192"/>
      <c r="K1061" s="173"/>
      <c r="L1061" s="192"/>
    </row>
    <row r="1062" spans="1:12" ht="12.75">
      <c r="A1062" s="49"/>
      <c r="C1062" s="49"/>
      <c r="D1062" s="45"/>
      <c r="E1062" s="13"/>
      <c r="F1062" s="126"/>
      <c r="G1062" s="200"/>
      <c r="H1062" s="152"/>
      <c r="I1062" s="173"/>
      <c r="J1062" s="192"/>
      <c r="K1062" s="173"/>
      <c r="L1062" s="192"/>
    </row>
    <row r="1063" spans="1:12" ht="12.75">
      <c r="A1063" s="49"/>
      <c r="C1063" s="49"/>
      <c r="D1063" s="45"/>
      <c r="E1063" s="13"/>
      <c r="F1063" s="126"/>
      <c r="G1063" s="200"/>
      <c r="H1063" s="152"/>
      <c r="I1063" s="173"/>
      <c r="J1063" s="192"/>
      <c r="K1063" s="173"/>
      <c r="L1063" s="192"/>
    </row>
    <row r="1064" spans="1:12" ht="12.75">
      <c r="A1064" s="49"/>
      <c r="C1064" s="49"/>
      <c r="D1064" s="45"/>
      <c r="E1064" s="13"/>
      <c r="F1064" s="126"/>
      <c r="G1064" s="200"/>
      <c r="H1064" s="152"/>
      <c r="I1064" s="173"/>
      <c r="J1064" s="192"/>
      <c r="K1064" s="173"/>
      <c r="L1064" s="192"/>
    </row>
    <row r="1065" spans="1:12" ht="12.75">
      <c r="A1065" s="49"/>
      <c r="C1065" s="49"/>
      <c r="D1065" s="45"/>
      <c r="E1065" s="13"/>
      <c r="F1065" s="126"/>
      <c r="G1065" s="200"/>
      <c r="H1065" s="152"/>
      <c r="I1065" s="173"/>
      <c r="J1065" s="192"/>
      <c r="K1065" s="173"/>
      <c r="L1065" s="192"/>
    </row>
    <row r="1066" spans="1:12" ht="12.75">
      <c r="A1066" s="49"/>
      <c r="C1066" s="49"/>
      <c r="D1066" s="45"/>
      <c r="E1066" s="13"/>
      <c r="F1066" s="126"/>
      <c r="G1066" s="200"/>
      <c r="H1066" s="152"/>
      <c r="I1066" s="173"/>
      <c r="J1066" s="192"/>
      <c r="K1066" s="173"/>
      <c r="L1066" s="192"/>
    </row>
    <row r="1067" spans="1:12" ht="12.75">
      <c r="A1067" s="49"/>
      <c r="C1067" s="49"/>
      <c r="D1067" s="45"/>
      <c r="E1067" s="13"/>
      <c r="F1067" s="126"/>
      <c r="G1067" s="200"/>
      <c r="H1067" s="152"/>
      <c r="I1067" s="173"/>
      <c r="J1067" s="192"/>
      <c r="K1067" s="173"/>
      <c r="L1067" s="192"/>
    </row>
    <row r="1068" spans="1:12" ht="12.75">
      <c r="A1068" s="49"/>
      <c r="C1068" s="49"/>
      <c r="D1068" s="45"/>
      <c r="E1068" s="13"/>
      <c r="F1068" s="126"/>
      <c r="G1068" s="200"/>
      <c r="H1068" s="152"/>
      <c r="I1068" s="173"/>
      <c r="J1068" s="192"/>
      <c r="K1068" s="173"/>
      <c r="L1068" s="192"/>
    </row>
    <row r="1069" spans="1:12" ht="12.75">
      <c r="A1069" s="49"/>
      <c r="C1069" s="49"/>
      <c r="D1069" s="45"/>
      <c r="E1069" s="13"/>
      <c r="F1069" s="126"/>
      <c r="G1069" s="200"/>
      <c r="H1069" s="152"/>
      <c r="I1069" s="173"/>
      <c r="J1069" s="192"/>
      <c r="K1069" s="173"/>
      <c r="L1069" s="192"/>
    </row>
    <row r="1070" spans="1:12" ht="12.75">
      <c r="A1070" s="49"/>
      <c r="C1070" s="49"/>
      <c r="D1070" s="45"/>
      <c r="E1070" s="13"/>
      <c r="F1070" s="126"/>
      <c r="G1070" s="200"/>
      <c r="H1070" s="152"/>
      <c r="I1070" s="173"/>
      <c r="J1070" s="192"/>
      <c r="K1070" s="173"/>
      <c r="L1070" s="192"/>
    </row>
    <row r="1071" spans="1:12" ht="12.75">
      <c r="A1071" s="49"/>
      <c r="C1071" s="49"/>
      <c r="D1071" s="45"/>
      <c r="E1071" s="13"/>
      <c r="F1071" s="126"/>
      <c r="G1071" s="200"/>
      <c r="H1071" s="152"/>
      <c r="I1071" s="173"/>
      <c r="J1071" s="192"/>
      <c r="K1071" s="173"/>
      <c r="L1071" s="192"/>
    </row>
    <row r="1072" spans="1:12" ht="12.75">
      <c r="A1072" s="49"/>
      <c r="C1072" s="49"/>
      <c r="D1072" s="45"/>
      <c r="E1072" s="13"/>
      <c r="F1072" s="126"/>
      <c r="G1072" s="200"/>
      <c r="H1072" s="152"/>
      <c r="I1072" s="173"/>
      <c r="J1072" s="192"/>
      <c r="K1072" s="173"/>
      <c r="L1072" s="192"/>
    </row>
    <row r="1073" spans="1:12" ht="12.75">
      <c r="A1073" s="49"/>
      <c r="C1073" s="49"/>
      <c r="D1073" s="45"/>
      <c r="E1073" s="13"/>
      <c r="F1073" s="126"/>
      <c r="G1073" s="200"/>
      <c r="H1073" s="152"/>
      <c r="I1073" s="173"/>
      <c r="J1073" s="192"/>
      <c r="K1073" s="173"/>
      <c r="L1073" s="192"/>
    </row>
    <row r="1074" spans="1:12" ht="12.75">
      <c r="A1074" s="49"/>
      <c r="C1074" s="49"/>
      <c r="D1074" s="45"/>
      <c r="E1074" s="13"/>
      <c r="F1074" s="126"/>
      <c r="G1074" s="200"/>
      <c r="H1074" s="152"/>
      <c r="I1074" s="173"/>
      <c r="J1074" s="192"/>
      <c r="K1074" s="173"/>
      <c r="L1074" s="192"/>
    </row>
    <row r="1075" spans="1:12" ht="12.75">
      <c r="A1075" s="49"/>
      <c r="C1075" s="49"/>
      <c r="D1075" s="45"/>
      <c r="E1075" s="13"/>
      <c r="F1075" s="126"/>
      <c r="G1075" s="200"/>
      <c r="H1075" s="152"/>
      <c r="I1075" s="173"/>
      <c r="J1075" s="192"/>
      <c r="K1075" s="173"/>
      <c r="L1075" s="192"/>
    </row>
    <row r="1076" spans="1:12" ht="12.75">
      <c r="A1076" s="49"/>
      <c r="C1076" s="49"/>
      <c r="D1076" s="45"/>
      <c r="E1076" s="13"/>
      <c r="F1076" s="126"/>
      <c r="G1076" s="200"/>
      <c r="H1076" s="152"/>
      <c r="I1076" s="173"/>
      <c r="J1076" s="192"/>
      <c r="K1076" s="173"/>
      <c r="L1076" s="192"/>
    </row>
    <row r="1077" spans="1:12" ht="12.75">
      <c r="A1077" s="49"/>
      <c r="C1077" s="49"/>
      <c r="D1077" s="45"/>
      <c r="E1077" s="13"/>
      <c r="F1077" s="126"/>
      <c r="G1077" s="200"/>
      <c r="H1077" s="152"/>
      <c r="I1077" s="173"/>
      <c r="J1077" s="192"/>
      <c r="K1077" s="173"/>
      <c r="L1077" s="192"/>
    </row>
    <row r="1078" spans="1:12" ht="12.75">
      <c r="A1078" s="49"/>
      <c r="C1078" s="49"/>
      <c r="D1078" s="45"/>
      <c r="E1078" s="13"/>
      <c r="F1078" s="126"/>
      <c r="G1078" s="200"/>
      <c r="H1078" s="152"/>
      <c r="I1078" s="173"/>
      <c r="J1078" s="192"/>
      <c r="K1078" s="173"/>
      <c r="L1078" s="192"/>
    </row>
    <row r="1079" spans="1:12" ht="12.75">
      <c r="A1079" s="49"/>
      <c r="C1079" s="49"/>
      <c r="D1079" s="45"/>
      <c r="E1079" s="13"/>
      <c r="F1079" s="126"/>
      <c r="G1079" s="200"/>
      <c r="H1079" s="152"/>
      <c r="I1079" s="173"/>
      <c r="J1079" s="192"/>
      <c r="K1079" s="173"/>
      <c r="L1079" s="192"/>
    </row>
    <row r="1080" spans="1:12" ht="12.75">
      <c r="A1080" s="49"/>
      <c r="C1080" s="49"/>
      <c r="D1080" s="45"/>
      <c r="E1080" s="13"/>
      <c r="F1080" s="126"/>
      <c r="G1080" s="200"/>
      <c r="H1080" s="152"/>
      <c r="I1080" s="173"/>
      <c r="J1080" s="192"/>
      <c r="K1080" s="173"/>
      <c r="L1080" s="192"/>
    </row>
    <row r="1081" spans="1:12" ht="12.75">
      <c r="A1081" s="49"/>
      <c r="C1081" s="49"/>
      <c r="D1081" s="45"/>
      <c r="E1081" s="13"/>
      <c r="F1081" s="126"/>
      <c r="G1081" s="200"/>
      <c r="H1081" s="152"/>
      <c r="I1081" s="173"/>
      <c r="J1081" s="192"/>
      <c r="K1081" s="173"/>
      <c r="L1081" s="192"/>
    </row>
    <row r="1082" spans="1:12" ht="12.75">
      <c r="A1082" s="49"/>
      <c r="C1082" s="49"/>
      <c r="D1082" s="45"/>
      <c r="E1082" s="13"/>
      <c r="F1082" s="126"/>
      <c r="G1082" s="200"/>
      <c r="H1082" s="152"/>
      <c r="I1082" s="173"/>
      <c r="J1082" s="192"/>
      <c r="K1082" s="173"/>
      <c r="L1082" s="192"/>
    </row>
    <row r="1083" spans="1:12" ht="12.75">
      <c r="A1083" s="49"/>
      <c r="C1083" s="49"/>
      <c r="D1083" s="45"/>
      <c r="E1083" s="13"/>
      <c r="F1083" s="126"/>
      <c r="G1083" s="200"/>
      <c r="H1083" s="152"/>
      <c r="I1083" s="173"/>
      <c r="J1083" s="192"/>
      <c r="K1083" s="173"/>
      <c r="L1083" s="192"/>
    </row>
    <row r="1084" spans="1:12" ht="12.75">
      <c r="A1084" s="49"/>
      <c r="C1084" s="49"/>
      <c r="D1084" s="45"/>
      <c r="E1084" s="13"/>
      <c r="F1084" s="126"/>
      <c r="G1084" s="200"/>
      <c r="H1084" s="152"/>
      <c r="I1084" s="173"/>
      <c r="J1084" s="192"/>
      <c r="K1084" s="173"/>
      <c r="L1084" s="192"/>
    </row>
    <row r="1085" spans="1:12" ht="12.75">
      <c r="A1085" s="49"/>
      <c r="C1085" s="49"/>
      <c r="D1085" s="45"/>
      <c r="E1085" s="13"/>
      <c r="F1085" s="126"/>
      <c r="G1085" s="200"/>
      <c r="H1085" s="152"/>
      <c r="I1085" s="173"/>
      <c r="J1085" s="192"/>
      <c r="K1085" s="173"/>
      <c r="L1085" s="192"/>
    </row>
    <row r="1086" spans="1:12" ht="12.75">
      <c r="A1086" s="49"/>
      <c r="C1086" s="49"/>
      <c r="D1086" s="45"/>
      <c r="E1086" s="13"/>
      <c r="F1086" s="126"/>
      <c r="G1086" s="200"/>
      <c r="H1086" s="152"/>
      <c r="I1086" s="173"/>
      <c r="J1086" s="192"/>
      <c r="K1086" s="173"/>
      <c r="L1086" s="192"/>
    </row>
    <row r="1087" spans="1:12" ht="12.75">
      <c r="A1087" s="49"/>
      <c r="C1087" s="49"/>
      <c r="D1087" s="45"/>
      <c r="E1087" s="13"/>
      <c r="F1087" s="126"/>
      <c r="G1087" s="200"/>
      <c r="H1087" s="152"/>
      <c r="I1087" s="173"/>
      <c r="J1087" s="192"/>
      <c r="K1087" s="173"/>
      <c r="L1087" s="192"/>
    </row>
    <row r="1088" spans="1:12" ht="12.75">
      <c r="A1088" s="49"/>
      <c r="C1088" s="49"/>
      <c r="D1088" s="45"/>
      <c r="E1088" s="13"/>
      <c r="F1088" s="126"/>
      <c r="G1088" s="200"/>
      <c r="H1088" s="152"/>
      <c r="I1088" s="173"/>
      <c r="J1088" s="192"/>
      <c r="K1088" s="173"/>
      <c r="L1088" s="192"/>
    </row>
    <row r="1089" spans="1:12" ht="12.75">
      <c r="A1089" s="49"/>
      <c r="C1089" s="49"/>
      <c r="D1089" s="45"/>
      <c r="E1089" s="13"/>
      <c r="F1089" s="126"/>
      <c r="G1089" s="200"/>
      <c r="H1089" s="152"/>
      <c r="I1089" s="173"/>
      <c r="J1089" s="192"/>
      <c r="K1089" s="173"/>
      <c r="L1089" s="192"/>
    </row>
    <row r="1090" spans="1:12" ht="12.75">
      <c r="A1090" s="49"/>
      <c r="C1090" s="49"/>
      <c r="D1090" s="45"/>
      <c r="E1090" s="13"/>
      <c r="F1090" s="126"/>
      <c r="G1090" s="200"/>
      <c r="H1090" s="152"/>
      <c r="I1090" s="173"/>
      <c r="J1090" s="192"/>
      <c r="K1090" s="173"/>
      <c r="L1090" s="192"/>
    </row>
    <row r="1091" spans="1:12" ht="12.75">
      <c r="A1091" s="49"/>
      <c r="C1091" s="49"/>
      <c r="D1091" s="45"/>
      <c r="E1091" s="13"/>
      <c r="F1091" s="126"/>
      <c r="G1091" s="200"/>
      <c r="H1091" s="152"/>
      <c r="I1091" s="173"/>
      <c r="J1091" s="192"/>
      <c r="K1091" s="173"/>
      <c r="L1091" s="192"/>
    </row>
    <row r="1092" spans="1:12" ht="12.75">
      <c r="A1092" s="49"/>
      <c r="C1092" s="49"/>
      <c r="D1092" s="45"/>
      <c r="E1092" s="13"/>
      <c r="F1092" s="126"/>
      <c r="G1092" s="200"/>
      <c r="H1092" s="152"/>
      <c r="I1092" s="173"/>
      <c r="J1092" s="192"/>
      <c r="K1092" s="173"/>
      <c r="L1092" s="192"/>
    </row>
    <row r="1093" spans="1:12" ht="12.75">
      <c r="A1093" s="49"/>
      <c r="C1093" s="49"/>
      <c r="D1093" s="45"/>
      <c r="E1093" s="13"/>
      <c r="F1093" s="126"/>
      <c r="G1093" s="200"/>
      <c r="H1093" s="152"/>
      <c r="I1093" s="173"/>
      <c r="J1093" s="192"/>
      <c r="K1093" s="173"/>
      <c r="L1093" s="192"/>
    </row>
    <row r="1094" spans="1:12" ht="12.75">
      <c r="A1094" s="49"/>
      <c r="C1094" s="49"/>
      <c r="D1094" s="45"/>
      <c r="E1094" s="13"/>
      <c r="F1094" s="126"/>
      <c r="G1094" s="200"/>
      <c r="H1094" s="152"/>
      <c r="I1094" s="173"/>
      <c r="J1094" s="192"/>
      <c r="K1094" s="173"/>
      <c r="L1094" s="192"/>
    </row>
    <row r="1095" spans="1:12" ht="12.75">
      <c r="A1095" s="49"/>
      <c r="C1095" s="49"/>
      <c r="D1095" s="45"/>
      <c r="E1095" s="13"/>
      <c r="F1095" s="126"/>
      <c r="G1095" s="200"/>
      <c r="H1095" s="152"/>
      <c r="I1095" s="173"/>
      <c r="J1095" s="192"/>
      <c r="K1095" s="173"/>
      <c r="L1095" s="192"/>
    </row>
    <row r="1096" spans="1:12" ht="12.75">
      <c r="A1096" s="49"/>
      <c r="C1096" s="49"/>
      <c r="D1096" s="45"/>
      <c r="E1096" s="13"/>
      <c r="F1096" s="126"/>
      <c r="G1096" s="200"/>
      <c r="H1096" s="152"/>
      <c r="I1096" s="173"/>
      <c r="J1096" s="192"/>
      <c r="K1096" s="173"/>
      <c r="L1096" s="192"/>
    </row>
    <row r="1097" spans="1:12" ht="12.75">
      <c r="A1097" s="49"/>
      <c r="C1097" s="49"/>
      <c r="D1097" s="45"/>
      <c r="E1097" s="13"/>
      <c r="F1097" s="126"/>
      <c r="G1097" s="200"/>
      <c r="H1097" s="152"/>
      <c r="I1097" s="173"/>
      <c r="J1097" s="192"/>
      <c r="K1097" s="173"/>
      <c r="L1097" s="192"/>
    </row>
    <row r="1098" spans="1:12" ht="12.75">
      <c r="A1098" s="49"/>
      <c r="C1098" s="49"/>
      <c r="D1098" s="45"/>
      <c r="E1098" s="13"/>
      <c r="F1098" s="126"/>
      <c r="G1098" s="200"/>
      <c r="H1098" s="152"/>
      <c r="I1098" s="173"/>
      <c r="J1098" s="192"/>
      <c r="K1098" s="173"/>
      <c r="L1098" s="192"/>
    </row>
    <row r="1099" spans="1:12" ht="12.75">
      <c r="A1099" s="49"/>
      <c r="C1099" s="49"/>
      <c r="D1099" s="45"/>
      <c r="E1099" s="13"/>
      <c r="F1099" s="126"/>
      <c r="G1099" s="200"/>
      <c r="H1099" s="152"/>
      <c r="I1099" s="173"/>
      <c r="J1099" s="192"/>
      <c r="K1099" s="173"/>
      <c r="L1099" s="192"/>
    </row>
    <row r="1100" spans="1:12" ht="12.75">
      <c r="A1100" s="49"/>
      <c r="C1100" s="49"/>
      <c r="D1100" s="45"/>
      <c r="E1100" s="13"/>
      <c r="F1100" s="126"/>
      <c r="G1100" s="200"/>
      <c r="H1100" s="152"/>
      <c r="I1100" s="173"/>
      <c r="J1100" s="192"/>
      <c r="K1100" s="173"/>
      <c r="L1100" s="192"/>
    </row>
    <row r="1101" spans="1:12" ht="12.75">
      <c r="A1101" s="49"/>
      <c r="C1101" s="49"/>
      <c r="D1101" s="45"/>
      <c r="E1101" s="13"/>
      <c r="F1101" s="126"/>
      <c r="G1101" s="200"/>
      <c r="H1101" s="152"/>
      <c r="I1101" s="173"/>
      <c r="J1101" s="192"/>
      <c r="K1101" s="173"/>
      <c r="L1101" s="192"/>
    </row>
    <row r="1102" spans="1:12" ht="12.75">
      <c r="A1102" s="49"/>
      <c r="C1102" s="49"/>
      <c r="D1102" s="45"/>
      <c r="E1102" s="13"/>
      <c r="F1102" s="126"/>
      <c r="G1102" s="200"/>
      <c r="H1102" s="152"/>
      <c r="I1102" s="173"/>
      <c r="J1102" s="192"/>
      <c r="K1102" s="173"/>
      <c r="L1102" s="192"/>
    </row>
    <row r="1103" spans="1:12" ht="12.75">
      <c r="A1103" s="49"/>
      <c r="C1103" s="49"/>
      <c r="D1103" s="45"/>
      <c r="E1103" s="13"/>
      <c r="F1103" s="126"/>
      <c r="G1103" s="200"/>
      <c r="H1103" s="152"/>
      <c r="I1103" s="173"/>
      <c r="J1103" s="192"/>
      <c r="K1103" s="173"/>
      <c r="L1103" s="192"/>
    </row>
    <row r="1104" spans="1:12" ht="12.75">
      <c r="A1104" s="49"/>
      <c r="C1104" s="49"/>
      <c r="D1104" s="45"/>
      <c r="E1104" s="13"/>
      <c r="F1104" s="126"/>
      <c r="G1104" s="200"/>
      <c r="H1104" s="152"/>
      <c r="I1104" s="173"/>
      <c r="J1104" s="192"/>
      <c r="K1104" s="173"/>
      <c r="L1104" s="192"/>
    </row>
    <row r="1105" spans="1:12" ht="12.75">
      <c r="A1105" s="49"/>
      <c r="C1105" s="49"/>
      <c r="D1105" s="45"/>
      <c r="E1105" s="13"/>
      <c r="F1105" s="126"/>
      <c r="G1105" s="200"/>
      <c r="H1105" s="152"/>
      <c r="I1105" s="173"/>
      <c r="J1105" s="192"/>
      <c r="K1105" s="173"/>
      <c r="L1105" s="192"/>
    </row>
    <row r="1106" spans="1:12" ht="12.75">
      <c r="A1106" s="49"/>
      <c r="C1106" s="49"/>
      <c r="D1106" s="45"/>
      <c r="E1106" s="13"/>
      <c r="F1106" s="126"/>
      <c r="G1106" s="200"/>
      <c r="H1106" s="152"/>
      <c r="I1106" s="173"/>
      <c r="J1106" s="192"/>
      <c r="K1106" s="173"/>
      <c r="L1106" s="192"/>
    </row>
    <row r="1107" spans="1:12" ht="12.75">
      <c r="A1107" s="49"/>
      <c r="C1107" s="49"/>
      <c r="D1107" s="45"/>
      <c r="E1107" s="13"/>
      <c r="F1107" s="126"/>
      <c r="G1107" s="200"/>
      <c r="H1107" s="152"/>
      <c r="I1107" s="173"/>
      <c r="J1107" s="192"/>
      <c r="K1107" s="173"/>
      <c r="L1107" s="192"/>
    </row>
    <row r="1108" spans="1:12" ht="12.75">
      <c r="A1108" s="49"/>
      <c r="C1108" s="49"/>
      <c r="D1108" s="45"/>
      <c r="E1108" s="13"/>
      <c r="F1108" s="126"/>
      <c r="G1108" s="200"/>
      <c r="H1108" s="152"/>
      <c r="I1108" s="173"/>
      <c r="J1108" s="192"/>
      <c r="K1108" s="173"/>
      <c r="L1108" s="192"/>
    </row>
    <row r="1109" spans="1:12" ht="12.75">
      <c r="A1109" s="49"/>
      <c r="C1109" s="49"/>
      <c r="D1109" s="45"/>
      <c r="E1109" s="13"/>
      <c r="F1109" s="126"/>
      <c r="G1109" s="200"/>
      <c r="H1109" s="152"/>
      <c r="I1109" s="173"/>
      <c r="J1109" s="192"/>
      <c r="K1109" s="173"/>
      <c r="L1109" s="192"/>
    </row>
    <row r="1110" spans="1:12" ht="12.75">
      <c r="A1110" s="49"/>
      <c r="C1110" s="49"/>
      <c r="D1110" s="45"/>
      <c r="E1110" s="13"/>
      <c r="F1110" s="126"/>
      <c r="G1110" s="200"/>
      <c r="H1110" s="152"/>
      <c r="I1110" s="173"/>
      <c r="J1110" s="192"/>
      <c r="K1110" s="173"/>
      <c r="L1110" s="192"/>
    </row>
    <row r="1111" spans="1:12" ht="12.75">
      <c r="A1111" s="49"/>
      <c r="C1111" s="49"/>
      <c r="D1111" s="45"/>
      <c r="E1111" s="13"/>
      <c r="F1111" s="126"/>
      <c r="G1111" s="200"/>
      <c r="H1111" s="152"/>
      <c r="I1111" s="173"/>
      <c r="J1111" s="192"/>
      <c r="K1111" s="173"/>
      <c r="L1111" s="192"/>
    </row>
    <row r="1112" spans="1:12" ht="12.75">
      <c r="A1112" s="49"/>
      <c r="C1112" s="49"/>
      <c r="D1112" s="45"/>
      <c r="E1112" s="13"/>
      <c r="F1112" s="126"/>
      <c r="G1112" s="200"/>
      <c r="H1112" s="152"/>
      <c r="I1112" s="173"/>
      <c r="J1112" s="192"/>
      <c r="K1112" s="173"/>
      <c r="L1112" s="192"/>
    </row>
    <row r="1113" spans="1:12" ht="12.75">
      <c r="A1113" s="49"/>
      <c r="C1113" s="49"/>
      <c r="D1113" s="45"/>
      <c r="E1113" s="13"/>
      <c r="F1113" s="126"/>
      <c r="G1113" s="200"/>
      <c r="H1113" s="152"/>
      <c r="I1113" s="173"/>
      <c r="J1113" s="192"/>
      <c r="K1113" s="173"/>
      <c r="L1113" s="192"/>
    </row>
    <row r="1114" spans="1:12" ht="12.75">
      <c r="A1114" s="49"/>
      <c r="C1114" s="49"/>
      <c r="D1114" s="45"/>
      <c r="E1114" s="13"/>
      <c r="F1114" s="126"/>
      <c r="G1114" s="200"/>
      <c r="H1114" s="152"/>
      <c r="I1114" s="173"/>
      <c r="J1114" s="192"/>
      <c r="K1114" s="173"/>
      <c r="L1114" s="192"/>
    </row>
    <row r="1115" spans="1:12" ht="12.75">
      <c r="A1115" s="49"/>
      <c r="C1115" s="49"/>
      <c r="D1115" s="45"/>
      <c r="E1115" s="13"/>
      <c r="F1115" s="126"/>
      <c r="G1115" s="200"/>
      <c r="H1115" s="152"/>
      <c r="I1115" s="173"/>
      <c r="J1115" s="192"/>
      <c r="K1115" s="173"/>
      <c r="L1115" s="192"/>
    </row>
    <row r="1116" spans="1:12" ht="12.75">
      <c r="A1116" s="49"/>
      <c r="C1116" s="49"/>
      <c r="D1116" s="45"/>
      <c r="E1116" s="13"/>
      <c r="F1116" s="126"/>
      <c r="G1116" s="200"/>
      <c r="H1116" s="152"/>
      <c r="I1116" s="173"/>
      <c r="J1116" s="192"/>
      <c r="K1116" s="173"/>
      <c r="L1116" s="192"/>
    </row>
    <row r="1117" spans="1:12" ht="12.75">
      <c r="A1117" s="49"/>
      <c r="C1117" s="49"/>
      <c r="D1117" s="45"/>
      <c r="E1117" s="13"/>
      <c r="F1117" s="126"/>
      <c r="G1117" s="200"/>
      <c r="H1117" s="152"/>
      <c r="I1117" s="173"/>
      <c r="J1117" s="192"/>
      <c r="K1117" s="173"/>
      <c r="L1117" s="192"/>
    </row>
    <row r="1118" spans="1:12" ht="12.75">
      <c r="A1118" s="49"/>
      <c r="C1118" s="49"/>
      <c r="D1118" s="45"/>
      <c r="E1118" s="13"/>
      <c r="F1118" s="126"/>
      <c r="G1118" s="200"/>
      <c r="H1118" s="152"/>
      <c r="I1118" s="173"/>
      <c r="J1118" s="192"/>
      <c r="K1118" s="173"/>
      <c r="L1118" s="192"/>
    </row>
    <row r="1119" spans="1:12" ht="12.75">
      <c r="A1119" s="49"/>
      <c r="C1119" s="49"/>
      <c r="D1119" s="45"/>
      <c r="E1119" s="13"/>
      <c r="F1119" s="126"/>
      <c r="G1119" s="200"/>
      <c r="H1119" s="152"/>
      <c r="I1119" s="173"/>
      <c r="J1119" s="192"/>
      <c r="K1119" s="173"/>
      <c r="L1119" s="192"/>
    </row>
    <row r="1120" spans="1:12" ht="12.75">
      <c r="A1120" s="49"/>
      <c r="C1120" s="49"/>
      <c r="D1120" s="45"/>
      <c r="E1120" s="13"/>
      <c r="F1120" s="126"/>
      <c r="G1120" s="200"/>
      <c r="H1120" s="152"/>
      <c r="I1120" s="173"/>
      <c r="J1120" s="192"/>
      <c r="K1120" s="173"/>
      <c r="L1120" s="192"/>
    </row>
    <row r="1121" spans="1:12" ht="12.75">
      <c r="A1121" s="49"/>
      <c r="C1121" s="49"/>
      <c r="D1121" s="45"/>
      <c r="E1121" s="13"/>
      <c r="F1121" s="126"/>
      <c r="G1121" s="200"/>
      <c r="H1121" s="152"/>
      <c r="I1121" s="173"/>
      <c r="J1121" s="192"/>
      <c r="K1121" s="173"/>
      <c r="L1121" s="192"/>
    </row>
    <row r="1122" spans="1:12" ht="12.75">
      <c r="A1122" s="49"/>
      <c r="C1122" s="49"/>
      <c r="D1122" s="45"/>
      <c r="E1122" s="13"/>
      <c r="F1122" s="126"/>
      <c r="G1122" s="200"/>
      <c r="H1122" s="152"/>
      <c r="I1122" s="173"/>
      <c r="J1122" s="192"/>
      <c r="K1122" s="173"/>
      <c r="L1122" s="192"/>
    </row>
    <row r="1123" spans="1:12" ht="12.75">
      <c r="A1123" s="49"/>
      <c r="C1123" s="49"/>
      <c r="D1123" s="45"/>
      <c r="E1123" s="13"/>
      <c r="F1123" s="126"/>
      <c r="G1123" s="200"/>
      <c r="H1123" s="152"/>
      <c r="I1123" s="173"/>
      <c r="J1123" s="192"/>
      <c r="K1123" s="173"/>
      <c r="L1123" s="192"/>
    </row>
    <row r="1124" spans="1:12" ht="12.75">
      <c r="A1124" s="49"/>
      <c r="C1124" s="49"/>
      <c r="D1124" s="45"/>
      <c r="E1124" s="13"/>
      <c r="F1124" s="126"/>
      <c r="G1124" s="200"/>
      <c r="H1124" s="152"/>
      <c r="I1124" s="173"/>
      <c r="J1124" s="192"/>
      <c r="K1124" s="173"/>
      <c r="L1124" s="192"/>
    </row>
    <row r="1125" spans="1:12" ht="12.75">
      <c r="A1125" s="49"/>
      <c r="C1125" s="49"/>
      <c r="D1125" s="45"/>
      <c r="E1125" s="13"/>
      <c r="F1125" s="126"/>
      <c r="G1125" s="200"/>
      <c r="H1125" s="152"/>
      <c r="I1125" s="173"/>
      <c r="J1125" s="192"/>
      <c r="K1125" s="173"/>
      <c r="L1125" s="192"/>
    </row>
    <row r="1126" spans="1:12" ht="12.75">
      <c r="A1126" s="49"/>
      <c r="C1126" s="49"/>
      <c r="D1126" s="45"/>
      <c r="E1126" s="13"/>
      <c r="F1126" s="126"/>
      <c r="G1126" s="200"/>
      <c r="H1126" s="152"/>
      <c r="I1126" s="173"/>
      <c r="J1126" s="192"/>
      <c r="K1126" s="173"/>
      <c r="L1126" s="192"/>
    </row>
    <row r="1127" spans="1:12" ht="12.75">
      <c r="A1127" s="49"/>
      <c r="C1127" s="49"/>
      <c r="D1127" s="45"/>
      <c r="E1127" s="13"/>
      <c r="F1127" s="126"/>
      <c r="G1127" s="200"/>
      <c r="H1127" s="152"/>
      <c r="I1127" s="173"/>
      <c r="J1127" s="192"/>
      <c r="K1127" s="173"/>
      <c r="L1127" s="192"/>
    </row>
    <row r="1128" spans="1:12" ht="12.75">
      <c r="A1128" s="49"/>
      <c r="C1128" s="49"/>
      <c r="D1128" s="45"/>
      <c r="E1128" s="13"/>
      <c r="F1128" s="126"/>
      <c r="G1128" s="200"/>
      <c r="H1128" s="152"/>
      <c r="I1128" s="173"/>
      <c r="J1128" s="192"/>
      <c r="K1128" s="173"/>
      <c r="L1128" s="192"/>
    </row>
    <row r="1129" spans="1:12" ht="12.75">
      <c r="A1129" s="49"/>
      <c r="C1129" s="49"/>
      <c r="D1129" s="45"/>
      <c r="E1129" s="13"/>
      <c r="F1129" s="126"/>
      <c r="G1129" s="200"/>
      <c r="H1129" s="152"/>
      <c r="I1129" s="173"/>
      <c r="J1129" s="192"/>
      <c r="K1129" s="173"/>
      <c r="L1129" s="192"/>
    </row>
    <row r="1130" spans="1:12" ht="12.75">
      <c r="A1130" s="49"/>
      <c r="C1130" s="49"/>
      <c r="D1130" s="45"/>
      <c r="E1130" s="13"/>
      <c r="F1130" s="126"/>
      <c r="G1130" s="200"/>
      <c r="H1130" s="152"/>
      <c r="I1130" s="173"/>
      <c r="J1130" s="192"/>
      <c r="K1130" s="173"/>
      <c r="L1130" s="192"/>
    </row>
    <row r="1131" spans="1:12" ht="12.75">
      <c r="A1131" s="49"/>
      <c r="C1131" s="49"/>
      <c r="D1131" s="45"/>
      <c r="E1131" s="13"/>
      <c r="F1131" s="126"/>
      <c r="G1131" s="200"/>
      <c r="H1131" s="152"/>
      <c r="I1131" s="173"/>
      <c r="J1131" s="192"/>
      <c r="K1131" s="173"/>
      <c r="L1131" s="192"/>
    </row>
    <row r="1132" spans="1:12" ht="12.75">
      <c r="A1132" s="49"/>
      <c r="C1132" s="49"/>
      <c r="D1132" s="45"/>
      <c r="E1132" s="13"/>
      <c r="F1132" s="126"/>
      <c r="G1132" s="200"/>
      <c r="H1132" s="152"/>
      <c r="I1132" s="173"/>
      <c r="J1132" s="192"/>
      <c r="K1132" s="173"/>
      <c r="L1132" s="192"/>
    </row>
    <row r="1133" spans="1:12" ht="12.75">
      <c r="A1133" s="49"/>
      <c r="C1133" s="49"/>
      <c r="D1133" s="45"/>
      <c r="E1133" s="13"/>
      <c r="F1133" s="126"/>
      <c r="G1133" s="200"/>
      <c r="H1133" s="152"/>
      <c r="I1133" s="173"/>
      <c r="J1133" s="192"/>
      <c r="K1133" s="173"/>
      <c r="L1133" s="192"/>
    </row>
    <row r="1134" spans="1:12" ht="12.75">
      <c r="A1134" s="49"/>
      <c r="C1134" s="49"/>
      <c r="D1134" s="45"/>
      <c r="E1134" s="13"/>
      <c r="F1134" s="126"/>
      <c r="G1134" s="200"/>
      <c r="H1134" s="152"/>
      <c r="I1134" s="173"/>
      <c r="J1134" s="192"/>
      <c r="K1134" s="173"/>
      <c r="L1134" s="192"/>
    </row>
    <row r="1135" spans="1:12" ht="12.75">
      <c r="A1135" s="49"/>
      <c r="C1135" s="49"/>
      <c r="D1135" s="45"/>
      <c r="E1135" s="13"/>
      <c r="F1135" s="126"/>
      <c r="G1135" s="200"/>
      <c r="H1135" s="152"/>
      <c r="I1135" s="173"/>
      <c r="J1135" s="192"/>
      <c r="K1135" s="173"/>
      <c r="L1135" s="192"/>
    </row>
    <row r="1136" spans="1:12" ht="12.75">
      <c r="A1136" s="49"/>
      <c r="C1136" s="49"/>
      <c r="D1136" s="45"/>
      <c r="E1136" s="13"/>
      <c r="F1136" s="126"/>
      <c r="G1136" s="200"/>
      <c r="H1136" s="152"/>
      <c r="I1136" s="173"/>
      <c r="J1136" s="192"/>
      <c r="K1136" s="173"/>
      <c r="L1136" s="192"/>
    </row>
    <row r="1137" spans="1:12" ht="12.75">
      <c r="A1137" s="49"/>
      <c r="C1137" s="49"/>
      <c r="D1137" s="45"/>
      <c r="E1137" s="13"/>
      <c r="F1137" s="126"/>
      <c r="G1137" s="200"/>
      <c r="H1137" s="152"/>
      <c r="I1137" s="173"/>
      <c r="J1137" s="192"/>
      <c r="K1137" s="173"/>
      <c r="L1137" s="192"/>
    </row>
    <row r="1138" spans="1:12" ht="12.75">
      <c r="A1138" s="49"/>
      <c r="C1138" s="49"/>
      <c r="D1138" s="45"/>
      <c r="E1138" s="13"/>
      <c r="F1138" s="126"/>
      <c r="G1138" s="200"/>
      <c r="H1138" s="152"/>
      <c r="I1138" s="173"/>
      <c r="J1138" s="192"/>
      <c r="K1138" s="173"/>
      <c r="L1138" s="192"/>
    </row>
    <row r="1139" spans="1:12" ht="12.75">
      <c r="A1139" s="49"/>
      <c r="C1139" s="49"/>
      <c r="D1139" s="45"/>
      <c r="E1139" s="13"/>
      <c r="F1139" s="126"/>
      <c r="G1139" s="200"/>
      <c r="H1139" s="152"/>
      <c r="I1139" s="173"/>
      <c r="J1139" s="192"/>
      <c r="K1139" s="173"/>
      <c r="L1139" s="192"/>
    </row>
    <row r="1140" spans="1:12" ht="12.75">
      <c r="A1140" s="49"/>
      <c r="C1140" s="49"/>
      <c r="D1140" s="45"/>
      <c r="E1140" s="13"/>
      <c r="F1140" s="126"/>
      <c r="G1140" s="200"/>
      <c r="H1140" s="152"/>
      <c r="I1140" s="173"/>
      <c r="J1140" s="192"/>
      <c r="K1140" s="173"/>
      <c r="L1140" s="192"/>
    </row>
    <row r="1141" spans="1:12" ht="12.75">
      <c r="A1141" s="49"/>
      <c r="C1141" s="49"/>
      <c r="D1141" s="45"/>
      <c r="E1141" s="13"/>
      <c r="F1141" s="126"/>
      <c r="G1141" s="200"/>
      <c r="H1141" s="152"/>
      <c r="I1141" s="173"/>
      <c r="J1141" s="192"/>
      <c r="K1141" s="173"/>
      <c r="L1141" s="192"/>
    </row>
    <row r="1142" spans="1:12" ht="12.75">
      <c r="A1142" s="49"/>
      <c r="C1142" s="49"/>
      <c r="D1142" s="45"/>
      <c r="E1142" s="13"/>
      <c r="F1142" s="126"/>
      <c r="G1142" s="200"/>
      <c r="H1142" s="152"/>
      <c r="I1142" s="173"/>
      <c r="J1142" s="192"/>
      <c r="K1142" s="173"/>
      <c r="L1142" s="192"/>
    </row>
    <row r="1143" spans="1:12" ht="12.75">
      <c r="A1143" s="49"/>
      <c r="C1143" s="49"/>
      <c r="D1143" s="45"/>
      <c r="E1143" s="13"/>
      <c r="F1143" s="126"/>
      <c r="G1143" s="200"/>
      <c r="H1143" s="152"/>
      <c r="I1143" s="173"/>
      <c r="J1143" s="192"/>
      <c r="K1143" s="173"/>
      <c r="L1143" s="192"/>
    </row>
    <row r="1144" spans="1:12" ht="12.75">
      <c r="A1144" s="49"/>
      <c r="C1144" s="49"/>
      <c r="D1144" s="45"/>
      <c r="E1144" s="13"/>
      <c r="F1144" s="126"/>
      <c r="G1144" s="200"/>
      <c r="H1144" s="152"/>
      <c r="I1144" s="173"/>
      <c r="J1144" s="192"/>
      <c r="K1144" s="173"/>
      <c r="L1144" s="192"/>
    </row>
    <row r="1145" spans="1:12" ht="12.75">
      <c r="A1145" s="49"/>
      <c r="C1145" s="49"/>
      <c r="D1145" s="45"/>
      <c r="E1145" s="13"/>
      <c r="F1145" s="126"/>
      <c r="G1145" s="200"/>
      <c r="H1145" s="152"/>
      <c r="I1145" s="173"/>
      <c r="J1145" s="192"/>
      <c r="K1145" s="173"/>
      <c r="L1145" s="192"/>
    </row>
    <row r="1146" spans="1:12" ht="12.75">
      <c r="A1146" s="49"/>
      <c r="C1146" s="49"/>
      <c r="D1146" s="45"/>
      <c r="E1146" s="13"/>
      <c r="F1146" s="126"/>
      <c r="G1146" s="200"/>
      <c r="H1146" s="152"/>
      <c r="I1146" s="173"/>
      <c r="J1146" s="192"/>
      <c r="K1146" s="173"/>
      <c r="L1146" s="192"/>
    </row>
    <row r="1147" spans="1:12" ht="12.75">
      <c r="A1147" s="49"/>
      <c r="C1147" s="49"/>
      <c r="D1147" s="45"/>
      <c r="E1147" s="13"/>
      <c r="F1147" s="126"/>
      <c r="G1147" s="200"/>
      <c r="H1147" s="152"/>
      <c r="I1147" s="173"/>
      <c r="J1147" s="192"/>
      <c r="K1147" s="173"/>
      <c r="L1147" s="192"/>
    </row>
    <row r="1148" spans="1:12" ht="12.75">
      <c r="A1148" s="49"/>
      <c r="C1148" s="49"/>
      <c r="D1148" s="45"/>
      <c r="E1148" s="13"/>
      <c r="F1148" s="126"/>
      <c r="G1148" s="200"/>
      <c r="H1148" s="152"/>
      <c r="I1148" s="173"/>
      <c r="J1148" s="192"/>
      <c r="K1148" s="173"/>
      <c r="L1148" s="192"/>
    </row>
    <row r="1149" spans="1:12" ht="12.75">
      <c r="A1149" s="49"/>
      <c r="C1149" s="49"/>
      <c r="D1149" s="45"/>
      <c r="E1149" s="13"/>
      <c r="F1149" s="126"/>
      <c r="G1149" s="200"/>
      <c r="H1149" s="152"/>
      <c r="I1149" s="173"/>
      <c r="J1149" s="192"/>
      <c r="K1149" s="173"/>
      <c r="L1149" s="192"/>
    </row>
    <row r="1150" spans="1:12" ht="12.75">
      <c r="A1150" s="49"/>
      <c r="C1150" s="49"/>
      <c r="D1150" s="45"/>
      <c r="E1150" s="13"/>
      <c r="F1150" s="126"/>
      <c r="G1150" s="200"/>
      <c r="H1150" s="152"/>
      <c r="I1150" s="173"/>
      <c r="J1150" s="192"/>
      <c r="K1150" s="173"/>
      <c r="L1150" s="192"/>
    </row>
    <row r="1151" spans="1:12" ht="12.75">
      <c r="A1151" s="49"/>
      <c r="C1151" s="49"/>
      <c r="D1151" s="45"/>
      <c r="E1151" s="13"/>
      <c r="F1151" s="126"/>
      <c r="G1151" s="200"/>
      <c r="H1151" s="152"/>
      <c r="I1151" s="173"/>
      <c r="J1151" s="192"/>
      <c r="K1151" s="173"/>
      <c r="L1151" s="192"/>
    </row>
    <row r="1152" spans="1:12" ht="12.75">
      <c r="A1152" s="49"/>
      <c r="C1152" s="49"/>
      <c r="D1152" s="45"/>
      <c r="E1152" s="13"/>
      <c r="F1152" s="126"/>
      <c r="G1152" s="200"/>
      <c r="H1152" s="152"/>
      <c r="I1152" s="173"/>
      <c r="J1152" s="192"/>
      <c r="K1152" s="173"/>
      <c r="L1152" s="192"/>
    </row>
    <row r="1153" spans="1:12" ht="12.75">
      <c r="A1153" s="49"/>
      <c r="C1153" s="49"/>
      <c r="D1153" s="45"/>
      <c r="E1153" s="13"/>
      <c r="F1153" s="126"/>
      <c r="G1153" s="200"/>
      <c r="H1153" s="152"/>
      <c r="I1153" s="173"/>
      <c r="J1153" s="192"/>
      <c r="K1153" s="173"/>
      <c r="L1153" s="192"/>
    </row>
    <row r="1154" spans="1:12" ht="12.75">
      <c r="A1154" s="49"/>
      <c r="C1154" s="49"/>
      <c r="D1154" s="45"/>
      <c r="E1154" s="13"/>
      <c r="F1154" s="126"/>
      <c r="G1154" s="200"/>
      <c r="H1154" s="152"/>
      <c r="I1154" s="173"/>
      <c r="J1154" s="192"/>
      <c r="K1154" s="173"/>
      <c r="L1154" s="192"/>
    </row>
    <row r="1155" spans="1:12" ht="12.75">
      <c r="A1155" s="49"/>
      <c r="C1155" s="49"/>
      <c r="D1155" s="45"/>
      <c r="E1155" s="13"/>
      <c r="F1155" s="126"/>
      <c r="G1155" s="200"/>
      <c r="H1155" s="152"/>
      <c r="I1155" s="173"/>
      <c r="J1155" s="192"/>
      <c r="K1155" s="173"/>
      <c r="L1155" s="192"/>
    </row>
    <row r="1156" spans="1:12" ht="12.75">
      <c r="A1156" s="49"/>
      <c r="C1156" s="49"/>
      <c r="D1156" s="45"/>
      <c r="E1156" s="13"/>
      <c r="F1156" s="126"/>
      <c r="G1156" s="200"/>
      <c r="H1156" s="152"/>
      <c r="I1156" s="173"/>
      <c r="J1156" s="192"/>
      <c r="K1156" s="173"/>
      <c r="L1156" s="192"/>
    </row>
    <row r="1157" spans="1:12" ht="12.75">
      <c r="A1157" s="49"/>
      <c r="C1157" s="49"/>
      <c r="D1157" s="45"/>
      <c r="E1157" s="13"/>
      <c r="F1157" s="126"/>
      <c r="G1157" s="200"/>
      <c r="H1157" s="152"/>
      <c r="I1157" s="173"/>
      <c r="J1157" s="192"/>
      <c r="K1157" s="173"/>
      <c r="L1157" s="192"/>
    </row>
    <row r="1158" spans="1:12" ht="12.75">
      <c r="A1158" s="49"/>
      <c r="C1158" s="49"/>
      <c r="D1158" s="45"/>
      <c r="E1158" s="13"/>
      <c r="F1158" s="126"/>
      <c r="G1158" s="200"/>
      <c r="H1158" s="152"/>
      <c r="I1158" s="173"/>
      <c r="J1158" s="192"/>
      <c r="K1158" s="173"/>
      <c r="L1158" s="192"/>
    </row>
    <row r="1159" spans="1:12" ht="12.75">
      <c r="A1159" s="49"/>
      <c r="C1159" s="49"/>
      <c r="D1159" s="45"/>
      <c r="E1159" s="13"/>
      <c r="F1159" s="126"/>
      <c r="G1159" s="200"/>
      <c r="H1159" s="152"/>
      <c r="I1159" s="173"/>
      <c r="J1159" s="192"/>
      <c r="K1159" s="173"/>
      <c r="L1159" s="192"/>
    </row>
    <row r="1160" spans="1:12" ht="12.75">
      <c r="A1160" s="49"/>
      <c r="C1160" s="49"/>
      <c r="D1160" s="45"/>
      <c r="E1160" s="13"/>
      <c r="F1160" s="126"/>
      <c r="G1160" s="200"/>
      <c r="H1160" s="152"/>
      <c r="I1160" s="173"/>
      <c r="J1160" s="192"/>
      <c r="K1160" s="173"/>
      <c r="L1160" s="192"/>
    </row>
    <row r="1161" spans="1:12" ht="12.75">
      <c r="A1161" s="49"/>
      <c r="C1161" s="49"/>
      <c r="D1161" s="45"/>
      <c r="E1161" s="13"/>
      <c r="F1161" s="126"/>
      <c r="G1161" s="200"/>
      <c r="H1161" s="152"/>
      <c r="I1161" s="173"/>
      <c r="J1161" s="192"/>
      <c r="K1161" s="173"/>
      <c r="L1161" s="192"/>
    </row>
    <row r="1162" spans="1:12" ht="12.75">
      <c r="A1162" s="49"/>
      <c r="C1162" s="49"/>
      <c r="D1162" s="45"/>
      <c r="E1162" s="13"/>
      <c r="F1162" s="126"/>
      <c r="G1162" s="200"/>
      <c r="H1162" s="152"/>
      <c r="I1162" s="173"/>
      <c r="J1162" s="192"/>
      <c r="K1162" s="173"/>
      <c r="L1162" s="192"/>
    </row>
    <row r="1163" spans="1:12" ht="12.75">
      <c r="A1163" s="49"/>
      <c r="C1163" s="49"/>
      <c r="D1163" s="45"/>
      <c r="E1163" s="13"/>
      <c r="F1163" s="126"/>
      <c r="G1163" s="200"/>
      <c r="H1163" s="152"/>
      <c r="I1163" s="173"/>
      <c r="J1163" s="192"/>
      <c r="K1163" s="173"/>
      <c r="L1163" s="192"/>
    </row>
    <row r="1164" spans="1:12" ht="12.75">
      <c r="A1164" s="49"/>
      <c r="C1164" s="49"/>
      <c r="D1164" s="45"/>
      <c r="E1164" s="13"/>
      <c r="F1164" s="126"/>
      <c r="G1164" s="200"/>
      <c r="H1164" s="152"/>
      <c r="I1164" s="173"/>
      <c r="J1164" s="192"/>
      <c r="K1164" s="173"/>
      <c r="L1164" s="192"/>
    </row>
    <row r="1165" spans="1:12" ht="12.75">
      <c r="A1165" s="49"/>
      <c r="C1165" s="49"/>
      <c r="D1165" s="45"/>
      <c r="E1165" s="13"/>
      <c r="F1165" s="126"/>
      <c r="G1165" s="200"/>
      <c r="H1165" s="152"/>
      <c r="I1165" s="173"/>
      <c r="J1165" s="192"/>
      <c r="K1165" s="173"/>
      <c r="L1165" s="192"/>
    </row>
    <row r="1166" spans="1:12" ht="12.75">
      <c r="A1166" s="49"/>
      <c r="C1166" s="49"/>
      <c r="D1166" s="45"/>
      <c r="E1166" s="13"/>
      <c r="F1166" s="126"/>
      <c r="G1166" s="200"/>
      <c r="H1166" s="152"/>
      <c r="I1166" s="173"/>
      <c r="J1166" s="192"/>
      <c r="K1166" s="173"/>
      <c r="L1166" s="192"/>
    </row>
    <row r="1167" spans="1:12" ht="12.75">
      <c r="A1167" s="49"/>
      <c r="C1167" s="49"/>
      <c r="D1167" s="45"/>
      <c r="E1167" s="13"/>
      <c r="F1167" s="126"/>
      <c r="G1167" s="200"/>
      <c r="H1167" s="152"/>
      <c r="I1167" s="173"/>
      <c r="J1167" s="192"/>
      <c r="K1167" s="173"/>
      <c r="L1167" s="192"/>
    </row>
    <row r="1168" spans="1:12" ht="12.75">
      <c r="A1168" s="49"/>
      <c r="C1168" s="49"/>
      <c r="D1168" s="45"/>
      <c r="E1168" s="13"/>
      <c r="F1168" s="126"/>
      <c r="G1168" s="200"/>
      <c r="H1168" s="152"/>
      <c r="I1168" s="173"/>
      <c r="J1168" s="192"/>
      <c r="K1168" s="173"/>
      <c r="L1168" s="192"/>
    </row>
    <row r="1169" spans="1:12" ht="12.75">
      <c r="A1169" s="49"/>
      <c r="C1169" s="49"/>
      <c r="D1169" s="45"/>
      <c r="E1169" s="13"/>
      <c r="F1169" s="126"/>
      <c r="G1169" s="200"/>
      <c r="H1169" s="152"/>
      <c r="I1169" s="173"/>
      <c r="J1169" s="192"/>
      <c r="K1169" s="173"/>
      <c r="L1169" s="192"/>
    </row>
    <row r="1170" spans="1:12" ht="12.75">
      <c r="A1170" s="49"/>
      <c r="C1170" s="49"/>
      <c r="D1170" s="45"/>
      <c r="E1170" s="13"/>
      <c r="F1170" s="126"/>
      <c r="G1170" s="200"/>
      <c r="H1170" s="152"/>
      <c r="I1170" s="173"/>
      <c r="J1170" s="192"/>
      <c r="K1170" s="173"/>
      <c r="L1170" s="192"/>
    </row>
    <row r="1171" spans="1:12" ht="12.75">
      <c r="A1171" s="49"/>
      <c r="C1171" s="49"/>
      <c r="D1171" s="45"/>
      <c r="E1171" s="13"/>
      <c r="F1171" s="126"/>
      <c r="G1171" s="200"/>
      <c r="H1171" s="152"/>
      <c r="I1171" s="173"/>
      <c r="J1171" s="192"/>
      <c r="K1171" s="173"/>
      <c r="L1171" s="192"/>
    </row>
    <row r="1172" spans="1:12" ht="12.75">
      <c r="A1172" s="49"/>
      <c r="C1172" s="49"/>
      <c r="D1172" s="45"/>
      <c r="E1172" s="13"/>
      <c r="F1172" s="126"/>
      <c r="G1172" s="200"/>
      <c r="H1172" s="152"/>
      <c r="I1172" s="173"/>
      <c r="J1172" s="192"/>
      <c r="K1172" s="173"/>
      <c r="L1172" s="192"/>
    </row>
    <row r="1173" spans="1:12" ht="12.75">
      <c r="A1173" s="49"/>
      <c r="C1173" s="49"/>
      <c r="D1173" s="45"/>
      <c r="E1173" s="13"/>
      <c r="F1173" s="126"/>
      <c r="G1173" s="200"/>
      <c r="H1173" s="152"/>
      <c r="I1173" s="173"/>
      <c r="J1173" s="192"/>
      <c r="K1173" s="173"/>
      <c r="L1173" s="192"/>
    </row>
    <row r="1174" spans="1:12" ht="12.75">
      <c r="A1174" s="49"/>
      <c r="C1174" s="49"/>
      <c r="D1174" s="45"/>
      <c r="E1174" s="13"/>
      <c r="F1174" s="126"/>
      <c r="G1174" s="200"/>
      <c r="H1174" s="152"/>
      <c r="I1174" s="173"/>
      <c r="J1174" s="192"/>
      <c r="K1174" s="173"/>
      <c r="L1174" s="192"/>
    </row>
    <row r="1175" spans="1:12" ht="12.75">
      <c r="A1175" s="49"/>
      <c r="C1175" s="49"/>
      <c r="D1175" s="45"/>
      <c r="E1175" s="13"/>
      <c r="F1175" s="126"/>
      <c r="G1175" s="200"/>
      <c r="H1175" s="152"/>
      <c r="I1175" s="173"/>
      <c r="J1175" s="192"/>
      <c r="K1175" s="173"/>
      <c r="L1175" s="192"/>
    </row>
    <row r="1176" spans="1:12" ht="12.75">
      <c r="A1176" s="49"/>
      <c r="C1176" s="49"/>
      <c r="D1176" s="45"/>
      <c r="E1176" s="13"/>
      <c r="F1176" s="126"/>
      <c r="G1176" s="200"/>
      <c r="H1176" s="152"/>
      <c r="I1176" s="173"/>
      <c r="J1176" s="192"/>
      <c r="K1176" s="173"/>
      <c r="L1176" s="192"/>
    </row>
    <row r="1177" spans="1:12" ht="12.75">
      <c r="A1177" s="49"/>
      <c r="C1177" s="49"/>
      <c r="D1177" s="45"/>
      <c r="E1177" s="13"/>
      <c r="F1177" s="126"/>
      <c r="G1177" s="200"/>
      <c r="H1177" s="152"/>
      <c r="I1177" s="173"/>
      <c r="J1177" s="192"/>
      <c r="K1177" s="173"/>
      <c r="L1177" s="192"/>
    </row>
    <row r="1178" spans="1:12" ht="12.75">
      <c r="A1178" s="49"/>
      <c r="C1178" s="49"/>
      <c r="D1178" s="45"/>
      <c r="E1178" s="13"/>
      <c r="F1178" s="126"/>
      <c r="G1178" s="200"/>
      <c r="H1178" s="152"/>
      <c r="I1178" s="173"/>
      <c r="J1178" s="192"/>
      <c r="K1178" s="173"/>
      <c r="L1178" s="192"/>
    </row>
    <row r="1179" spans="1:12" ht="12.75">
      <c r="A1179" s="49"/>
      <c r="C1179" s="49"/>
      <c r="D1179" s="45"/>
      <c r="E1179" s="13"/>
      <c r="F1179" s="126"/>
      <c r="G1179" s="200"/>
      <c r="H1179" s="152"/>
      <c r="I1179" s="173"/>
      <c r="J1179" s="192"/>
      <c r="K1179" s="173"/>
      <c r="L1179" s="192"/>
    </row>
    <row r="1180" spans="1:12" ht="12.75">
      <c r="A1180" s="49"/>
      <c r="C1180" s="49"/>
      <c r="D1180" s="45"/>
      <c r="E1180" s="13"/>
      <c r="F1180" s="126"/>
      <c r="G1180" s="200"/>
      <c r="H1180" s="152"/>
      <c r="I1180" s="173"/>
      <c r="J1180" s="192"/>
      <c r="K1180" s="173"/>
      <c r="L1180" s="192"/>
    </row>
    <row r="1181" spans="1:12" ht="12.75">
      <c r="A1181" s="49"/>
      <c r="C1181" s="49"/>
      <c r="D1181" s="45"/>
      <c r="E1181" s="13"/>
      <c r="F1181" s="126"/>
      <c r="G1181" s="200"/>
      <c r="H1181" s="152"/>
      <c r="I1181" s="173"/>
      <c r="J1181" s="192"/>
      <c r="K1181" s="173"/>
      <c r="L1181" s="192"/>
    </row>
    <row r="1182" spans="1:12" ht="12.75">
      <c r="A1182" s="49"/>
      <c r="C1182" s="49"/>
      <c r="D1182" s="45"/>
      <c r="E1182" s="13"/>
      <c r="F1182" s="126"/>
      <c r="G1182" s="200"/>
      <c r="H1182" s="152"/>
      <c r="I1182" s="173"/>
      <c r="J1182" s="192"/>
      <c r="K1182" s="173"/>
      <c r="L1182" s="192"/>
    </row>
    <row r="1183" spans="1:12" ht="12.75">
      <c r="A1183" s="49"/>
      <c r="C1183" s="49"/>
      <c r="D1183" s="45"/>
      <c r="E1183" s="13"/>
      <c r="F1183" s="126"/>
      <c r="G1183" s="200"/>
      <c r="H1183" s="152"/>
      <c r="I1183" s="173"/>
      <c r="J1183" s="192"/>
      <c r="K1183" s="173"/>
      <c r="L1183" s="192"/>
    </row>
    <row r="1184" spans="1:12" ht="12.75">
      <c r="A1184" s="49"/>
      <c r="C1184" s="49"/>
      <c r="D1184" s="45"/>
      <c r="E1184" s="13"/>
      <c r="F1184" s="126"/>
      <c r="G1184" s="200"/>
      <c r="H1184" s="152"/>
      <c r="I1184" s="173"/>
      <c r="J1184" s="192"/>
      <c r="K1184" s="173"/>
      <c r="L1184" s="192"/>
    </row>
    <row r="1185" spans="1:12" ht="12.75">
      <c r="A1185" s="49"/>
      <c r="C1185" s="49"/>
      <c r="D1185" s="45"/>
      <c r="E1185" s="13"/>
      <c r="F1185" s="126"/>
      <c r="G1185" s="200"/>
      <c r="H1185" s="152"/>
      <c r="I1185" s="173"/>
      <c r="J1185" s="192"/>
      <c r="K1185" s="173"/>
      <c r="L1185" s="192"/>
    </row>
    <row r="1186" spans="1:12" ht="12.75">
      <c r="A1186" s="49"/>
      <c r="C1186" s="49"/>
      <c r="D1186" s="45"/>
      <c r="E1186" s="13"/>
      <c r="F1186" s="126"/>
      <c r="G1186" s="200"/>
      <c r="H1186" s="152"/>
      <c r="I1186" s="173"/>
      <c r="J1186" s="192"/>
      <c r="K1186" s="173"/>
      <c r="L1186" s="192"/>
    </row>
    <row r="1187" spans="1:12" ht="12.75">
      <c r="A1187" s="49"/>
      <c r="C1187" s="49"/>
      <c r="D1187" s="45"/>
      <c r="E1187" s="13"/>
      <c r="F1187" s="126"/>
      <c r="G1187" s="200"/>
      <c r="H1187" s="152"/>
      <c r="I1187" s="173"/>
      <c r="J1187" s="192"/>
      <c r="K1187" s="173"/>
      <c r="L1187" s="192"/>
    </row>
    <row r="1188" spans="1:12" ht="12.75">
      <c r="A1188" s="49"/>
      <c r="C1188" s="49"/>
      <c r="D1188" s="45"/>
      <c r="E1188" s="13"/>
      <c r="F1188" s="126"/>
      <c r="G1188" s="200"/>
      <c r="H1188" s="152"/>
      <c r="I1188" s="173"/>
      <c r="J1188" s="192"/>
      <c r="K1188" s="173"/>
      <c r="L1188" s="192"/>
    </row>
    <row r="1189" spans="1:12" ht="12.75">
      <c r="A1189" s="49"/>
      <c r="C1189" s="49"/>
      <c r="D1189" s="45"/>
      <c r="E1189" s="13"/>
      <c r="F1189" s="126"/>
      <c r="G1189" s="200"/>
      <c r="H1189" s="152"/>
      <c r="I1189" s="173"/>
      <c r="J1189" s="192"/>
      <c r="K1189" s="173"/>
      <c r="L1189" s="192"/>
    </row>
    <row r="1190" spans="1:12" ht="12.75">
      <c r="A1190" s="49"/>
      <c r="C1190" s="49"/>
      <c r="D1190" s="45"/>
      <c r="E1190" s="13"/>
      <c r="F1190" s="126"/>
      <c r="G1190" s="200"/>
      <c r="H1190" s="152"/>
      <c r="I1190" s="173"/>
      <c r="J1190" s="192"/>
      <c r="K1190" s="173"/>
      <c r="L1190" s="192"/>
    </row>
    <row r="1191" spans="1:12" ht="12.75">
      <c r="A1191" s="49"/>
      <c r="C1191" s="49"/>
      <c r="D1191" s="45"/>
      <c r="E1191" s="13"/>
      <c r="F1191" s="126"/>
      <c r="G1191" s="200"/>
      <c r="H1191" s="152"/>
      <c r="I1191" s="173"/>
      <c r="J1191" s="192"/>
      <c r="K1191" s="173"/>
      <c r="L1191" s="192"/>
    </row>
    <row r="1192" spans="1:12" ht="12.75">
      <c r="A1192" s="49"/>
      <c r="C1192" s="49"/>
      <c r="D1192" s="45"/>
      <c r="E1192" s="13"/>
      <c r="F1192" s="126"/>
      <c r="G1192" s="200"/>
      <c r="H1192" s="152"/>
      <c r="I1192" s="173"/>
      <c r="J1192" s="192"/>
      <c r="K1192" s="173"/>
      <c r="L1192" s="192"/>
    </row>
    <row r="1193" spans="1:12" ht="12.75">
      <c r="A1193" s="49"/>
      <c r="C1193" s="49"/>
      <c r="D1193" s="45"/>
      <c r="E1193" s="13"/>
      <c r="F1193" s="126"/>
      <c r="G1193" s="200"/>
      <c r="H1193" s="152"/>
      <c r="I1193" s="173"/>
      <c r="J1193" s="192"/>
      <c r="K1193" s="173"/>
      <c r="L1193" s="192"/>
    </row>
    <row r="1194" spans="1:12" ht="12.75">
      <c r="A1194" s="49"/>
      <c r="C1194" s="49"/>
      <c r="D1194" s="45"/>
      <c r="E1194" s="13"/>
      <c r="F1194" s="126"/>
      <c r="G1194" s="200"/>
      <c r="H1194" s="152"/>
      <c r="I1194" s="173"/>
      <c r="J1194" s="192"/>
      <c r="K1194" s="173"/>
      <c r="L1194" s="192"/>
    </row>
    <row r="1195" spans="1:12" ht="12.75">
      <c r="A1195" s="49"/>
      <c r="C1195" s="49"/>
      <c r="D1195" s="45"/>
      <c r="E1195" s="13"/>
      <c r="F1195" s="126"/>
      <c r="G1195" s="200"/>
      <c r="H1195" s="152"/>
      <c r="I1195" s="173"/>
      <c r="J1195" s="192"/>
      <c r="K1195" s="173"/>
      <c r="L1195" s="192"/>
    </row>
    <row r="1196" spans="1:12" ht="12.75">
      <c r="A1196" s="49"/>
      <c r="C1196" s="49"/>
      <c r="D1196" s="45"/>
      <c r="E1196" s="13"/>
      <c r="F1196" s="126"/>
      <c r="G1196" s="200"/>
      <c r="H1196" s="152"/>
      <c r="I1196" s="173"/>
      <c r="J1196" s="192"/>
      <c r="K1196" s="173"/>
      <c r="L1196" s="192"/>
    </row>
    <row r="1197" spans="1:12" ht="12.75">
      <c r="A1197" s="49"/>
      <c r="C1197" s="49"/>
      <c r="D1197" s="45"/>
      <c r="E1197" s="13"/>
      <c r="F1197" s="126"/>
      <c r="G1197" s="200"/>
      <c r="H1197" s="152"/>
      <c r="I1197" s="173"/>
      <c r="J1197" s="192"/>
      <c r="K1197" s="173"/>
      <c r="L1197" s="192"/>
    </row>
    <row r="1198" spans="1:12" ht="12.75">
      <c r="A1198" s="49"/>
      <c r="C1198" s="49"/>
      <c r="D1198" s="45"/>
      <c r="E1198" s="13"/>
      <c r="F1198" s="126"/>
      <c r="G1198" s="200"/>
      <c r="H1198" s="152"/>
      <c r="I1198" s="173"/>
      <c r="J1198" s="192"/>
      <c r="K1198" s="173"/>
      <c r="L1198" s="192"/>
    </row>
    <row r="1199" spans="1:12" ht="12.75">
      <c r="A1199" s="49"/>
      <c r="C1199" s="49"/>
      <c r="D1199" s="45"/>
      <c r="E1199" s="13"/>
      <c r="F1199" s="126"/>
      <c r="G1199" s="200"/>
      <c r="H1199" s="152"/>
      <c r="I1199" s="173"/>
      <c r="J1199" s="192"/>
      <c r="K1199" s="173"/>
      <c r="L1199" s="192"/>
    </row>
    <row r="1200" spans="1:12" ht="12.75">
      <c r="A1200" s="49"/>
      <c r="C1200" s="49"/>
      <c r="D1200" s="45"/>
      <c r="E1200" s="13"/>
      <c r="F1200" s="126"/>
      <c r="G1200" s="200"/>
      <c r="H1200" s="152"/>
      <c r="I1200" s="173"/>
      <c r="J1200" s="192"/>
      <c r="K1200" s="173"/>
      <c r="L1200" s="192"/>
    </row>
    <row r="1201" spans="1:12" ht="12.75">
      <c r="A1201" s="49"/>
      <c r="C1201" s="49"/>
      <c r="D1201" s="45"/>
      <c r="E1201" s="13"/>
      <c r="F1201" s="126"/>
      <c r="G1201" s="200"/>
      <c r="H1201" s="152"/>
      <c r="I1201" s="173"/>
      <c r="J1201" s="192"/>
      <c r="K1201" s="173"/>
      <c r="L1201" s="192"/>
    </row>
    <row r="1202" spans="1:12" ht="12.75">
      <c r="A1202" s="49"/>
      <c r="C1202" s="49"/>
      <c r="D1202" s="45"/>
      <c r="E1202" s="13"/>
      <c r="F1202" s="126"/>
      <c r="G1202" s="200"/>
      <c r="H1202" s="152"/>
      <c r="I1202" s="173"/>
      <c r="J1202" s="192"/>
      <c r="K1202" s="173"/>
      <c r="L1202" s="192"/>
    </row>
    <row r="1203" spans="1:12" ht="12.75">
      <c r="A1203" s="49"/>
      <c r="C1203" s="49"/>
      <c r="D1203" s="45"/>
      <c r="E1203" s="13"/>
      <c r="F1203" s="126"/>
      <c r="G1203" s="200"/>
      <c r="H1203" s="152"/>
      <c r="I1203" s="173"/>
      <c r="J1203" s="192"/>
      <c r="K1203" s="173"/>
      <c r="L1203" s="192"/>
    </row>
    <row r="1204" spans="1:12" ht="12.75">
      <c r="A1204" s="49"/>
      <c r="C1204" s="49"/>
      <c r="D1204" s="45"/>
      <c r="E1204" s="13"/>
      <c r="F1204" s="126"/>
      <c r="G1204" s="200"/>
      <c r="H1204" s="152"/>
      <c r="I1204" s="173"/>
      <c r="J1204" s="192"/>
      <c r="K1204" s="173"/>
      <c r="L1204" s="192"/>
    </row>
    <row r="1205" spans="1:12" ht="12.75">
      <c r="A1205" s="49"/>
      <c r="C1205" s="49"/>
      <c r="D1205" s="45"/>
      <c r="E1205" s="13"/>
      <c r="F1205" s="126"/>
      <c r="G1205" s="200"/>
      <c r="H1205" s="152"/>
      <c r="I1205" s="173"/>
      <c r="J1205" s="192"/>
      <c r="K1205" s="173"/>
      <c r="L1205" s="192"/>
    </row>
    <row r="1206" spans="1:12" ht="12.75">
      <c r="A1206" s="49"/>
      <c r="C1206" s="49"/>
      <c r="D1206" s="45"/>
      <c r="E1206" s="13"/>
      <c r="F1206" s="126"/>
      <c r="G1206" s="200"/>
      <c r="H1206" s="152"/>
      <c r="I1206" s="173"/>
      <c r="J1206" s="192"/>
      <c r="K1206" s="173"/>
      <c r="L1206" s="192"/>
    </row>
    <row r="1207" spans="1:12" ht="12.75">
      <c r="A1207" s="49"/>
      <c r="C1207" s="49"/>
      <c r="D1207" s="45"/>
      <c r="E1207" s="13"/>
      <c r="F1207" s="126"/>
      <c r="G1207" s="200"/>
      <c r="H1207" s="152"/>
      <c r="I1207" s="173"/>
      <c r="J1207" s="192"/>
      <c r="K1207" s="173"/>
      <c r="L1207" s="192"/>
    </row>
    <row r="1208" spans="1:12" ht="12.75">
      <c r="A1208" s="49"/>
      <c r="C1208" s="49"/>
      <c r="D1208" s="45"/>
      <c r="E1208" s="13"/>
      <c r="F1208" s="126"/>
      <c r="G1208" s="200"/>
      <c r="H1208" s="152"/>
      <c r="I1208" s="173"/>
      <c r="J1208" s="192"/>
      <c r="K1208" s="173"/>
      <c r="L1208" s="192"/>
    </row>
    <row r="1209" spans="1:12" ht="12.75">
      <c r="A1209" s="49"/>
      <c r="C1209" s="49"/>
      <c r="D1209" s="45"/>
      <c r="E1209" s="13"/>
      <c r="F1209" s="126"/>
      <c r="G1209" s="200"/>
      <c r="H1209" s="152"/>
      <c r="I1209" s="173"/>
      <c r="J1209" s="192"/>
      <c r="K1209" s="173"/>
      <c r="L1209" s="192"/>
    </row>
    <row r="1210" spans="1:12" ht="12.75">
      <c r="A1210" s="49"/>
      <c r="C1210" s="49"/>
      <c r="D1210" s="45"/>
      <c r="E1210" s="13"/>
      <c r="F1210" s="126"/>
      <c r="G1210" s="200"/>
      <c r="H1210" s="152"/>
      <c r="I1210" s="173"/>
      <c r="J1210" s="192"/>
      <c r="K1210" s="173"/>
      <c r="L1210" s="192"/>
    </row>
    <row r="1211" spans="1:12" ht="12.75">
      <c r="A1211" s="49"/>
      <c r="C1211" s="49"/>
      <c r="D1211" s="45"/>
      <c r="E1211" s="13"/>
      <c r="F1211" s="126"/>
      <c r="G1211" s="200"/>
      <c r="H1211" s="152"/>
      <c r="I1211" s="173"/>
      <c r="J1211" s="192"/>
      <c r="K1211" s="173"/>
      <c r="L1211" s="192"/>
    </row>
    <row r="1212" spans="1:12" ht="12.75">
      <c r="A1212" s="49"/>
      <c r="C1212" s="49"/>
      <c r="D1212" s="45"/>
      <c r="E1212" s="13"/>
      <c r="F1212" s="126"/>
      <c r="G1212" s="200"/>
      <c r="H1212" s="152"/>
      <c r="I1212" s="173"/>
      <c r="J1212" s="192"/>
      <c r="K1212" s="173"/>
      <c r="L1212" s="192"/>
    </row>
    <row r="1213" spans="1:12" ht="12.75">
      <c r="A1213" s="49"/>
      <c r="C1213" s="49"/>
      <c r="D1213" s="45"/>
      <c r="E1213" s="13"/>
      <c r="F1213" s="126"/>
      <c r="G1213" s="200"/>
      <c r="H1213" s="152"/>
      <c r="I1213" s="173"/>
      <c r="J1213" s="192"/>
      <c r="K1213" s="173"/>
      <c r="L1213" s="192"/>
    </row>
    <row r="1214" spans="1:12" ht="12.75">
      <c r="A1214" s="49"/>
      <c r="C1214" s="49"/>
      <c r="D1214" s="45"/>
      <c r="E1214" s="13"/>
      <c r="F1214" s="126"/>
      <c r="G1214" s="200"/>
      <c r="H1214" s="152"/>
      <c r="I1214" s="173"/>
      <c r="J1214" s="192"/>
      <c r="K1214" s="173"/>
      <c r="L1214" s="192"/>
    </row>
    <row r="1215" spans="1:12" ht="12.75">
      <c r="A1215" s="49"/>
      <c r="C1215" s="49"/>
      <c r="D1215" s="45"/>
      <c r="E1215" s="13"/>
      <c r="F1215" s="126"/>
      <c r="G1215" s="200"/>
      <c r="H1215" s="152"/>
      <c r="I1215" s="173"/>
      <c r="J1215" s="192"/>
      <c r="K1215" s="173"/>
      <c r="L1215" s="192"/>
    </row>
    <row r="1216" spans="1:12" ht="12.75">
      <c r="A1216" s="49"/>
      <c r="C1216" s="49"/>
      <c r="D1216" s="45"/>
      <c r="E1216" s="13"/>
      <c r="F1216" s="126"/>
      <c r="G1216" s="200"/>
      <c r="H1216" s="152"/>
      <c r="I1216" s="173"/>
      <c r="J1216" s="192"/>
      <c r="K1216" s="173"/>
      <c r="L1216" s="192"/>
    </row>
    <row r="1217" spans="1:12" ht="12.75">
      <c r="A1217" s="49"/>
      <c r="C1217" s="49"/>
      <c r="D1217" s="45"/>
      <c r="E1217" s="13"/>
      <c r="F1217" s="126"/>
      <c r="G1217" s="200"/>
      <c r="H1217" s="152"/>
      <c r="I1217" s="173"/>
      <c r="J1217" s="192"/>
      <c r="K1217" s="173"/>
      <c r="L1217" s="192"/>
    </row>
    <row r="1218" spans="1:12" ht="12.75">
      <c r="A1218" s="49"/>
      <c r="C1218" s="49"/>
      <c r="D1218" s="45"/>
      <c r="E1218" s="13"/>
      <c r="F1218" s="126"/>
      <c r="G1218" s="200"/>
      <c r="H1218" s="152"/>
      <c r="I1218" s="173"/>
      <c r="J1218" s="192"/>
      <c r="K1218" s="173"/>
      <c r="L1218" s="192"/>
    </row>
    <row r="1219" spans="1:12" ht="12.75">
      <c r="A1219" s="49"/>
      <c r="C1219" s="49"/>
      <c r="D1219" s="45"/>
      <c r="E1219" s="13"/>
      <c r="F1219" s="126"/>
      <c r="G1219" s="200"/>
      <c r="H1219" s="152"/>
      <c r="I1219" s="173"/>
      <c r="J1219" s="192"/>
      <c r="K1219" s="173"/>
      <c r="L1219" s="192"/>
    </row>
    <row r="1220" spans="1:12" ht="12.75">
      <c r="A1220" s="49"/>
      <c r="C1220" s="49"/>
      <c r="D1220" s="45"/>
      <c r="E1220" s="13"/>
      <c r="F1220" s="126"/>
      <c r="G1220" s="200"/>
      <c r="H1220" s="152"/>
      <c r="I1220" s="173"/>
      <c r="J1220" s="192"/>
      <c r="K1220" s="173"/>
      <c r="L1220" s="192"/>
    </row>
    <row r="1221" spans="1:12" ht="12.75">
      <c r="A1221" s="49"/>
      <c r="C1221" s="49"/>
      <c r="D1221" s="45"/>
      <c r="E1221" s="13"/>
      <c r="F1221" s="126"/>
      <c r="G1221" s="200"/>
      <c r="H1221" s="152"/>
      <c r="I1221" s="173"/>
      <c r="J1221" s="192"/>
      <c r="K1221" s="173"/>
      <c r="L1221" s="192"/>
    </row>
    <row r="1222" spans="1:12" ht="12.75">
      <c r="A1222" s="49"/>
      <c r="C1222" s="49"/>
      <c r="D1222" s="45"/>
      <c r="E1222" s="13"/>
      <c r="F1222" s="126"/>
      <c r="G1222" s="200"/>
      <c r="H1222" s="152"/>
      <c r="I1222" s="173"/>
      <c r="J1222" s="192"/>
      <c r="K1222" s="173"/>
      <c r="L1222" s="192"/>
    </row>
    <row r="1223" spans="1:12" ht="12.75">
      <c r="A1223" s="49"/>
      <c r="C1223" s="49"/>
      <c r="D1223" s="45"/>
      <c r="E1223" s="13"/>
      <c r="F1223" s="126"/>
      <c r="G1223" s="200"/>
      <c r="H1223" s="152"/>
      <c r="I1223" s="173"/>
      <c r="J1223" s="192"/>
      <c r="K1223" s="173"/>
      <c r="L1223" s="192"/>
    </row>
    <row r="1224" spans="1:12" ht="12.75">
      <c r="A1224" s="49"/>
      <c r="C1224" s="49"/>
      <c r="D1224" s="45"/>
      <c r="E1224" s="13"/>
      <c r="F1224" s="126"/>
      <c r="G1224" s="200"/>
      <c r="H1224" s="152"/>
      <c r="I1224" s="173"/>
      <c r="J1224" s="192"/>
      <c r="K1224" s="173"/>
      <c r="L1224" s="192"/>
    </row>
    <row r="1225" spans="1:12" ht="12.75">
      <c r="A1225" s="49"/>
      <c r="C1225" s="49"/>
      <c r="D1225" s="45"/>
      <c r="E1225" s="13"/>
      <c r="F1225" s="126"/>
      <c r="G1225" s="200"/>
      <c r="H1225" s="152"/>
      <c r="I1225" s="173"/>
      <c r="J1225" s="192"/>
      <c r="K1225" s="173"/>
      <c r="L1225" s="192"/>
    </row>
    <row r="1226" spans="1:12" ht="12.75">
      <c r="A1226" s="49"/>
      <c r="C1226" s="49"/>
      <c r="D1226" s="45"/>
      <c r="E1226" s="13"/>
      <c r="F1226" s="126"/>
      <c r="G1226" s="200"/>
      <c r="H1226" s="152"/>
      <c r="I1226" s="173"/>
      <c r="J1226" s="192"/>
      <c r="K1226" s="173"/>
      <c r="L1226" s="192"/>
    </row>
    <row r="1227" spans="1:12" ht="12.75">
      <c r="A1227" s="49"/>
      <c r="C1227" s="49"/>
      <c r="D1227" s="45"/>
      <c r="E1227" s="13"/>
      <c r="F1227" s="126"/>
      <c r="G1227" s="200"/>
      <c r="H1227" s="152"/>
      <c r="I1227" s="173"/>
      <c r="J1227" s="192"/>
      <c r="K1227" s="173"/>
      <c r="L1227" s="192"/>
    </row>
    <row r="1228" spans="1:12" ht="12.75">
      <c r="A1228" s="49"/>
      <c r="C1228" s="49"/>
      <c r="D1228" s="45"/>
      <c r="E1228" s="13"/>
      <c r="F1228" s="126"/>
      <c r="G1228" s="200"/>
      <c r="H1228" s="152"/>
      <c r="I1228" s="173"/>
      <c r="J1228" s="192"/>
      <c r="K1228" s="173"/>
      <c r="L1228" s="192"/>
    </row>
    <row r="1229" spans="1:12" ht="12.75">
      <c r="A1229" s="49"/>
      <c r="C1229" s="49"/>
      <c r="D1229" s="45"/>
      <c r="E1229" s="13"/>
      <c r="F1229" s="126"/>
      <c r="G1229" s="200"/>
      <c r="H1229" s="152"/>
      <c r="I1229" s="173"/>
      <c r="J1229" s="192"/>
      <c r="K1229" s="173"/>
      <c r="L1229" s="192"/>
    </row>
    <row r="1230" spans="1:12" ht="12.75">
      <c r="A1230" s="49"/>
      <c r="C1230" s="49"/>
      <c r="D1230" s="45"/>
      <c r="E1230" s="13"/>
      <c r="F1230" s="126"/>
      <c r="G1230" s="200"/>
      <c r="H1230" s="152"/>
      <c r="I1230" s="173"/>
      <c r="J1230" s="192"/>
      <c r="K1230" s="173"/>
      <c r="L1230" s="192"/>
    </row>
    <row r="1231" spans="1:12" ht="12.75">
      <c r="A1231" s="49"/>
      <c r="C1231" s="49"/>
      <c r="D1231" s="45"/>
      <c r="E1231" s="13"/>
      <c r="F1231" s="126"/>
      <c r="G1231" s="200"/>
      <c r="H1231" s="152"/>
      <c r="I1231" s="173"/>
      <c r="J1231" s="192"/>
      <c r="K1231" s="173"/>
      <c r="L1231" s="192"/>
    </row>
    <row r="1232" spans="1:12" ht="12.75">
      <c r="A1232" s="49"/>
      <c r="C1232" s="49"/>
      <c r="D1232" s="45"/>
      <c r="E1232" s="13"/>
      <c r="F1232" s="126"/>
      <c r="G1232" s="200"/>
      <c r="H1232" s="152"/>
      <c r="I1232" s="173"/>
      <c r="J1232" s="192"/>
      <c r="K1232" s="173"/>
      <c r="L1232" s="192"/>
    </row>
    <row r="1233" spans="1:12" ht="12.75">
      <c r="A1233" s="49"/>
      <c r="C1233" s="49"/>
      <c r="D1233" s="45"/>
      <c r="E1233" s="13"/>
      <c r="F1233" s="126"/>
      <c r="G1233" s="200"/>
      <c r="H1233" s="152"/>
      <c r="I1233" s="173"/>
      <c r="J1233" s="192"/>
      <c r="K1233" s="173"/>
      <c r="L1233" s="192"/>
    </row>
    <row r="1234" spans="1:12" ht="12.75">
      <c r="A1234" s="49"/>
      <c r="C1234" s="49"/>
      <c r="D1234" s="45"/>
      <c r="E1234" s="13"/>
      <c r="F1234" s="126"/>
      <c r="G1234" s="200"/>
      <c r="H1234" s="152"/>
      <c r="I1234" s="173"/>
      <c r="J1234" s="192"/>
      <c r="K1234" s="173"/>
      <c r="L1234" s="192"/>
    </row>
    <row r="1235" spans="1:12" ht="12.75">
      <c r="A1235" s="49"/>
      <c r="C1235" s="49"/>
      <c r="D1235" s="45"/>
      <c r="E1235" s="13"/>
      <c r="F1235" s="126"/>
      <c r="G1235" s="200"/>
      <c r="H1235" s="152"/>
      <c r="I1235" s="173"/>
      <c r="J1235" s="192"/>
      <c r="K1235" s="173"/>
      <c r="L1235" s="192"/>
    </row>
    <row r="1236" spans="1:12" ht="12.75">
      <c r="A1236" s="49"/>
      <c r="C1236" s="49"/>
      <c r="D1236" s="45"/>
      <c r="E1236" s="13"/>
      <c r="F1236" s="126"/>
      <c r="G1236" s="200"/>
      <c r="H1236" s="152"/>
      <c r="I1236" s="173"/>
      <c r="J1236" s="192"/>
      <c r="K1236" s="173"/>
      <c r="L1236" s="192"/>
    </row>
    <row r="1237" spans="1:12" ht="12.75">
      <c r="A1237" s="49"/>
      <c r="C1237" s="49"/>
      <c r="D1237" s="45"/>
      <c r="E1237" s="13"/>
      <c r="F1237" s="126"/>
      <c r="G1237" s="200"/>
      <c r="H1237" s="152"/>
      <c r="I1237" s="173"/>
      <c r="J1237" s="192"/>
      <c r="K1237" s="173"/>
      <c r="L1237" s="192"/>
    </row>
    <row r="1238" spans="1:12" ht="12.75">
      <c r="A1238" s="49"/>
      <c r="C1238" s="49"/>
      <c r="D1238" s="45"/>
      <c r="E1238" s="13"/>
      <c r="F1238" s="126"/>
      <c r="G1238" s="200"/>
      <c r="H1238" s="152"/>
      <c r="I1238" s="173"/>
      <c r="J1238" s="192"/>
      <c r="K1238" s="173"/>
      <c r="L1238" s="192"/>
    </row>
    <row r="1239" spans="1:12" ht="12.75">
      <c r="A1239" s="49"/>
      <c r="C1239" s="49"/>
      <c r="D1239" s="45"/>
      <c r="E1239" s="13"/>
      <c r="F1239" s="126"/>
      <c r="G1239" s="200"/>
      <c r="H1239" s="152"/>
      <c r="I1239" s="173"/>
      <c r="J1239" s="192"/>
      <c r="K1239" s="173"/>
      <c r="L1239" s="192"/>
    </row>
    <row r="1240" spans="1:12" ht="12.75">
      <c r="A1240" s="49"/>
      <c r="C1240" s="49"/>
      <c r="D1240" s="45"/>
      <c r="E1240" s="13"/>
      <c r="F1240" s="126"/>
      <c r="G1240" s="200"/>
      <c r="H1240" s="152"/>
      <c r="I1240" s="173"/>
      <c r="J1240" s="192"/>
      <c r="K1240" s="173"/>
      <c r="L1240" s="192"/>
    </row>
    <row r="1241" spans="1:12" ht="12.75">
      <c r="A1241" s="49"/>
      <c r="C1241" s="49"/>
      <c r="D1241" s="45"/>
      <c r="E1241" s="13"/>
      <c r="F1241" s="126"/>
      <c r="G1241" s="200"/>
      <c r="H1241" s="152"/>
      <c r="I1241" s="173"/>
      <c r="J1241" s="192"/>
      <c r="K1241" s="173"/>
      <c r="L1241" s="192"/>
    </row>
    <row r="1242" spans="1:12" ht="12.75">
      <c r="A1242" s="49"/>
      <c r="C1242" s="49"/>
      <c r="D1242" s="45"/>
      <c r="E1242" s="13"/>
      <c r="F1242" s="126"/>
      <c r="G1242" s="200"/>
      <c r="H1242" s="152"/>
      <c r="I1242" s="173"/>
      <c r="J1242" s="192"/>
      <c r="K1242" s="173"/>
      <c r="L1242" s="192"/>
    </row>
    <row r="1243" spans="1:12" ht="12.75">
      <c r="A1243" s="49"/>
      <c r="C1243" s="49"/>
      <c r="D1243" s="45"/>
      <c r="E1243" s="13"/>
      <c r="F1243" s="126"/>
      <c r="G1243" s="200"/>
      <c r="H1243" s="152"/>
      <c r="I1243" s="173"/>
      <c r="J1243" s="192"/>
      <c r="K1243" s="173"/>
      <c r="L1243" s="192"/>
    </row>
    <row r="1244" spans="1:12" ht="12.75">
      <c r="A1244" s="49"/>
      <c r="C1244" s="49"/>
      <c r="D1244" s="45"/>
      <c r="E1244" s="13"/>
      <c r="F1244" s="126"/>
      <c r="G1244" s="200"/>
      <c r="H1244" s="152"/>
      <c r="I1244" s="173"/>
      <c r="J1244" s="192"/>
      <c r="K1244" s="173"/>
      <c r="L1244" s="192"/>
    </row>
    <row r="1245" spans="1:12" ht="12.75">
      <c r="A1245" s="49"/>
      <c r="C1245" s="49"/>
      <c r="D1245" s="45"/>
      <c r="E1245" s="13"/>
      <c r="F1245" s="126"/>
      <c r="G1245" s="200"/>
      <c r="H1245" s="152"/>
      <c r="I1245" s="173"/>
      <c r="J1245" s="192"/>
      <c r="K1245" s="173"/>
      <c r="L1245" s="192"/>
    </row>
    <row r="1246" spans="1:12" ht="12.75">
      <c r="A1246" s="49"/>
      <c r="C1246" s="49"/>
      <c r="D1246" s="45"/>
      <c r="E1246" s="13"/>
      <c r="F1246" s="126"/>
      <c r="G1246" s="200"/>
      <c r="H1246" s="152"/>
      <c r="I1246" s="173"/>
      <c r="J1246" s="192"/>
      <c r="K1246" s="173"/>
      <c r="L1246" s="192"/>
    </row>
    <row r="1247" spans="1:12" ht="12.75">
      <c r="A1247" s="49"/>
      <c r="C1247" s="49"/>
      <c r="D1247" s="45"/>
      <c r="E1247" s="13"/>
      <c r="F1247" s="126"/>
      <c r="G1247" s="200"/>
      <c r="H1247" s="152"/>
      <c r="I1247" s="173"/>
      <c r="J1247" s="192"/>
      <c r="K1247" s="173"/>
      <c r="L1247" s="192"/>
    </row>
    <row r="1248" spans="1:12" ht="12.75">
      <c r="A1248" s="49"/>
      <c r="C1248" s="49"/>
      <c r="D1248" s="45"/>
      <c r="E1248" s="13"/>
      <c r="F1248" s="126"/>
      <c r="G1248" s="200"/>
      <c r="H1248" s="152"/>
      <c r="I1248" s="173"/>
      <c r="J1248" s="192"/>
      <c r="K1248" s="173"/>
      <c r="L1248" s="192"/>
    </row>
    <row r="1249" spans="1:12" ht="12.75">
      <c r="A1249" s="49"/>
      <c r="C1249" s="49"/>
      <c r="D1249" s="45"/>
      <c r="E1249" s="13"/>
      <c r="F1249" s="126"/>
      <c r="G1249" s="200"/>
      <c r="H1249" s="152"/>
      <c r="I1249" s="173"/>
      <c r="J1249" s="192"/>
      <c r="K1249" s="173"/>
      <c r="L1249" s="192"/>
    </row>
    <row r="1250" spans="1:12" ht="12.75">
      <c r="A1250" s="49"/>
      <c r="C1250" s="49"/>
      <c r="D1250" s="45"/>
      <c r="E1250" s="13"/>
      <c r="F1250" s="126"/>
      <c r="G1250" s="200"/>
      <c r="H1250" s="152"/>
      <c r="I1250" s="173"/>
      <c r="J1250" s="192"/>
      <c r="K1250" s="173"/>
      <c r="L1250" s="192"/>
    </row>
    <row r="1251" spans="1:12" ht="12.75">
      <c r="A1251" s="49"/>
      <c r="C1251" s="49"/>
      <c r="D1251" s="45"/>
      <c r="E1251" s="13"/>
      <c r="F1251" s="126"/>
      <c r="G1251" s="200"/>
      <c r="H1251" s="152"/>
      <c r="I1251" s="173"/>
      <c r="J1251" s="192"/>
      <c r="K1251" s="173"/>
      <c r="L1251" s="192"/>
    </row>
    <row r="1252" spans="1:12" ht="12.75">
      <c r="A1252" s="49"/>
      <c r="C1252" s="49"/>
      <c r="D1252" s="45"/>
      <c r="E1252" s="13"/>
      <c r="F1252" s="126"/>
      <c r="G1252" s="200"/>
      <c r="H1252" s="152"/>
      <c r="I1252" s="173"/>
      <c r="J1252" s="192"/>
      <c r="K1252" s="173"/>
      <c r="L1252" s="192"/>
    </row>
    <row r="1253" spans="1:12" ht="12.75">
      <c r="A1253" s="49"/>
      <c r="C1253" s="49"/>
      <c r="D1253" s="45"/>
      <c r="E1253" s="13"/>
      <c r="F1253" s="126"/>
      <c r="G1253" s="200"/>
      <c r="H1253" s="152"/>
      <c r="I1253" s="173"/>
      <c r="J1253" s="192"/>
      <c r="K1253" s="173"/>
      <c r="L1253" s="192"/>
    </row>
    <row r="1254" spans="1:12" ht="12.75">
      <c r="A1254" s="49"/>
      <c r="C1254" s="49"/>
      <c r="D1254" s="45"/>
      <c r="E1254" s="13"/>
      <c r="F1254" s="126"/>
      <c r="G1254" s="200"/>
      <c r="H1254" s="152"/>
      <c r="I1254" s="173"/>
      <c r="J1254" s="192"/>
      <c r="K1254" s="173"/>
      <c r="L1254" s="192"/>
    </row>
    <row r="1255" spans="1:12" ht="12.75">
      <c r="A1255" s="49"/>
      <c r="C1255" s="49"/>
      <c r="D1255" s="45"/>
      <c r="E1255" s="13"/>
      <c r="F1255" s="126"/>
      <c r="G1255" s="200"/>
      <c r="H1255" s="152"/>
      <c r="I1255" s="173"/>
      <c r="J1255" s="192"/>
      <c r="K1255" s="173"/>
      <c r="L1255" s="192"/>
    </row>
    <row r="1256" spans="1:12" ht="12.75">
      <c r="A1256" s="49"/>
      <c r="C1256" s="49"/>
      <c r="D1256" s="45"/>
      <c r="E1256" s="13"/>
      <c r="F1256" s="126"/>
      <c r="G1256" s="200"/>
      <c r="H1256" s="152"/>
      <c r="I1256" s="173"/>
      <c r="J1256" s="192"/>
      <c r="K1256" s="173"/>
      <c r="L1256" s="192"/>
    </row>
    <row r="1257" spans="1:12" ht="12.75">
      <c r="A1257" s="49"/>
      <c r="C1257" s="49"/>
      <c r="D1257" s="45"/>
      <c r="E1257" s="13"/>
      <c r="F1257" s="126"/>
      <c r="G1257" s="200"/>
      <c r="H1257" s="152"/>
      <c r="I1257" s="173"/>
      <c r="J1257" s="192"/>
      <c r="K1257" s="173"/>
      <c r="L1257" s="192"/>
    </row>
    <row r="1258" spans="1:12" ht="12.75">
      <c r="A1258" s="49"/>
      <c r="C1258" s="49"/>
      <c r="D1258" s="45"/>
      <c r="E1258" s="13"/>
      <c r="F1258" s="126"/>
      <c r="G1258" s="200"/>
      <c r="H1258" s="152"/>
      <c r="I1258" s="173"/>
      <c r="J1258" s="192"/>
      <c r="K1258" s="173"/>
      <c r="L1258" s="192"/>
    </row>
    <row r="1259" spans="1:12" ht="12.75">
      <c r="A1259" s="49"/>
      <c r="C1259" s="49"/>
      <c r="D1259" s="45"/>
      <c r="E1259" s="13"/>
      <c r="F1259" s="126"/>
      <c r="G1259" s="200"/>
      <c r="H1259" s="152"/>
      <c r="I1259" s="173"/>
      <c r="J1259" s="192"/>
      <c r="K1259" s="173"/>
      <c r="L1259" s="192"/>
    </row>
    <row r="1260" spans="1:12" ht="12.75">
      <c r="A1260" s="49"/>
      <c r="C1260" s="49"/>
      <c r="D1260" s="45"/>
      <c r="E1260" s="13"/>
      <c r="F1260" s="126"/>
      <c r="G1260" s="200"/>
      <c r="H1260" s="152"/>
      <c r="I1260" s="173"/>
      <c r="J1260" s="192"/>
      <c r="K1260" s="173"/>
      <c r="L1260" s="192"/>
    </row>
    <row r="1261" spans="1:12" ht="12.75">
      <c r="A1261" s="49"/>
      <c r="C1261" s="49"/>
      <c r="D1261" s="45"/>
      <c r="E1261" s="13"/>
      <c r="F1261" s="126"/>
      <c r="G1261" s="200"/>
      <c r="H1261" s="152"/>
      <c r="I1261" s="173"/>
      <c r="J1261" s="192"/>
      <c r="K1261" s="173"/>
      <c r="L1261" s="192"/>
    </row>
    <row r="1262" spans="1:12" ht="12.75">
      <c r="A1262" s="49"/>
      <c r="C1262" s="49"/>
      <c r="D1262" s="45"/>
      <c r="E1262" s="13"/>
      <c r="F1262" s="126"/>
      <c r="G1262" s="200"/>
      <c r="H1262" s="152"/>
      <c r="I1262" s="173"/>
      <c r="J1262" s="192"/>
      <c r="K1262" s="173"/>
      <c r="L1262" s="192"/>
    </row>
    <row r="1263" spans="1:12" ht="12.75">
      <c r="A1263" s="49"/>
      <c r="C1263" s="49"/>
      <c r="D1263" s="45"/>
      <c r="E1263" s="13"/>
      <c r="F1263" s="126"/>
      <c r="G1263" s="200"/>
      <c r="H1263" s="152"/>
      <c r="I1263" s="173"/>
      <c r="J1263" s="192"/>
      <c r="K1263" s="173"/>
      <c r="L1263" s="192"/>
    </row>
    <row r="1264" spans="1:12" ht="12.75">
      <c r="A1264" s="49"/>
      <c r="C1264" s="49"/>
      <c r="D1264" s="45"/>
      <c r="E1264" s="13"/>
      <c r="F1264" s="126"/>
      <c r="G1264" s="200"/>
      <c r="H1264" s="152"/>
      <c r="I1264" s="173"/>
      <c r="J1264" s="192"/>
      <c r="K1264" s="173"/>
      <c r="L1264" s="192"/>
    </row>
    <row r="1265" spans="1:12" ht="12.75">
      <c r="A1265" s="49"/>
      <c r="C1265" s="49"/>
      <c r="D1265" s="45"/>
      <c r="E1265" s="13"/>
      <c r="F1265" s="126"/>
      <c r="G1265" s="200"/>
      <c r="H1265" s="152"/>
      <c r="I1265" s="173"/>
      <c r="J1265" s="192"/>
      <c r="K1265" s="173"/>
      <c r="L1265" s="192"/>
    </row>
    <row r="1266" spans="1:12" ht="12.75">
      <c r="A1266" s="49"/>
      <c r="C1266" s="49"/>
      <c r="D1266" s="45"/>
      <c r="E1266" s="13"/>
      <c r="F1266" s="126"/>
      <c r="G1266" s="200"/>
      <c r="H1266" s="152"/>
      <c r="I1266" s="173"/>
      <c r="J1266" s="192"/>
      <c r="K1266" s="173"/>
      <c r="L1266" s="192"/>
    </row>
    <row r="1267" spans="1:12" ht="12.75">
      <c r="A1267" s="49"/>
      <c r="C1267" s="49"/>
      <c r="D1267" s="45"/>
      <c r="E1267" s="13"/>
      <c r="F1267" s="126"/>
      <c r="G1267" s="200"/>
      <c r="H1267" s="152"/>
      <c r="I1267" s="173"/>
      <c r="J1267" s="192"/>
      <c r="K1267" s="173"/>
      <c r="L1267" s="192"/>
    </row>
    <row r="1268" spans="1:12" ht="12.75">
      <c r="A1268" s="49"/>
      <c r="C1268" s="49"/>
      <c r="D1268" s="45"/>
      <c r="E1268" s="13"/>
      <c r="F1268" s="126"/>
      <c r="G1268" s="200"/>
      <c r="H1268" s="152"/>
      <c r="I1268" s="173"/>
      <c r="J1268" s="192"/>
      <c r="K1268" s="173"/>
      <c r="L1268" s="192"/>
    </row>
    <row r="1269" spans="1:12" ht="12.75">
      <c r="A1269" s="49"/>
      <c r="C1269" s="49"/>
      <c r="D1269" s="45"/>
      <c r="E1269" s="13"/>
      <c r="F1269" s="126"/>
      <c r="G1269" s="200"/>
      <c r="H1269" s="152"/>
      <c r="I1269" s="173"/>
      <c r="J1269" s="192"/>
      <c r="K1269" s="173"/>
      <c r="L1269" s="192"/>
    </row>
    <row r="1270" spans="1:12" ht="12.75">
      <c r="A1270" s="49"/>
      <c r="C1270" s="49"/>
      <c r="D1270" s="45"/>
      <c r="E1270" s="13"/>
      <c r="F1270" s="126"/>
      <c r="G1270" s="200"/>
      <c r="H1270" s="152"/>
      <c r="I1270" s="173"/>
      <c r="J1270" s="192"/>
      <c r="K1270" s="173"/>
      <c r="L1270" s="192"/>
    </row>
    <row r="1271" spans="1:12" ht="12.75">
      <c r="A1271" s="49"/>
      <c r="C1271" s="49"/>
      <c r="D1271" s="45"/>
      <c r="E1271" s="13"/>
      <c r="F1271" s="126"/>
      <c r="G1271" s="200"/>
      <c r="H1271" s="152"/>
      <c r="I1271" s="173"/>
      <c r="J1271" s="192"/>
      <c r="K1271" s="173"/>
      <c r="L1271" s="192"/>
    </row>
    <row r="1272" spans="1:12" ht="12.75">
      <c r="A1272" s="49"/>
      <c r="C1272" s="49"/>
      <c r="D1272" s="45"/>
      <c r="E1272" s="13"/>
      <c r="F1272" s="126"/>
      <c r="G1272" s="200"/>
      <c r="H1272" s="152"/>
      <c r="I1272" s="173"/>
      <c r="J1272" s="192"/>
      <c r="K1272" s="173"/>
      <c r="L1272" s="192"/>
    </row>
    <row r="1273" spans="1:12" ht="12.75">
      <c r="A1273" s="49"/>
      <c r="C1273" s="49"/>
      <c r="D1273" s="45"/>
      <c r="E1273" s="13"/>
      <c r="F1273" s="126"/>
      <c r="G1273" s="200"/>
      <c r="H1273" s="152"/>
      <c r="I1273" s="173"/>
      <c r="J1273" s="192"/>
      <c r="K1273" s="173"/>
      <c r="L1273" s="192"/>
    </row>
    <row r="1274" spans="1:12" ht="12.75">
      <c r="A1274" s="49"/>
      <c r="C1274" s="49"/>
      <c r="D1274" s="45"/>
      <c r="E1274" s="13"/>
      <c r="F1274" s="126"/>
      <c r="G1274" s="200"/>
      <c r="H1274" s="152"/>
      <c r="I1274" s="173"/>
      <c r="J1274" s="192"/>
      <c r="K1274" s="173"/>
      <c r="L1274" s="192"/>
    </row>
    <row r="1275" spans="1:12" ht="12.75">
      <c r="A1275" s="49"/>
      <c r="C1275" s="49"/>
      <c r="D1275" s="45"/>
      <c r="E1275" s="13"/>
      <c r="F1275" s="126"/>
      <c r="G1275" s="200"/>
      <c r="H1275" s="152"/>
      <c r="I1275" s="173"/>
      <c r="J1275" s="192"/>
      <c r="K1275" s="173"/>
      <c r="L1275" s="192"/>
    </row>
    <row r="1276" spans="1:12" ht="12.75">
      <c r="A1276" s="49"/>
      <c r="C1276" s="49"/>
      <c r="D1276" s="45"/>
      <c r="E1276" s="13"/>
      <c r="F1276" s="126"/>
      <c r="G1276" s="200"/>
      <c r="H1276" s="152"/>
      <c r="I1276" s="173"/>
      <c r="J1276" s="192"/>
      <c r="K1276" s="173"/>
      <c r="L1276" s="192"/>
    </row>
    <row r="1277" spans="1:12" ht="12.75">
      <c r="A1277" s="49"/>
      <c r="C1277" s="49"/>
      <c r="D1277" s="45"/>
      <c r="E1277" s="13"/>
      <c r="F1277" s="126"/>
      <c r="G1277" s="200"/>
      <c r="H1277" s="152"/>
      <c r="I1277" s="173"/>
      <c r="J1277" s="192"/>
      <c r="K1277" s="173"/>
      <c r="L1277" s="192"/>
    </row>
    <row r="1278" spans="1:12" ht="12.75">
      <c r="A1278" s="49"/>
      <c r="C1278" s="49"/>
      <c r="D1278" s="45"/>
      <c r="E1278" s="13"/>
      <c r="F1278" s="126"/>
      <c r="G1278" s="200"/>
      <c r="H1278" s="152"/>
      <c r="I1278" s="173"/>
      <c r="J1278" s="192"/>
      <c r="K1278" s="173"/>
      <c r="L1278" s="192"/>
    </row>
    <row r="1279" spans="1:12" ht="12.75">
      <c r="A1279" s="49"/>
      <c r="C1279" s="49"/>
      <c r="D1279" s="45"/>
      <c r="E1279" s="13"/>
      <c r="F1279" s="126"/>
      <c r="G1279" s="200"/>
      <c r="H1279" s="152"/>
      <c r="I1279" s="173"/>
      <c r="J1279" s="192"/>
      <c r="K1279" s="173"/>
      <c r="L1279" s="192"/>
    </row>
    <row r="1280" spans="1:12" ht="12.75">
      <c r="A1280" s="49"/>
      <c r="C1280" s="49"/>
      <c r="D1280" s="45"/>
      <c r="E1280" s="13"/>
      <c r="F1280" s="126"/>
      <c r="G1280" s="200"/>
      <c r="H1280" s="152"/>
      <c r="I1280" s="173"/>
      <c r="J1280" s="192"/>
      <c r="K1280" s="173"/>
      <c r="L1280" s="192"/>
    </row>
    <row r="1281" spans="1:12" ht="12.75">
      <c r="A1281" s="49"/>
      <c r="C1281" s="49"/>
      <c r="D1281" s="45"/>
      <c r="E1281" s="13"/>
      <c r="F1281" s="126"/>
      <c r="G1281" s="200"/>
      <c r="H1281" s="152"/>
      <c r="I1281" s="173"/>
      <c r="J1281" s="192"/>
      <c r="K1281" s="173"/>
      <c r="L1281" s="192"/>
    </row>
    <row r="1282" spans="1:12" ht="12.75">
      <c r="A1282" s="49"/>
      <c r="C1282" s="49"/>
      <c r="D1282" s="45"/>
      <c r="E1282" s="13"/>
      <c r="F1282" s="126"/>
      <c r="G1282" s="200"/>
      <c r="H1282" s="152"/>
      <c r="I1282" s="173"/>
      <c r="J1282" s="192"/>
      <c r="K1282" s="173"/>
      <c r="L1282" s="192"/>
    </row>
    <row r="1283" spans="1:12" ht="12.75">
      <c r="A1283" s="49"/>
      <c r="C1283" s="49"/>
      <c r="D1283" s="45"/>
      <c r="E1283" s="13"/>
      <c r="F1283" s="126"/>
      <c r="G1283" s="200"/>
      <c r="H1283" s="152"/>
      <c r="I1283" s="173"/>
      <c r="J1283" s="192"/>
      <c r="K1283" s="173"/>
      <c r="L1283" s="192"/>
    </row>
    <row r="1284" spans="1:12" ht="12.75">
      <c r="A1284" s="49"/>
      <c r="C1284" s="49"/>
      <c r="D1284" s="45"/>
      <c r="E1284" s="13"/>
      <c r="F1284" s="126"/>
      <c r="G1284" s="200"/>
      <c r="H1284" s="152"/>
      <c r="I1284" s="173"/>
      <c r="J1284" s="192"/>
      <c r="K1284" s="173"/>
      <c r="L1284" s="192"/>
    </row>
    <row r="1285" spans="1:12" ht="12.75">
      <c r="A1285" s="49"/>
      <c r="C1285" s="49"/>
      <c r="D1285" s="45"/>
      <c r="E1285" s="13"/>
      <c r="F1285" s="126"/>
      <c r="G1285" s="200"/>
      <c r="H1285" s="152"/>
      <c r="I1285" s="173"/>
      <c r="J1285" s="192"/>
      <c r="K1285" s="173"/>
      <c r="L1285" s="192"/>
    </row>
    <row r="1286" spans="1:12" ht="12.75">
      <c r="A1286" s="49"/>
      <c r="C1286" s="49"/>
      <c r="D1286" s="45"/>
      <c r="E1286" s="13"/>
      <c r="F1286" s="126"/>
      <c r="G1286" s="200"/>
      <c r="H1286" s="152"/>
      <c r="I1286" s="173"/>
      <c r="J1286" s="192"/>
      <c r="K1286" s="173"/>
      <c r="L1286" s="192"/>
    </row>
    <row r="1287" spans="1:12" ht="12.75">
      <c r="A1287" s="49"/>
      <c r="C1287" s="49"/>
      <c r="D1287" s="45"/>
      <c r="E1287" s="13"/>
      <c r="F1287" s="126"/>
      <c r="G1287" s="200"/>
      <c r="H1287" s="152"/>
      <c r="I1287" s="173"/>
      <c r="J1287" s="192"/>
      <c r="K1287" s="173"/>
      <c r="L1287" s="192"/>
    </row>
    <row r="1288" spans="1:12" ht="12.75">
      <c r="A1288" s="49"/>
      <c r="C1288" s="49"/>
      <c r="D1288" s="45"/>
      <c r="E1288" s="13"/>
      <c r="F1288" s="126"/>
      <c r="G1288" s="200"/>
      <c r="H1288" s="152"/>
      <c r="I1288" s="173"/>
      <c r="J1288" s="192"/>
      <c r="K1288" s="173"/>
      <c r="L1288" s="192"/>
    </row>
    <row r="1289" spans="1:12" ht="12.75">
      <c r="A1289" s="49"/>
      <c r="C1289" s="49"/>
      <c r="D1289" s="45"/>
      <c r="E1289" s="13"/>
      <c r="F1289" s="126"/>
      <c r="G1289" s="200"/>
      <c r="H1289" s="152"/>
      <c r="I1289" s="173"/>
      <c r="J1289" s="192"/>
      <c r="K1289" s="173"/>
      <c r="L1289" s="192"/>
    </row>
    <row r="1290" spans="1:12" ht="12.75">
      <c r="A1290" s="49"/>
      <c r="C1290" s="49"/>
      <c r="D1290" s="45"/>
      <c r="E1290" s="13"/>
      <c r="F1290" s="126"/>
      <c r="G1290" s="200"/>
      <c r="H1290" s="152"/>
      <c r="I1290" s="173"/>
      <c r="J1290" s="192"/>
      <c r="K1290" s="173"/>
      <c r="L1290" s="192"/>
    </row>
    <row r="1291" spans="1:12" ht="12.75">
      <c r="A1291" s="49"/>
      <c r="C1291" s="49"/>
      <c r="D1291" s="45"/>
      <c r="E1291" s="13"/>
      <c r="F1291" s="126"/>
      <c r="G1291" s="200"/>
      <c r="H1291" s="152"/>
      <c r="I1291" s="173"/>
      <c r="J1291" s="192"/>
      <c r="K1291" s="173"/>
      <c r="L1291" s="192"/>
    </row>
    <row r="1292" spans="1:12" ht="12.75">
      <c r="A1292" s="49"/>
      <c r="C1292" s="49"/>
      <c r="D1292" s="45"/>
      <c r="E1292" s="13"/>
      <c r="F1292" s="126"/>
      <c r="G1292" s="200"/>
      <c r="H1292" s="152"/>
      <c r="I1292" s="173"/>
      <c r="J1292" s="192"/>
      <c r="K1292" s="173"/>
      <c r="L1292" s="192"/>
    </row>
    <row r="1293" spans="1:12" ht="12.75">
      <c r="A1293" s="49"/>
      <c r="C1293" s="49"/>
      <c r="D1293" s="45"/>
      <c r="E1293" s="13"/>
      <c r="F1293" s="126"/>
      <c r="G1293" s="200"/>
      <c r="H1293" s="152"/>
      <c r="I1293" s="173"/>
      <c r="J1293" s="192"/>
      <c r="K1293" s="173"/>
      <c r="L1293" s="192"/>
    </row>
    <row r="1294" spans="1:12" ht="12.75">
      <c r="A1294" s="49"/>
      <c r="C1294" s="49"/>
      <c r="D1294" s="45"/>
      <c r="E1294" s="13"/>
      <c r="F1294" s="126"/>
      <c r="G1294" s="200"/>
      <c r="H1294" s="152"/>
      <c r="I1294" s="173"/>
      <c r="J1294" s="192"/>
      <c r="K1294" s="173"/>
      <c r="L1294" s="192"/>
    </row>
    <row r="1295" spans="1:12" ht="12.75">
      <c r="A1295" s="49"/>
      <c r="C1295" s="49"/>
      <c r="D1295" s="45"/>
      <c r="E1295" s="13"/>
      <c r="F1295" s="126"/>
      <c r="G1295" s="200"/>
      <c r="H1295" s="152"/>
      <c r="I1295" s="173"/>
      <c r="J1295" s="192"/>
      <c r="K1295" s="173"/>
      <c r="L1295" s="192"/>
    </row>
    <row r="1296" spans="1:12" ht="12.75">
      <c r="A1296" s="49"/>
      <c r="C1296" s="49"/>
      <c r="D1296" s="45"/>
      <c r="E1296" s="13"/>
      <c r="F1296" s="126"/>
      <c r="G1296" s="200"/>
      <c r="H1296" s="152"/>
      <c r="I1296" s="173"/>
      <c r="J1296" s="192"/>
      <c r="K1296" s="173"/>
      <c r="L1296" s="192"/>
    </row>
    <row r="1297" spans="1:12" ht="12.75">
      <c r="A1297" s="49"/>
      <c r="C1297" s="49"/>
      <c r="D1297" s="45"/>
      <c r="E1297" s="13"/>
      <c r="F1297" s="126"/>
      <c r="G1297" s="200"/>
      <c r="H1297" s="152"/>
      <c r="I1297" s="173"/>
      <c r="J1297" s="192"/>
      <c r="K1297" s="173"/>
      <c r="L1297" s="192"/>
    </row>
    <row r="1298" spans="1:12" ht="12.75">
      <c r="A1298" s="49"/>
      <c r="C1298" s="49"/>
      <c r="D1298" s="45"/>
      <c r="E1298" s="13"/>
      <c r="F1298" s="126"/>
      <c r="G1298" s="200"/>
      <c r="H1298" s="152"/>
      <c r="I1298" s="173"/>
      <c r="J1298" s="192"/>
      <c r="K1298" s="173"/>
      <c r="L1298" s="192"/>
    </row>
    <row r="1299" spans="1:12" ht="12.75">
      <c r="A1299" s="49"/>
      <c r="C1299" s="49"/>
      <c r="D1299" s="45"/>
      <c r="E1299" s="13"/>
      <c r="F1299" s="126"/>
      <c r="G1299" s="200"/>
      <c r="H1299" s="152"/>
      <c r="I1299" s="173"/>
      <c r="J1299" s="192"/>
      <c r="K1299" s="173"/>
      <c r="L1299" s="192"/>
    </row>
    <row r="1300" spans="1:12" ht="12.75">
      <c r="A1300" s="49"/>
      <c r="C1300" s="49"/>
      <c r="D1300" s="45"/>
      <c r="E1300" s="13"/>
      <c r="F1300" s="126"/>
      <c r="G1300" s="200"/>
      <c r="H1300" s="152"/>
      <c r="I1300" s="173"/>
      <c r="J1300" s="192"/>
      <c r="K1300" s="173"/>
      <c r="L1300" s="192"/>
    </row>
    <row r="1301" spans="1:12" ht="12.75">
      <c r="A1301" s="49"/>
      <c r="C1301" s="49"/>
      <c r="D1301" s="45"/>
      <c r="E1301" s="13"/>
      <c r="F1301" s="126"/>
      <c r="G1301" s="200"/>
      <c r="H1301" s="152"/>
      <c r="I1301" s="173"/>
      <c r="J1301" s="192"/>
      <c r="K1301" s="173"/>
      <c r="L1301" s="192"/>
    </row>
    <row r="1302" spans="1:12" ht="12.75">
      <c r="A1302" s="49"/>
      <c r="C1302" s="49"/>
      <c r="D1302" s="45"/>
      <c r="E1302" s="13"/>
      <c r="F1302" s="126"/>
      <c r="G1302" s="200"/>
      <c r="H1302" s="152"/>
      <c r="I1302" s="173"/>
      <c r="J1302" s="192"/>
      <c r="K1302" s="173"/>
      <c r="L1302" s="192"/>
    </row>
    <row r="1303" spans="1:12" ht="12.75">
      <c r="A1303" s="49"/>
      <c r="C1303" s="49"/>
      <c r="D1303" s="45"/>
      <c r="E1303" s="13"/>
      <c r="F1303" s="126"/>
      <c r="G1303" s="200"/>
      <c r="H1303" s="152"/>
      <c r="I1303" s="173"/>
      <c r="J1303" s="192"/>
      <c r="K1303" s="173"/>
      <c r="L1303" s="192"/>
    </row>
    <row r="1304" spans="1:12" ht="12.75">
      <c r="A1304" s="49"/>
      <c r="C1304" s="49"/>
      <c r="D1304" s="45"/>
      <c r="E1304" s="13"/>
      <c r="F1304" s="126"/>
      <c r="G1304" s="200"/>
      <c r="H1304" s="152"/>
      <c r="I1304" s="173"/>
      <c r="J1304" s="192"/>
      <c r="K1304" s="173"/>
      <c r="L1304" s="192"/>
    </row>
    <row r="1305" spans="1:12" ht="12.75">
      <c r="A1305" s="49"/>
      <c r="C1305" s="49"/>
      <c r="D1305" s="45"/>
      <c r="E1305" s="13"/>
      <c r="F1305" s="126"/>
      <c r="G1305" s="200"/>
      <c r="H1305" s="152"/>
      <c r="I1305" s="173"/>
      <c r="J1305" s="192"/>
      <c r="K1305" s="173"/>
      <c r="L1305" s="192"/>
    </row>
    <row r="1306" spans="1:12" ht="12.75">
      <c r="A1306" s="49"/>
      <c r="C1306" s="49"/>
      <c r="D1306" s="45"/>
      <c r="E1306" s="13"/>
      <c r="F1306" s="126"/>
      <c r="G1306" s="200"/>
      <c r="H1306" s="152"/>
      <c r="I1306" s="173"/>
      <c r="J1306" s="192"/>
      <c r="K1306" s="173"/>
      <c r="L1306" s="192"/>
    </row>
    <row r="1307" spans="1:12" ht="12.75">
      <c r="A1307" s="49"/>
      <c r="C1307" s="49"/>
      <c r="D1307" s="45"/>
      <c r="E1307" s="13"/>
      <c r="F1307" s="126"/>
      <c r="G1307" s="200"/>
      <c r="H1307" s="152"/>
      <c r="I1307" s="173"/>
      <c r="J1307" s="192"/>
      <c r="K1307" s="173"/>
      <c r="L1307" s="192"/>
    </row>
    <row r="1308" spans="1:12" ht="12.75">
      <c r="A1308" s="49"/>
      <c r="C1308" s="49"/>
      <c r="D1308" s="45"/>
      <c r="E1308" s="13"/>
      <c r="F1308" s="126"/>
      <c r="G1308" s="200"/>
      <c r="H1308" s="152"/>
      <c r="I1308" s="173"/>
      <c r="J1308" s="192"/>
      <c r="K1308" s="173"/>
      <c r="L1308" s="192"/>
    </row>
    <row r="1309" spans="1:12" ht="12.75">
      <c r="A1309" s="49"/>
      <c r="C1309" s="49"/>
      <c r="D1309" s="45"/>
      <c r="E1309" s="13"/>
      <c r="F1309" s="126"/>
      <c r="G1309" s="200"/>
      <c r="H1309" s="152"/>
      <c r="I1309" s="173"/>
      <c r="J1309" s="192"/>
      <c r="K1309" s="173"/>
      <c r="L1309" s="192"/>
    </row>
    <row r="1310" spans="1:12" ht="12.75">
      <c r="A1310" s="49"/>
      <c r="C1310" s="49"/>
      <c r="D1310" s="45"/>
      <c r="E1310" s="13"/>
      <c r="F1310" s="126"/>
      <c r="G1310" s="200"/>
      <c r="H1310" s="152"/>
      <c r="I1310" s="173"/>
      <c r="J1310" s="192"/>
      <c r="K1310" s="173"/>
      <c r="L1310" s="192"/>
    </row>
    <row r="1311" spans="1:12" ht="12.75">
      <c r="A1311" s="49"/>
      <c r="C1311" s="49"/>
      <c r="D1311" s="45"/>
      <c r="E1311" s="13"/>
      <c r="F1311" s="126"/>
      <c r="G1311" s="200"/>
      <c r="H1311" s="152"/>
      <c r="I1311" s="173"/>
      <c r="J1311" s="192"/>
      <c r="K1311" s="173"/>
      <c r="L1311" s="192"/>
    </row>
    <row r="1312" spans="1:12" ht="12.75">
      <c r="A1312" s="49"/>
      <c r="C1312" s="49"/>
      <c r="D1312" s="45"/>
      <c r="E1312" s="13"/>
      <c r="F1312" s="126"/>
      <c r="G1312" s="200"/>
      <c r="H1312" s="152"/>
      <c r="I1312" s="173"/>
      <c r="J1312" s="192"/>
      <c r="K1312" s="173"/>
      <c r="L1312" s="192"/>
    </row>
    <row r="1313" spans="1:12" ht="12.75">
      <c r="A1313" s="49"/>
      <c r="C1313" s="49"/>
      <c r="D1313" s="45"/>
      <c r="E1313" s="13"/>
      <c r="F1313" s="126"/>
      <c r="G1313" s="200"/>
      <c r="H1313" s="152"/>
      <c r="I1313" s="173"/>
      <c r="J1313" s="192"/>
      <c r="K1313" s="173"/>
      <c r="L1313" s="192"/>
    </row>
    <row r="1314" spans="1:12" ht="12.75">
      <c r="A1314" s="49"/>
      <c r="C1314" s="49"/>
      <c r="D1314" s="45"/>
      <c r="E1314" s="13"/>
      <c r="F1314" s="126"/>
      <c r="G1314" s="200"/>
      <c r="H1314" s="152"/>
      <c r="I1314" s="173"/>
      <c r="J1314" s="192"/>
      <c r="K1314" s="173"/>
      <c r="L1314" s="192"/>
    </row>
    <row r="1315" spans="1:12" ht="12.75">
      <c r="A1315" s="49"/>
      <c r="C1315" s="49"/>
      <c r="D1315" s="45"/>
      <c r="E1315" s="13"/>
      <c r="F1315" s="126"/>
      <c r="G1315" s="200"/>
      <c r="H1315" s="152"/>
      <c r="I1315" s="173"/>
      <c r="J1315" s="192"/>
      <c r="K1315" s="173"/>
      <c r="L1315" s="192"/>
    </row>
    <row r="1316" spans="1:12" ht="12.75">
      <c r="A1316" s="49"/>
      <c r="C1316" s="49"/>
      <c r="D1316" s="45"/>
      <c r="E1316" s="13"/>
      <c r="F1316" s="126"/>
      <c r="G1316" s="200"/>
      <c r="H1316" s="152"/>
      <c r="I1316" s="173"/>
      <c r="J1316" s="192"/>
      <c r="K1316" s="173"/>
      <c r="L1316" s="192"/>
    </row>
    <row r="1317" spans="1:12" ht="12.75">
      <c r="A1317" s="49"/>
      <c r="C1317" s="49"/>
      <c r="D1317" s="45"/>
      <c r="E1317" s="13"/>
      <c r="F1317" s="126"/>
      <c r="G1317" s="200"/>
      <c r="H1317" s="152"/>
      <c r="I1317" s="173"/>
      <c r="J1317" s="192"/>
      <c r="K1317" s="173"/>
      <c r="L1317" s="192"/>
    </row>
    <row r="1318" spans="1:12" ht="12.75">
      <c r="A1318" s="49"/>
      <c r="C1318" s="49"/>
      <c r="D1318" s="45"/>
      <c r="E1318" s="13"/>
      <c r="F1318" s="126"/>
      <c r="G1318" s="200"/>
      <c r="H1318" s="152"/>
      <c r="I1318" s="173"/>
      <c r="J1318" s="192"/>
      <c r="K1318" s="173"/>
      <c r="L1318" s="192"/>
    </row>
    <row r="1319" spans="1:12" ht="12.75">
      <c r="A1319" s="49"/>
      <c r="C1319" s="49"/>
      <c r="D1319" s="45"/>
      <c r="E1319" s="13"/>
      <c r="F1319" s="126"/>
      <c r="G1319" s="200"/>
      <c r="H1319" s="152"/>
      <c r="I1319" s="173"/>
      <c r="J1319" s="192"/>
      <c r="K1319" s="173"/>
      <c r="L1319" s="192"/>
    </row>
    <row r="1320" spans="1:12" ht="12.75">
      <c r="A1320" s="49"/>
      <c r="C1320" s="49"/>
      <c r="D1320" s="45"/>
      <c r="E1320" s="13"/>
      <c r="F1320" s="126"/>
      <c r="G1320" s="200"/>
      <c r="H1320" s="152"/>
      <c r="I1320" s="173"/>
      <c r="J1320" s="192"/>
      <c r="K1320" s="173"/>
      <c r="L1320" s="192"/>
    </row>
    <row r="1321" spans="1:12" ht="12.75">
      <c r="A1321" s="49"/>
      <c r="C1321" s="49"/>
      <c r="D1321" s="45"/>
      <c r="E1321" s="13"/>
      <c r="F1321" s="126"/>
      <c r="G1321" s="200"/>
      <c r="H1321" s="152"/>
      <c r="I1321" s="173"/>
      <c r="J1321" s="192"/>
      <c r="K1321" s="173"/>
      <c r="L1321" s="192"/>
    </row>
    <row r="1322" spans="1:12" ht="12.75">
      <c r="A1322" s="49"/>
      <c r="C1322" s="49"/>
      <c r="D1322" s="45"/>
      <c r="E1322" s="13"/>
      <c r="F1322" s="126"/>
      <c r="G1322" s="200"/>
      <c r="H1322" s="152"/>
      <c r="I1322" s="173"/>
      <c r="J1322" s="192"/>
      <c r="K1322" s="173"/>
      <c r="L1322" s="192"/>
    </row>
    <row r="1323" spans="1:12" ht="12.75">
      <c r="A1323" s="49"/>
      <c r="C1323" s="49"/>
      <c r="D1323" s="45"/>
      <c r="E1323" s="13"/>
      <c r="F1323" s="126"/>
      <c r="G1323" s="200"/>
      <c r="H1323" s="152"/>
      <c r="I1323" s="173"/>
      <c r="J1323" s="192"/>
      <c r="K1323" s="173"/>
      <c r="L1323" s="192"/>
    </row>
    <row r="1324" spans="1:12" ht="12.75">
      <c r="A1324" s="49"/>
      <c r="C1324" s="49"/>
      <c r="D1324" s="45"/>
      <c r="E1324" s="13"/>
      <c r="F1324" s="126"/>
      <c r="G1324" s="200"/>
      <c r="H1324" s="152"/>
      <c r="I1324" s="173"/>
      <c r="J1324" s="192"/>
      <c r="K1324" s="173"/>
      <c r="L1324" s="192"/>
    </row>
    <row r="1325" spans="1:12" ht="12.75">
      <c r="A1325" s="49"/>
      <c r="C1325" s="49"/>
      <c r="D1325" s="45"/>
      <c r="E1325" s="13"/>
      <c r="F1325" s="126"/>
      <c r="G1325" s="200"/>
      <c r="H1325" s="152"/>
      <c r="I1325" s="173"/>
      <c r="J1325" s="192"/>
      <c r="K1325" s="173"/>
      <c r="L1325" s="192"/>
    </row>
    <row r="1326" spans="1:12" ht="12.75">
      <c r="A1326" s="49"/>
      <c r="C1326" s="49"/>
      <c r="D1326" s="45"/>
      <c r="E1326" s="13"/>
      <c r="F1326" s="126"/>
      <c r="G1326" s="200"/>
      <c r="H1326" s="152"/>
      <c r="I1326" s="173"/>
      <c r="J1326" s="192"/>
      <c r="K1326" s="173"/>
      <c r="L1326" s="192"/>
    </row>
    <row r="1327" spans="1:12" ht="12.75">
      <c r="A1327" s="49"/>
      <c r="C1327" s="49"/>
      <c r="D1327" s="45"/>
      <c r="E1327" s="13"/>
      <c r="F1327" s="126"/>
      <c r="G1327" s="200"/>
      <c r="H1327" s="152"/>
      <c r="I1327" s="173"/>
      <c r="J1327" s="192"/>
      <c r="K1327" s="173"/>
      <c r="L1327" s="192"/>
    </row>
    <row r="1328" spans="1:12" ht="12.75">
      <c r="A1328" s="49"/>
      <c r="C1328" s="49"/>
      <c r="D1328" s="45"/>
      <c r="E1328" s="13"/>
      <c r="F1328" s="126"/>
      <c r="G1328" s="200"/>
      <c r="H1328" s="152"/>
      <c r="I1328" s="173"/>
      <c r="J1328" s="192"/>
      <c r="K1328" s="173"/>
      <c r="L1328" s="192"/>
    </row>
    <row r="1329" spans="1:12" ht="12.75">
      <c r="A1329" s="49"/>
      <c r="C1329" s="49"/>
      <c r="D1329" s="45"/>
      <c r="E1329" s="13"/>
      <c r="F1329" s="126"/>
      <c r="G1329" s="200"/>
      <c r="H1329" s="152"/>
      <c r="I1329" s="173"/>
      <c r="J1329" s="192"/>
      <c r="K1329" s="173"/>
      <c r="L1329" s="192"/>
    </row>
    <row r="1330" spans="1:12" ht="12.75">
      <c r="A1330" s="49"/>
      <c r="C1330" s="49"/>
      <c r="D1330" s="45"/>
      <c r="E1330" s="13"/>
      <c r="F1330" s="126"/>
      <c r="G1330" s="200"/>
      <c r="H1330" s="152"/>
      <c r="I1330" s="173"/>
      <c r="J1330" s="192"/>
      <c r="K1330" s="173"/>
      <c r="L1330" s="192"/>
    </row>
    <row r="1331" spans="1:12" ht="12.75">
      <c r="A1331" s="49"/>
      <c r="C1331" s="49"/>
      <c r="D1331" s="45"/>
      <c r="E1331" s="13"/>
      <c r="F1331" s="126"/>
      <c r="G1331" s="200"/>
      <c r="H1331" s="152"/>
      <c r="I1331" s="173"/>
      <c r="J1331" s="192"/>
      <c r="K1331" s="173"/>
      <c r="L1331" s="192"/>
    </row>
    <row r="1332" spans="1:12" ht="12.75">
      <c r="A1332" s="49"/>
      <c r="C1332" s="49"/>
      <c r="D1332" s="45"/>
      <c r="E1332" s="13"/>
      <c r="F1332" s="126"/>
      <c r="G1332" s="200"/>
      <c r="H1332" s="152"/>
      <c r="I1332" s="173"/>
      <c r="J1332" s="192"/>
      <c r="K1332" s="173"/>
      <c r="L1332" s="192"/>
    </row>
    <row r="1333" spans="1:12" ht="12.75">
      <c r="A1333" s="49"/>
      <c r="C1333" s="49"/>
      <c r="D1333" s="45"/>
      <c r="E1333" s="13"/>
      <c r="F1333" s="126"/>
      <c r="G1333" s="200"/>
      <c r="H1333" s="152"/>
      <c r="I1333" s="173"/>
      <c r="J1333" s="192"/>
      <c r="K1333" s="173"/>
      <c r="L1333" s="192"/>
    </row>
    <row r="1334" spans="1:12" ht="12.75">
      <c r="A1334" s="49"/>
      <c r="C1334" s="49"/>
      <c r="D1334" s="45"/>
      <c r="E1334" s="13"/>
      <c r="F1334" s="126"/>
      <c r="G1334" s="200"/>
      <c r="H1334" s="152"/>
      <c r="I1334" s="173"/>
      <c r="J1334" s="192"/>
      <c r="K1334" s="173"/>
      <c r="L1334" s="192"/>
    </row>
    <row r="1335" spans="1:12" ht="12.75">
      <c r="A1335" s="49"/>
      <c r="C1335" s="49"/>
      <c r="D1335" s="45"/>
      <c r="E1335" s="13"/>
      <c r="F1335" s="126"/>
      <c r="G1335" s="200"/>
      <c r="H1335" s="152"/>
      <c r="I1335" s="173"/>
      <c r="J1335" s="192"/>
      <c r="K1335" s="173"/>
      <c r="L1335" s="192"/>
    </row>
    <row r="1336" spans="1:12" ht="12.75">
      <c r="A1336" s="49"/>
      <c r="C1336" s="49"/>
      <c r="D1336" s="45"/>
      <c r="E1336" s="13"/>
      <c r="F1336" s="126"/>
      <c r="G1336" s="200"/>
      <c r="H1336" s="152"/>
      <c r="I1336" s="173"/>
      <c r="J1336" s="192"/>
      <c r="K1336" s="173"/>
      <c r="L1336" s="192"/>
    </row>
    <row r="1337" spans="1:12" ht="12.75">
      <c r="A1337" s="49"/>
      <c r="C1337" s="49"/>
      <c r="D1337" s="45"/>
      <c r="E1337" s="13"/>
      <c r="F1337" s="126"/>
      <c r="G1337" s="200"/>
      <c r="H1337" s="152"/>
      <c r="I1337" s="173"/>
      <c r="J1337" s="192"/>
      <c r="K1337" s="173"/>
      <c r="L1337" s="192"/>
    </row>
    <row r="1338" spans="1:12" ht="12.75">
      <c r="A1338" s="49"/>
      <c r="C1338" s="49"/>
      <c r="D1338" s="45"/>
      <c r="E1338" s="13"/>
      <c r="F1338" s="126"/>
      <c r="G1338" s="200"/>
      <c r="H1338" s="152"/>
      <c r="I1338" s="173"/>
      <c r="J1338" s="192"/>
      <c r="K1338" s="173"/>
      <c r="L1338" s="192"/>
    </row>
    <row r="1339" spans="1:12" ht="12.75">
      <c r="A1339" s="49"/>
      <c r="C1339" s="49"/>
      <c r="D1339" s="45"/>
      <c r="E1339" s="13"/>
      <c r="F1339" s="126"/>
      <c r="G1339" s="200"/>
      <c r="H1339" s="152"/>
      <c r="I1339" s="173"/>
      <c r="J1339" s="192"/>
      <c r="K1339" s="173"/>
      <c r="L1339" s="192"/>
    </row>
    <row r="1340" spans="1:12" ht="12.75">
      <c r="A1340" s="49"/>
      <c r="C1340" s="49"/>
      <c r="D1340" s="45"/>
      <c r="E1340" s="13"/>
      <c r="F1340" s="126"/>
      <c r="G1340" s="200"/>
      <c r="H1340" s="152"/>
      <c r="I1340" s="173"/>
      <c r="J1340" s="192"/>
      <c r="K1340" s="173"/>
      <c r="L1340" s="192"/>
    </row>
    <row r="1341" spans="1:12" ht="12.75">
      <c r="A1341" s="49"/>
      <c r="C1341" s="49"/>
      <c r="D1341" s="45"/>
      <c r="E1341" s="13"/>
      <c r="F1341" s="126"/>
      <c r="G1341" s="200"/>
      <c r="H1341" s="152"/>
      <c r="I1341" s="173"/>
      <c r="J1341" s="192"/>
      <c r="K1341" s="173"/>
      <c r="L1341" s="192"/>
    </row>
    <row r="1342" spans="1:12" ht="12.75">
      <c r="A1342" s="49"/>
      <c r="C1342" s="49"/>
      <c r="D1342" s="45"/>
      <c r="E1342" s="13"/>
      <c r="F1342" s="126"/>
      <c r="G1342" s="200"/>
      <c r="H1342" s="152"/>
      <c r="I1342" s="173"/>
      <c r="J1342" s="192"/>
      <c r="K1342" s="173"/>
      <c r="L1342" s="192"/>
    </row>
    <row r="1343" spans="1:12" ht="12.75">
      <c r="A1343" s="49"/>
      <c r="C1343" s="49"/>
      <c r="D1343" s="45"/>
      <c r="E1343" s="13"/>
      <c r="F1343" s="126"/>
      <c r="G1343" s="200"/>
      <c r="H1343" s="152"/>
      <c r="I1343" s="173"/>
      <c r="J1343" s="192"/>
      <c r="K1343" s="173"/>
      <c r="L1343" s="192"/>
    </row>
    <row r="1344" spans="1:12" ht="12.75">
      <c r="A1344" s="49"/>
      <c r="C1344" s="49"/>
      <c r="D1344" s="45"/>
      <c r="E1344" s="13"/>
      <c r="F1344" s="126"/>
      <c r="G1344" s="200"/>
      <c r="H1344" s="152"/>
      <c r="I1344" s="173"/>
      <c r="J1344" s="192"/>
      <c r="K1344" s="173"/>
      <c r="L1344" s="192"/>
    </row>
    <row r="1345" spans="1:12" ht="12.75">
      <c r="A1345" s="49"/>
      <c r="C1345" s="49"/>
      <c r="D1345" s="45"/>
      <c r="E1345" s="13"/>
      <c r="F1345" s="126"/>
      <c r="G1345" s="200"/>
      <c r="H1345" s="152"/>
      <c r="I1345" s="173"/>
      <c r="J1345" s="192"/>
      <c r="K1345" s="173"/>
      <c r="L1345" s="192"/>
    </row>
    <row r="1346" spans="1:12" ht="12.75">
      <c r="A1346" s="49"/>
      <c r="C1346" s="49"/>
      <c r="D1346" s="45"/>
      <c r="E1346" s="13"/>
      <c r="F1346" s="126"/>
      <c r="G1346" s="200"/>
      <c r="H1346" s="152"/>
      <c r="I1346" s="173"/>
      <c r="J1346" s="192"/>
      <c r="K1346" s="173"/>
      <c r="L1346" s="192"/>
    </row>
    <row r="1347" spans="1:12" ht="12.75">
      <c r="A1347" s="49"/>
      <c r="C1347" s="49"/>
      <c r="D1347" s="45"/>
      <c r="E1347" s="13"/>
      <c r="F1347" s="126"/>
      <c r="G1347" s="200"/>
      <c r="H1347" s="152"/>
      <c r="I1347" s="173"/>
      <c r="J1347" s="192"/>
      <c r="K1347" s="173"/>
      <c r="L1347" s="192"/>
    </row>
    <row r="1348" spans="1:12" ht="12.75">
      <c r="A1348" s="49"/>
      <c r="C1348" s="49"/>
      <c r="D1348" s="45"/>
      <c r="E1348" s="13"/>
      <c r="F1348" s="126"/>
      <c r="G1348" s="200"/>
      <c r="H1348" s="152"/>
      <c r="I1348" s="173"/>
      <c r="J1348" s="192"/>
      <c r="K1348" s="173"/>
      <c r="L1348" s="192"/>
    </row>
    <row r="1349" spans="1:12" ht="12.75">
      <c r="A1349" s="49"/>
      <c r="C1349" s="49"/>
      <c r="D1349" s="45"/>
      <c r="E1349" s="13"/>
      <c r="F1349" s="126"/>
      <c r="G1349" s="200"/>
      <c r="H1349" s="152"/>
      <c r="I1349" s="173"/>
      <c r="J1349" s="192"/>
      <c r="K1349" s="173"/>
      <c r="L1349" s="192"/>
    </row>
    <row r="1350" spans="1:12" ht="12.75">
      <c r="A1350" s="49"/>
      <c r="C1350" s="49"/>
      <c r="D1350" s="45"/>
      <c r="E1350" s="13"/>
      <c r="F1350" s="126"/>
      <c r="G1350" s="200"/>
      <c r="H1350" s="152"/>
      <c r="I1350" s="173"/>
      <c r="J1350" s="192"/>
      <c r="K1350" s="173"/>
      <c r="L1350" s="192"/>
    </row>
    <row r="1351" spans="1:12" ht="12.75">
      <c r="A1351" s="49"/>
      <c r="C1351" s="49"/>
      <c r="D1351" s="45"/>
      <c r="E1351" s="13"/>
      <c r="F1351" s="126"/>
      <c r="G1351" s="200"/>
      <c r="H1351" s="152"/>
      <c r="I1351" s="173"/>
      <c r="J1351" s="192"/>
      <c r="K1351" s="173"/>
      <c r="L1351" s="192"/>
    </row>
    <row r="1352" spans="1:12" ht="12.75">
      <c r="A1352" s="49"/>
      <c r="C1352" s="49"/>
      <c r="D1352" s="45"/>
      <c r="E1352" s="13"/>
      <c r="F1352" s="126"/>
      <c r="G1352" s="200"/>
      <c r="H1352" s="152"/>
      <c r="I1352" s="173"/>
      <c r="J1352" s="192"/>
      <c r="K1352" s="173"/>
      <c r="L1352" s="192"/>
    </row>
    <row r="1353" spans="1:12" ht="12.75">
      <c r="A1353" s="49"/>
      <c r="C1353" s="49"/>
      <c r="D1353" s="45"/>
      <c r="E1353" s="13"/>
      <c r="F1353" s="126"/>
      <c r="G1353" s="200"/>
      <c r="H1353" s="152"/>
      <c r="I1353" s="173"/>
      <c r="J1353" s="192"/>
      <c r="K1353" s="173"/>
      <c r="L1353" s="192"/>
    </row>
    <row r="1354" spans="1:12" ht="12.75">
      <c r="A1354" s="49"/>
      <c r="C1354" s="49"/>
      <c r="D1354" s="45"/>
      <c r="E1354" s="13"/>
      <c r="F1354" s="126"/>
      <c r="G1354" s="200"/>
      <c r="H1354" s="152"/>
      <c r="I1354" s="173"/>
      <c r="J1354" s="192"/>
      <c r="K1354" s="173"/>
      <c r="L1354" s="192"/>
    </row>
    <row r="1355" spans="1:12" ht="12.75">
      <c r="A1355" s="49"/>
      <c r="C1355" s="49"/>
      <c r="D1355" s="45"/>
      <c r="E1355" s="13"/>
      <c r="F1355" s="126"/>
      <c r="G1355" s="200"/>
      <c r="H1355" s="152"/>
      <c r="I1355" s="173"/>
      <c r="J1355" s="192"/>
      <c r="K1355" s="173"/>
      <c r="L1355" s="192"/>
    </row>
    <row r="1356" spans="1:12" ht="12.75">
      <c r="A1356" s="49"/>
      <c r="C1356" s="49"/>
      <c r="D1356" s="45"/>
      <c r="E1356" s="13"/>
      <c r="F1356" s="126"/>
      <c r="G1356" s="200"/>
      <c r="H1356" s="152"/>
      <c r="I1356" s="173"/>
      <c r="J1356" s="192"/>
      <c r="K1356" s="173"/>
      <c r="L1356" s="192"/>
    </row>
    <row r="1357" spans="1:12" ht="12.75">
      <c r="A1357" s="49"/>
      <c r="C1357" s="49"/>
      <c r="D1357" s="45"/>
      <c r="E1357" s="13"/>
      <c r="F1357" s="126"/>
      <c r="G1357" s="200"/>
      <c r="H1357" s="152"/>
      <c r="I1357" s="173"/>
      <c r="J1357" s="192"/>
      <c r="K1357" s="173"/>
      <c r="L1357" s="192"/>
    </row>
    <row r="1358" spans="1:12" ht="12.75">
      <c r="A1358" s="49"/>
      <c r="C1358" s="49"/>
      <c r="D1358" s="45"/>
      <c r="E1358" s="13"/>
      <c r="F1358" s="126"/>
      <c r="G1358" s="200"/>
      <c r="H1358" s="152"/>
      <c r="I1358" s="173"/>
      <c r="J1358" s="192"/>
      <c r="K1358" s="173"/>
      <c r="L1358" s="192"/>
    </row>
    <row r="1359" spans="1:12" ht="12.75">
      <c r="A1359" s="49"/>
      <c r="C1359" s="49"/>
      <c r="D1359" s="45"/>
      <c r="E1359" s="13"/>
      <c r="F1359" s="126"/>
      <c r="G1359" s="200"/>
      <c r="H1359" s="152"/>
      <c r="I1359" s="173"/>
      <c r="J1359" s="192"/>
      <c r="K1359" s="173"/>
      <c r="L1359" s="192"/>
    </row>
    <row r="1360" spans="1:12" ht="12.75">
      <c r="A1360" s="49"/>
      <c r="C1360" s="49"/>
      <c r="D1360" s="45"/>
      <c r="E1360" s="13"/>
      <c r="F1360" s="126"/>
      <c r="G1360" s="200"/>
      <c r="H1360" s="152"/>
      <c r="I1360" s="173"/>
      <c r="J1360" s="192"/>
      <c r="K1360" s="173"/>
      <c r="L1360" s="192"/>
    </row>
    <row r="1361" spans="1:12" ht="12.75">
      <c r="A1361" s="49"/>
      <c r="C1361" s="49"/>
      <c r="D1361" s="45"/>
      <c r="E1361" s="13"/>
      <c r="F1361" s="126"/>
      <c r="G1361" s="200"/>
      <c r="H1361" s="152"/>
      <c r="I1361" s="173"/>
      <c r="J1361" s="192"/>
      <c r="K1361" s="173"/>
      <c r="L1361" s="192"/>
    </row>
    <row r="1362" spans="1:12" ht="12.75">
      <c r="A1362" s="49"/>
      <c r="C1362" s="49"/>
      <c r="D1362" s="45"/>
      <c r="E1362" s="13"/>
      <c r="F1362" s="126"/>
      <c r="G1362" s="200"/>
      <c r="H1362" s="152"/>
      <c r="I1362" s="173"/>
      <c r="J1362" s="192"/>
      <c r="K1362" s="173"/>
      <c r="L1362" s="192"/>
    </row>
    <row r="1363" spans="1:12" ht="12.75">
      <c r="A1363" s="49"/>
      <c r="C1363" s="49"/>
      <c r="D1363" s="45"/>
      <c r="E1363" s="13"/>
      <c r="F1363" s="126"/>
      <c r="G1363" s="200"/>
      <c r="H1363" s="152"/>
      <c r="I1363" s="173"/>
      <c r="J1363" s="192"/>
      <c r="K1363" s="173"/>
      <c r="L1363" s="192"/>
    </row>
    <row r="1364" spans="1:12" ht="12.75">
      <c r="A1364" s="49"/>
      <c r="C1364" s="49"/>
      <c r="D1364" s="45"/>
      <c r="E1364" s="13"/>
      <c r="F1364" s="126"/>
      <c r="G1364" s="200"/>
      <c r="H1364" s="152"/>
      <c r="I1364" s="173"/>
      <c r="J1364" s="192"/>
      <c r="K1364" s="173"/>
      <c r="L1364" s="192"/>
    </row>
    <row r="1365" spans="1:12" ht="12.75">
      <c r="A1365" s="49"/>
      <c r="C1365" s="49"/>
      <c r="D1365" s="45"/>
      <c r="E1365" s="13"/>
      <c r="F1365" s="126"/>
      <c r="G1365" s="200"/>
      <c r="H1365" s="152"/>
      <c r="I1365" s="173"/>
      <c r="J1365" s="192"/>
      <c r="K1365" s="173"/>
      <c r="L1365" s="192"/>
    </row>
    <row r="1366" spans="1:12" ht="12.75">
      <c r="A1366" s="49"/>
      <c r="C1366" s="49"/>
      <c r="D1366" s="45"/>
      <c r="E1366" s="13"/>
      <c r="F1366" s="126"/>
      <c r="G1366" s="200"/>
      <c r="H1366" s="152"/>
      <c r="I1366" s="173"/>
      <c r="J1366" s="192"/>
      <c r="K1366" s="173"/>
      <c r="L1366" s="192"/>
    </row>
    <row r="1367" spans="1:12" ht="12.75">
      <c r="A1367" s="49"/>
      <c r="C1367" s="49"/>
      <c r="D1367" s="45"/>
      <c r="E1367" s="13"/>
      <c r="F1367" s="126"/>
      <c r="G1367" s="200"/>
      <c r="H1367" s="152"/>
      <c r="I1367" s="173"/>
      <c r="J1367" s="192"/>
      <c r="K1367" s="173"/>
      <c r="L1367" s="192"/>
    </row>
    <row r="1368" spans="1:12" ht="12.75">
      <c r="A1368" s="49"/>
      <c r="C1368" s="49"/>
      <c r="D1368" s="45"/>
      <c r="E1368" s="13"/>
      <c r="F1368" s="126"/>
      <c r="G1368" s="200"/>
      <c r="H1368" s="152"/>
      <c r="I1368" s="173"/>
      <c r="J1368" s="192"/>
      <c r="K1368" s="173"/>
      <c r="L1368" s="192"/>
    </row>
    <row r="1369" spans="1:12" ht="12.75">
      <c r="A1369" s="49"/>
      <c r="C1369" s="49"/>
      <c r="D1369" s="45"/>
      <c r="E1369" s="13"/>
      <c r="F1369" s="126"/>
      <c r="G1369" s="200"/>
      <c r="H1369" s="152"/>
      <c r="I1369" s="173"/>
      <c r="J1369" s="192"/>
      <c r="K1369" s="173"/>
      <c r="L1369" s="192"/>
    </row>
    <row r="1370" spans="1:12" ht="12.75">
      <c r="A1370" s="49"/>
      <c r="C1370" s="49"/>
      <c r="D1370" s="45"/>
      <c r="E1370" s="13"/>
      <c r="F1370" s="126"/>
      <c r="G1370" s="200"/>
      <c r="H1370" s="152"/>
      <c r="I1370" s="173"/>
      <c r="J1370" s="192"/>
      <c r="K1370" s="173"/>
      <c r="L1370" s="192"/>
    </row>
    <row r="1371" spans="1:12" ht="12.75">
      <c r="A1371" s="49"/>
      <c r="C1371" s="49"/>
      <c r="D1371" s="45"/>
      <c r="E1371" s="13"/>
      <c r="F1371" s="126"/>
      <c r="G1371" s="200"/>
      <c r="H1371" s="152"/>
      <c r="I1371" s="173"/>
      <c r="J1371" s="192"/>
      <c r="K1371" s="173"/>
      <c r="L1371" s="192"/>
    </row>
    <row r="1372" spans="1:12" ht="12.75">
      <c r="A1372" s="49"/>
      <c r="C1372" s="49"/>
      <c r="D1372" s="45"/>
      <c r="E1372" s="13"/>
      <c r="F1372" s="126"/>
      <c r="G1372" s="200"/>
      <c r="H1372" s="152"/>
      <c r="I1372" s="173"/>
      <c r="J1372" s="192"/>
      <c r="K1372" s="173"/>
      <c r="L1372" s="192"/>
    </row>
    <row r="1373" spans="1:12" ht="12.75">
      <c r="A1373" s="49"/>
      <c r="C1373" s="49"/>
      <c r="D1373" s="45"/>
      <c r="E1373" s="13"/>
      <c r="F1373" s="126"/>
      <c r="G1373" s="200"/>
      <c r="H1373" s="152"/>
      <c r="I1373" s="173"/>
      <c r="J1373" s="192"/>
      <c r="K1373" s="173"/>
      <c r="L1373" s="192"/>
    </row>
    <row r="1374" spans="1:12" ht="12.75">
      <c r="A1374" s="49"/>
      <c r="C1374" s="49"/>
      <c r="D1374" s="45"/>
      <c r="E1374" s="13"/>
      <c r="F1374" s="126"/>
      <c r="G1374" s="200"/>
      <c r="H1374" s="152"/>
      <c r="I1374" s="173"/>
      <c r="J1374" s="192"/>
      <c r="K1374" s="173"/>
      <c r="L1374" s="192"/>
    </row>
    <row r="1375" spans="1:12" ht="12.75">
      <c r="A1375" s="49"/>
      <c r="C1375" s="49"/>
      <c r="D1375" s="45"/>
      <c r="E1375" s="13"/>
      <c r="F1375" s="126"/>
      <c r="G1375" s="200"/>
      <c r="H1375" s="152"/>
      <c r="I1375" s="173"/>
      <c r="J1375" s="192"/>
      <c r="K1375" s="173"/>
      <c r="L1375" s="192"/>
    </row>
    <row r="1376" spans="1:12" ht="12.75">
      <c r="A1376" s="49"/>
      <c r="C1376" s="49"/>
      <c r="D1376" s="45"/>
      <c r="E1376" s="13"/>
      <c r="F1376" s="126"/>
      <c r="G1376" s="200"/>
      <c r="H1376" s="152"/>
      <c r="I1376" s="173"/>
      <c r="J1376" s="192"/>
      <c r="K1376" s="173"/>
      <c r="L1376" s="192"/>
    </row>
    <row r="1377" spans="1:12" ht="12.75">
      <c r="A1377" s="49"/>
      <c r="C1377" s="49"/>
      <c r="D1377" s="45"/>
      <c r="E1377" s="13"/>
      <c r="F1377" s="126"/>
      <c r="G1377" s="200"/>
      <c r="H1377" s="152"/>
      <c r="I1377" s="173"/>
      <c r="J1377" s="192"/>
      <c r="K1377" s="173"/>
      <c r="L1377" s="192"/>
    </row>
    <row r="1378" spans="1:12" ht="12.75">
      <c r="A1378" s="49"/>
      <c r="C1378" s="49"/>
      <c r="D1378" s="45"/>
      <c r="E1378" s="13"/>
      <c r="F1378" s="126"/>
      <c r="G1378" s="200"/>
      <c r="H1378" s="152"/>
      <c r="I1378" s="173"/>
      <c r="J1378" s="192"/>
      <c r="K1378" s="173"/>
      <c r="L1378" s="192"/>
    </row>
    <row r="1379" spans="1:12" ht="12.75">
      <c r="A1379" s="49"/>
      <c r="C1379" s="49"/>
      <c r="D1379" s="45"/>
      <c r="E1379" s="13"/>
      <c r="F1379" s="126"/>
      <c r="G1379" s="200"/>
      <c r="H1379" s="152"/>
      <c r="I1379" s="173"/>
      <c r="J1379" s="192"/>
      <c r="K1379" s="173"/>
      <c r="L1379" s="192"/>
    </row>
    <row r="1380" spans="1:12" ht="12.75">
      <c r="A1380" s="49"/>
      <c r="C1380" s="49"/>
      <c r="D1380" s="45"/>
      <c r="E1380" s="13"/>
      <c r="F1380" s="126"/>
      <c r="G1380" s="200"/>
      <c r="H1380" s="152"/>
      <c r="I1380" s="173"/>
      <c r="J1380" s="192"/>
      <c r="K1380" s="173"/>
      <c r="L1380" s="192"/>
    </row>
    <row r="1381" spans="1:12" ht="12.75">
      <c r="A1381" s="49"/>
      <c r="C1381" s="49"/>
      <c r="D1381" s="45"/>
      <c r="E1381" s="13"/>
      <c r="F1381" s="126"/>
      <c r="G1381" s="200"/>
      <c r="H1381" s="152"/>
      <c r="I1381" s="173"/>
      <c r="J1381" s="192"/>
      <c r="K1381" s="173"/>
      <c r="L1381" s="192"/>
    </row>
    <row r="1382" spans="1:12" ht="12.75">
      <c r="A1382" s="49"/>
      <c r="C1382" s="49"/>
      <c r="D1382" s="45"/>
      <c r="E1382" s="13"/>
      <c r="F1382" s="126"/>
      <c r="G1382" s="200"/>
      <c r="H1382" s="152"/>
      <c r="I1382" s="173"/>
      <c r="J1382" s="192"/>
      <c r="K1382" s="173"/>
      <c r="L1382" s="192"/>
    </row>
    <row r="1383" spans="1:12" ht="12.75">
      <c r="A1383" s="49"/>
      <c r="C1383" s="49"/>
      <c r="D1383" s="45"/>
      <c r="E1383" s="13"/>
      <c r="F1383" s="126"/>
      <c r="G1383" s="200"/>
      <c r="H1383" s="152"/>
      <c r="I1383" s="173"/>
      <c r="J1383" s="192"/>
      <c r="K1383" s="173"/>
      <c r="L1383" s="192"/>
    </row>
    <row r="1384" spans="1:12" ht="12.75">
      <c r="A1384" s="49"/>
      <c r="C1384" s="49"/>
      <c r="D1384" s="45"/>
      <c r="E1384" s="13"/>
      <c r="F1384" s="126"/>
      <c r="G1384" s="200"/>
      <c r="H1384" s="152"/>
      <c r="I1384" s="173"/>
      <c r="J1384" s="192"/>
      <c r="K1384" s="173"/>
      <c r="L1384" s="192"/>
    </row>
    <row r="1385" spans="1:12" ht="12.75">
      <c r="A1385" s="49"/>
      <c r="C1385" s="49"/>
      <c r="D1385" s="45"/>
      <c r="E1385" s="13"/>
      <c r="F1385" s="126"/>
      <c r="G1385" s="200"/>
      <c r="H1385" s="152"/>
      <c r="I1385" s="173"/>
      <c r="J1385" s="192"/>
      <c r="K1385" s="173"/>
      <c r="L1385" s="192"/>
    </row>
    <row r="1386" spans="1:12" ht="12.75">
      <c r="A1386" s="49"/>
      <c r="C1386" s="49"/>
      <c r="D1386" s="45"/>
      <c r="E1386" s="13"/>
      <c r="F1386" s="126"/>
      <c r="G1386" s="200"/>
      <c r="H1386" s="152"/>
      <c r="I1386" s="173"/>
      <c r="J1386" s="192"/>
      <c r="K1386" s="173"/>
      <c r="L1386" s="192"/>
    </row>
    <row r="1387" spans="1:12" ht="12.75">
      <c r="A1387" s="49"/>
      <c r="C1387" s="49"/>
      <c r="D1387" s="45"/>
      <c r="E1387" s="13"/>
      <c r="F1387" s="126"/>
      <c r="G1387" s="200"/>
      <c r="H1387" s="152"/>
      <c r="I1387" s="173"/>
      <c r="J1387" s="192"/>
      <c r="K1387" s="173"/>
      <c r="L1387" s="192"/>
    </row>
    <row r="1388" spans="1:12" ht="12.75">
      <c r="A1388" s="49"/>
      <c r="C1388" s="49"/>
      <c r="D1388" s="45"/>
      <c r="E1388" s="13"/>
      <c r="F1388" s="126"/>
      <c r="G1388" s="200"/>
      <c r="H1388" s="152"/>
      <c r="I1388" s="173"/>
      <c r="J1388" s="192"/>
      <c r="K1388" s="173"/>
      <c r="L1388" s="192"/>
    </row>
    <row r="1389" spans="1:12" ht="12.75">
      <c r="A1389" s="49"/>
      <c r="C1389" s="49"/>
      <c r="D1389" s="45"/>
      <c r="E1389" s="13"/>
      <c r="F1389" s="126"/>
      <c r="G1389" s="200"/>
      <c r="H1389" s="152"/>
      <c r="I1389" s="173"/>
      <c r="J1389" s="192"/>
      <c r="K1389" s="173"/>
      <c r="L1389" s="192"/>
    </row>
    <row r="1390" spans="1:12" ht="12.75">
      <c r="A1390" s="49"/>
      <c r="C1390" s="49"/>
      <c r="D1390" s="45"/>
      <c r="E1390" s="13"/>
      <c r="F1390" s="126"/>
      <c r="G1390" s="200"/>
      <c r="H1390" s="152"/>
      <c r="I1390" s="173"/>
      <c r="J1390" s="192"/>
      <c r="K1390" s="173"/>
      <c r="L1390" s="192"/>
    </row>
    <row r="1391" spans="1:12" ht="12.75">
      <c r="A1391" s="49"/>
      <c r="C1391" s="49"/>
      <c r="D1391" s="45"/>
      <c r="E1391" s="13"/>
      <c r="F1391" s="126"/>
      <c r="G1391" s="200"/>
      <c r="H1391" s="152"/>
      <c r="I1391" s="173"/>
      <c r="J1391" s="192"/>
      <c r="K1391" s="173"/>
      <c r="L1391" s="192"/>
    </row>
    <row r="1392" spans="1:12" ht="12.75">
      <c r="A1392" s="49"/>
      <c r="C1392" s="49"/>
      <c r="D1392" s="45"/>
      <c r="E1392" s="13"/>
      <c r="F1392" s="126"/>
      <c r="G1392" s="200"/>
      <c r="H1392" s="152"/>
      <c r="I1392" s="173"/>
      <c r="J1392" s="192"/>
      <c r="K1392" s="173"/>
      <c r="L1392" s="192"/>
    </row>
    <row r="1393" spans="1:12" ht="12.75">
      <c r="A1393" s="49"/>
      <c r="C1393" s="49"/>
      <c r="D1393" s="45"/>
      <c r="E1393" s="13"/>
      <c r="F1393" s="126"/>
      <c r="G1393" s="200"/>
      <c r="H1393" s="152"/>
      <c r="I1393" s="173"/>
      <c r="J1393" s="192"/>
      <c r="K1393" s="173"/>
      <c r="L1393" s="192"/>
    </row>
    <row r="1394" spans="1:12" ht="12.75">
      <c r="A1394" s="49"/>
      <c r="C1394" s="49"/>
      <c r="D1394" s="45"/>
      <c r="E1394" s="13"/>
      <c r="F1394" s="126"/>
      <c r="G1394" s="200"/>
      <c r="H1394" s="152"/>
      <c r="I1394" s="173"/>
      <c r="J1394" s="192"/>
      <c r="K1394" s="173"/>
      <c r="L1394" s="192"/>
    </row>
    <row r="1395" spans="1:12" ht="12.75">
      <c r="A1395" s="49"/>
      <c r="C1395" s="49"/>
      <c r="D1395" s="45"/>
      <c r="E1395" s="13"/>
      <c r="F1395" s="126"/>
      <c r="G1395" s="200"/>
      <c r="H1395" s="152"/>
      <c r="I1395" s="173"/>
      <c r="J1395" s="192"/>
      <c r="K1395" s="173"/>
      <c r="L1395" s="192"/>
    </row>
    <row r="1396" spans="1:12" ht="12.75">
      <c r="A1396" s="49"/>
      <c r="C1396" s="49"/>
      <c r="D1396" s="45"/>
      <c r="E1396" s="13"/>
      <c r="F1396" s="126"/>
      <c r="G1396" s="200"/>
      <c r="H1396" s="152"/>
      <c r="I1396" s="173"/>
      <c r="J1396" s="192"/>
      <c r="K1396" s="173"/>
      <c r="L1396" s="192"/>
    </row>
    <row r="1397" spans="1:12" ht="12.75">
      <c r="A1397" s="49"/>
      <c r="C1397" s="49"/>
      <c r="D1397" s="45"/>
      <c r="E1397" s="13"/>
      <c r="F1397" s="126"/>
      <c r="G1397" s="200"/>
      <c r="H1397" s="152"/>
      <c r="I1397" s="173"/>
      <c r="J1397" s="192"/>
      <c r="K1397" s="173"/>
      <c r="L1397" s="192"/>
    </row>
    <row r="1398" spans="1:12" ht="12.75">
      <c r="A1398" s="49"/>
      <c r="C1398" s="49"/>
      <c r="D1398" s="45"/>
      <c r="E1398" s="13"/>
      <c r="F1398" s="126"/>
      <c r="G1398" s="200"/>
      <c r="H1398" s="152"/>
      <c r="I1398" s="173"/>
      <c r="J1398" s="192"/>
      <c r="K1398" s="173"/>
      <c r="L1398" s="192"/>
    </row>
    <row r="1399" spans="1:12" ht="12.75">
      <c r="A1399" s="49"/>
      <c r="C1399" s="49"/>
      <c r="D1399" s="45"/>
      <c r="E1399" s="13"/>
      <c r="F1399" s="126"/>
      <c r="G1399" s="200"/>
      <c r="H1399" s="152"/>
      <c r="I1399" s="173"/>
      <c r="J1399" s="192"/>
      <c r="K1399" s="173"/>
      <c r="L1399" s="192"/>
    </row>
    <row r="1400" spans="1:12" ht="12.75">
      <c r="A1400" s="49"/>
      <c r="C1400" s="49"/>
      <c r="D1400" s="45"/>
      <c r="E1400" s="13"/>
      <c r="F1400" s="126"/>
      <c r="G1400" s="200"/>
      <c r="H1400" s="152"/>
      <c r="I1400" s="173"/>
      <c r="J1400" s="192"/>
      <c r="K1400" s="173"/>
      <c r="L1400" s="192"/>
    </row>
    <row r="1401" spans="1:12" ht="12.75">
      <c r="A1401" s="49"/>
      <c r="C1401" s="49"/>
      <c r="D1401" s="45"/>
      <c r="E1401" s="13"/>
      <c r="F1401" s="126"/>
      <c r="G1401" s="200"/>
      <c r="H1401" s="152"/>
      <c r="I1401" s="173"/>
      <c r="J1401" s="192"/>
      <c r="K1401" s="173"/>
      <c r="L1401" s="192"/>
    </row>
    <row r="1402" spans="1:12" ht="12.75">
      <c r="A1402" s="49"/>
      <c r="C1402" s="49"/>
      <c r="D1402" s="45"/>
      <c r="E1402" s="13"/>
      <c r="F1402" s="126"/>
      <c r="G1402" s="200"/>
      <c r="H1402" s="152"/>
      <c r="I1402" s="173"/>
      <c r="J1402" s="192"/>
      <c r="K1402" s="173"/>
      <c r="L1402" s="192"/>
    </row>
    <row r="1403" spans="1:12" ht="12.75">
      <c r="A1403" s="49"/>
      <c r="C1403" s="49"/>
      <c r="D1403" s="45"/>
      <c r="E1403" s="13"/>
      <c r="F1403" s="126"/>
      <c r="G1403" s="200"/>
      <c r="H1403" s="152"/>
      <c r="I1403" s="173"/>
      <c r="J1403" s="192"/>
      <c r="K1403" s="173"/>
      <c r="L1403" s="192"/>
    </row>
    <row r="1404" spans="1:12" ht="12.75">
      <c r="A1404" s="49"/>
      <c r="C1404" s="49"/>
      <c r="D1404" s="45"/>
      <c r="E1404" s="13"/>
      <c r="F1404" s="126"/>
      <c r="G1404" s="200"/>
      <c r="H1404" s="152"/>
      <c r="I1404" s="173"/>
      <c r="J1404" s="192"/>
      <c r="K1404" s="173"/>
      <c r="L1404" s="192"/>
    </row>
    <row r="1405" spans="1:12" ht="12.75">
      <c r="A1405" s="49"/>
      <c r="C1405" s="49"/>
      <c r="D1405" s="45"/>
      <c r="E1405" s="13"/>
      <c r="F1405" s="126"/>
      <c r="G1405" s="200"/>
      <c r="H1405" s="152"/>
      <c r="I1405" s="173"/>
      <c r="J1405" s="192"/>
      <c r="K1405" s="173"/>
      <c r="L1405" s="192"/>
    </row>
    <row r="1406" spans="1:12" ht="12.75">
      <c r="A1406" s="49"/>
      <c r="C1406" s="49"/>
      <c r="D1406" s="45"/>
      <c r="E1406" s="13"/>
      <c r="F1406" s="126"/>
      <c r="G1406" s="200"/>
      <c r="H1406" s="152"/>
      <c r="I1406" s="173"/>
      <c r="J1406" s="192"/>
      <c r="K1406" s="173"/>
      <c r="L1406" s="192"/>
    </row>
    <row r="1407" spans="1:12" ht="12.75">
      <c r="A1407" s="49"/>
      <c r="C1407" s="49"/>
      <c r="D1407" s="45"/>
      <c r="E1407" s="13"/>
      <c r="F1407" s="126"/>
      <c r="G1407" s="200"/>
      <c r="H1407" s="152"/>
      <c r="I1407" s="173"/>
      <c r="J1407" s="192"/>
      <c r="K1407" s="173"/>
      <c r="L1407" s="192"/>
    </row>
    <row r="1408" spans="1:12" ht="12.75">
      <c r="A1408" s="49"/>
      <c r="C1408" s="49"/>
      <c r="D1408" s="45"/>
      <c r="E1408" s="13"/>
      <c r="F1408" s="126"/>
      <c r="G1408" s="200"/>
      <c r="H1408" s="152"/>
      <c r="I1408" s="173"/>
      <c r="J1408" s="192"/>
      <c r="K1408" s="173"/>
      <c r="L1408" s="192"/>
    </row>
    <row r="1409" spans="1:12" ht="12.75">
      <c r="A1409" s="49"/>
      <c r="C1409" s="49"/>
      <c r="D1409" s="45"/>
      <c r="E1409" s="13"/>
      <c r="F1409" s="126"/>
      <c r="G1409" s="200"/>
      <c r="H1409" s="152"/>
      <c r="I1409" s="173"/>
      <c r="J1409" s="192"/>
      <c r="K1409" s="173"/>
      <c r="L1409" s="192"/>
    </row>
    <row r="1410" spans="1:12" ht="12.75">
      <c r="A1410" s="49"/>
      <c r="C1410" s="49"/>
      <c r="D1410" s="45"/>
      <c r="E1410" s="13"/>
      <c r="F1410" s="126"/>
      <c r="G1410" s="200"/>
      <c r="H1410" s="152"/>
      <c r="I1410" s="173"/>
      <c r="J1410" s="192"/>
      <c r="K1410" s="173"/>
      <c r="L1410" s="192"/>
    </row>
    <row r="1411" spans="1:12" ht="12.75">
      <c r="A1411" s="49"/>
      <c r="C1411" s="49"/>
      <c r="D1411" s="45"/>
      <c r="E1411" s="13"/>
      <c r="F1411" s="126"/>
      <c r="G1411" s="200"/>
      <c r="H1411" s="152"/>
      <c r="I1411" s="173"/>
      <c r="J1411" s="192"/>
      <c r="K1411" s="173"/>
      <c r="L1411" s="192"/>
    </row>
    <row r="1412" spans="1:12" ht="12.75">
      <c r="A1412" s="49"/>
      <c r="C1412" s="49"/>
      <c r="D1412" s="45"/>
      <c r="E1412" s="13"/>
      <c r="F1412" s="126"/>
      <c r="G1412" s="200"/>
      <c r="H1412" s="152"/>
      <c r="I1412" s="173"/>
      <c r="J1412" s="192"/>
      <c r="K1412" s="173"/>
      <c r="L1412" s="192"/>
    </row>
    <row r="1413" spans="1:12" ht="12.75">
      <c r="A1413" s="49"/>
      <c r="C1413" s="49"/>
      <c r="D1413" s="45"/>
      <c r="E1413" s="13"/>
      <c r="F1413" s="126"/>
      <c r="G1413" s="200"/>
      <c r="H1413" s="152"/>
      <c r="I1413" s="173"/>
      <c r="J1413" s="192"/>
      <c r="K1413" s="173"/>
      <c r="L1413" s="192"/>
    </row>
    <row r="1414" spans="1:12" ht="12.75">
      <c r="A1414" s="49"/>
      <c r="C1414" s="49"/>
      <c r="D1414" s="45"/>
      <c r="E1414" s="13"/>
      <c r="F1414" s="126"/>
      <c r="G1414" s="200"/>
      <c r="H1414" s="152"/>
      <c r="I1414" s="173"/>
      <c r="J1414" s="192"/>
      <c r="K1414" s="173"/>
      <c r="L1414" s="192"/>
    </row>
    <row r="1415" spans="1:12" ht="12.75">
      <c r="A1415" s="49"/>
      <c r="C1415" s="49"/>
      <c r="D1415" s="45"/>
      <c r="E1415" s="13"/>
      <c r="F1415" s="126"/>
      <c r="G1415" s="200"/>
      <c r="H1415" s="152"/>
      <c r="I1415" s="173"/>
      <c r="J1415" s="192"/>
      <c r="K1415" s="173"/>
      <c r="L1415" s="192"/>
    </row>
    <row r="1416" spans="1:12" ht="12.75">
      <c r="A1416" s="49"/>
      <c r="C1416" s="49"/>
      <c r="D1416" s="45"/>
      <c r="E1416" s="13"/>
      <c r="F1416" s="126"/>
      <c r="G1416" s="200"/>
      <c r="H1416" s="152"/>
      <c r="I1416" s="173"/>
      <c r="J1416" s="192"/>
      <c r="K1416" s="173"/>
      <c r="L1416" s="192"/>
    </row>
    <row r="1417" spans="1:12" ht="12.75">
      <c r="A1417" s="49"/>
      <c r="C1417" s="49"/>
      <c r="D1417" s="45"/>
      <c r="E1417" s="13"/>
      <c r="F1417" s="126"/>
      <c r="G1417" s="200"/>
      <c r="H1417" s="152"/>
      <c r="I1417" s="173"/>
      <c r="J1417" s="192"/>
      <c r="K1417" s="173"/>
      <c r="L1417" s="192"/>
    </row>
    <row r="1418" spans="1:12" ht="12.75">
      <c r="A1418" s="49"/>
      <c r="C1418" s="49"/>
      <c r="D1418" s="45"/>
      <c r="E1418" s="13"/>
      <c r="F1418" s="126"/>
      <c r="G1418" s="200"/>
      <c r="H1418" s="152"/>
      <c r="I1418" s="173"/>
      <c r="J1418" s="192"/>
      <c r="K1418" s="173"/>
      <c r="L1418" s="192"/>
    </row>
    <row r="1419" spans="1:12" ht="12.75">
      <c r="A1419" s="49"/>
      <c r="C1419" s="49"/>
      <c r="D1419" s="45"/>
      <c r="E1419" s="13"/>
      <c r="F1419" s="126"/>
      <c r="G1419" s="200"/>
      <c r="H1419" s="152"/>
      <c r="I1419" s="173"/>
      <c r="J1419" s="192"/>
      <c r="K1419" s="173"/>
      <c r="L1419" s="192"/>
    </row>
    <row r="1420" spans="1:12" ht="12.75">
      <c r="A1420" s="49"/>
      <c r="C1420" s="49"/>
      <c r="D1420" s="45"/>
      <c r="E1420" s="13"/>
      <c r="F1420" s="126"/>
      <c r="G1420" s="200"/>
      <c r="H1420" s="152"/>
      <c r="I1420" s="173"/>
      <c r="J1420" s="192"/>
      <c r="K1420" s="173"/>
      <c r="L1420" s="192"/>
    </row>
    <row r="1421" spans="1:12" ht="12.75">
      <c r="A1421" s="49"/>
      <c r="C1421" s="49"/>
      <c r="D1421" s="45"/>
      <c r="E1421" s="13"/>
      <c r="F1421" s="126"/>
      <c r="G1421" s="200"/>
      <c r="H1421" s="152"/>
      <c r="I1421" s="173"/>
      <c r="J1421" s="192"/>
      <c r="K1421" s="173"/>
      <c r="L1421" s="192"/>
    </row>
    <row r="1422" spans="1:12" ht="12.75">
      <c r="A1422" s="49"/>
      <c r="C1422" s="49"/>
      <c r="D1422" s="45"/>
      <c r="E1422" s="13"/>
      <c r="F1422" s="126"/>
      <c r="G1422" s="200"/>
      <c r="H1422" s="152"/>
      <c r="I1422" s="173"/>
      <c r="J1422" s="192"/>
      <c r="K1422" s="173"/>
      <c r="L1422" s="192"/>
    </row>
    <row r="1423" spans="1:12" ht="12.75">
      <c r="A1423" s="49"/>
      <c r="C1423" s="49"/>
      <c r="D1423" s="45"/>
      <c r="E1423" s="13"/>
      <c r="F1423" s="126"/>
      <c r="G1423" s="200"/>
      <c r="H1423" s="152"/>
      <c r="I1423" s="173"/>
      <c r="J1423" s="192"/>
      <c r="K1423" s="173"/>
      <c r="L1423" s="192"/>
    </row>
    <row r="1424" spans="1:12" ht="12.75">
      <c r="A1424" s="49"/>
      <c r="C1424" s="49"/>
      <c r="D1424" s="45"/>
      <c r="E1424" s="13"/>
      <c r="F1424" s="126"/>
      <c r="G1424" s="200"/>
      <c r="H1424" s="152"/>
      <c r="I1424" s="173"/>
      <c r="J1424" s="192"/>
      <c r="K1424" s="173"/>
      <c r="L1424" s="192"/>
    </row>
    <row r="1425" spans="1:12" ht="12.75">
      <c r="A1425" s="49"/>
      <c r="C1425" s="49"/>
      <c r="D1425" s="45"/>
      <c r="E1425" s="13"/>
      <c r="F1425" s="126"/>
      <c r="G1425" s="200"/>
      <c r="H1425" s="152"/>
      <c r="I1425" s="173"/>
      <c r="J1425" s="192"/>
      <c r="K1425" s="173"/>
      <c r="L1425" s="192"/>
    </row>
    <row r="1426" spans="1:12" ht="12.75">
      <c r="A1426" s="49"/>
      <c r="C1426" s="49"/>
      <c r="D1426" s="45"/>
      <c r="E1426" s="13"/>
      <c r="F1426" s="126"/>
      <c r="G1426" s="200"/>
      <c r="H1426" s="152"/>
      <c r="I1426" s="173"/>
      <c r="J1426" s="192"/>
      <c r="K1426" s="173"/>
      <c r="L1426" s="192"/>
    </row>
    <row r="1427" spans="1:12" ht="12.75">
      <c r="A1427" s="49"/>
      <c r="C1427" s="49"/>
      <c r="D1427" s="45"/>
      <c r="E1427" s="13"/>
      <c r="F1427" s="126"/>
      <c r="G1427" s="200"/>
      <c r="H1427" s="152"/>
      <c r="I1427" s="173"/>
      <c r="J1427" s="192"/>
      <c r="K1427" s="173"/>
      <c r="L1427" s="192"/>
    </row>
    <row r="1428" spans="1:12" ht="12.75">
      <c r="A1428" s="49"/>
      <c r="C1428" s="49"/>
      <c r="D1428" s="45"/>
      <c r="E1428" s="13"/>
      <c r="F1428" s="126"/>
      <c r="G1428" s="200"/>
      <c r="H1428" s="152"/>
      <c r="I1428" s="173"/>
      <c r="J1428" s="192"/>
      <c r="K1428" s="173"/>
      <c r="L1428" s="192"/>
    </row>
    <row r="1429" spans="1:12" ht="12.75">
      <c r="A1429" s="49"/>
      <c r="C1429" s="49"/>
      <c r="D1429" s="45"/>
      <c r="E1429" s="13"/>
      <c r="F1429" s="126"/>
      <c r="G1429" s="200"/>
      <c r="H1429" s="152"/>
      <c r="I1429" s="173"/>
      <c r="J1429" s="192"/>
      <c r="K1429" s="173"/>
      <c r="L1429" s="192"/>
    </row>
    <row r="1430" spans="1:12" ht="12.75">
      <c r="A1430" s="49"/>
      <c r="C1430" s="49"/>
      <c r="D1430" s="45"/>
      <c r="E1430" s="13"/>
      <c r="F1430" s="126"/>
      <c r="G1430" s="200"/>
      <c r="H1430" s="152"/>
      <c r="I1430" s="173"/>
      <c r="J1430" s="192"/>
      <c r="K1430" s="173"/>
      <c r="L1430" s="192"/>
    </row>
    <row r="1431" spans="1:12" ht="12.75">
      <c r="A1431" s="49"/>
      <c r="C1431" s="49"/>
      <c r="D1431" s="45"/>
      <c r="E1431" s="13"/>
      <c r="F1431" s="126"/>
      <c r="G1431" s="200"/>
      <c r="H1431" s="152"/>
      <c r="I1431" s="173"/>
      <c r="J1431" s="192"/>
      <c r="K1431" s="173"/>
      <c r="L1431" s="192"/>
    </row>
    <row r="1432" spans="1:12" ht="12.75">
      <c r="A1432" s="49"/>
      <c r="C1432" s="49"/>
      <c r="D1432" s="45"/>
      <c r="E1432" s="13"/>
      <c r="F1432" s="126"/>
      <c r="G1432" s="200"/>
      <c r="H1432" s="152"/>
      <c r="I1432" s="173"/>
      <c r="J1432" s="192"/>
      <c r="K1432" s="173"/>
      <c r="L1432" s="192"/>
    </row>
    <row r="1433" spans="1:12" ht="12.75">
      <c r="A1433" s="49"/>
      <c r="C1433" s="49"/>
      <c r="D1433" s="45"/>
      <c r="E1433" s="13"/>
      <c r="F1433" s="126"/>
      <c r="G1433" s="200"/>
      <c r="H1433" s="152"/>
      <c r="I1433" s="173"/>
      <c r="J1433" s="192"/>
      <c r="K1433" s="173"/>
      <c r="L1433" s="192"/>
    </row>
    <row r="1434" spans="1:12" ht="12.75">
      <c r="A1434" s="49"/>
      <c r="C1434" s="49"/>
      <c r="D1434" s="45"/>
      <c r="E1434" s="13"/>
      <c r="F1434" s="126"/>
      <c r="G1434" s="200"/>
      <c r="H1434" s="152"/>
      <c r="I1434" s="173"/>
      <c r="J1434" s="192"/>
      <c r="K1434" s="173"/>
      <c r="L1434" s="192"/>
    </row>
    <row r="1435" spans="1:12" ht="12.75">
      <c r="A1435" s="49"/>
      <c r="C1435" s="49"/>
      <c r="D1435" s="45"/>
      <c r="E1435" s="13"/>
      <c r="F1435" s="126"/>
      <c r="G1435" s="200"/>
      <c r="H1435" s="152"/>
      <c r="I1435" s="173"/>
      <c r="J1435" s="192"/>
      <c r="K1435" s="173"/>
      <c r="L1435" s="192"/>
    </row>
    <row r="1436" spans="1:12" ht="12.75">
      <c r="A1436" s="49"/>
      <c r="C1436" s="49"/>
      <c r="D1436" s="45"/>
      <c r="E1436" s="13"/>
      <c r="F1436" s="126"/>
      <c r="G1436" s="200"/>
      <c r="H1436" s="152"/>
      <c r="I1436" s="173"/>
      <c r="J1436" s="192"/>
      <c r="K1436" s="173"/>
      <c r="L1436" s="192"/>
    </row>
    <row r="1437" spans="1:12" ht="12.75">
      <c r="A1437" s="49"/>
      <c r="C1437" s="49"/>
      <c r="D1437" s="45"/>
      <c r="E1437" s="13"/>
      <c r="F1437" s="126"/>
      <c r="G1437" s="200"/>
      <c r="H1437" s="152"/>
      <c r="I1437" s="173"/>
      <c r="J1437" s="192"/>
      <c r="K1437" s="173"/>
      <c r="L1437" s="192"/>
    </row>
    <row r="1438" spans="1:12" ht="12.75">
      <c r="A1438" s="49"/>
      <c r="C1438" s="49"/>
      <c r="D1438" s="45"/>
      <c r="E1438" s="13"/>
      <c r="F1438" s="126"/>
      <c r="G1438" s="200"/>
      <c r="H1438" s="152"/>
      <c r="I1438" s="173"/>
      <c r="J1438" s="192"/>
      <c r="K1438" s="173"/>
      <c r="L1438" s="192"/>
    </row>
    <row r="1439" spans="1:12" ht="12.75">
      <c r="A1439" s="49"/>
      <c r="C1439" s="49"/>
      <c r="D1439" s="45"/>
      <c r="E1439" s="13"/>
      <c r="F1439" s="126"/>
      <c r="G1439" s="200"/>
      <c r="H1439" s="152"/>
      <c r="I1439" s="173"/>
      <c r="J1439" s="192"/>
      <c r="K1439" s="173"/>
      <c r="L1439" s="192"/>
    </row>
    <row r="1440" spans="1:12" ht="12.75">
      <c r="A1440" s="49"/>
      <c r="C1440" s="49"/>
      <c r="D1440" s="45"/>
      <c r="E1440" s="13"/>
      <c r="F1440" s="126"/>
      <c r="G1440" s="200"/>
      <c r="H1440" s="152"/>
      <c r="I1440" s="173"/>
      <c r="J1440" s="192"/>
      <c r="K1440" s="173"/>
      <c r="L1440" s="192"/>
    </row>
    <row r="1441" spans="1:12" ht="12.75">
      <c r="A1441" s="49"/>
      <c r="C1441" s="49"/>
      <c r="D1441" s="45"/>
      <c r="E1441" s="13"/>
      <c r="F1441" s="126"/>
      <c r="G1441" s="200"/>
      <c r="H1441" s="152"/>
      <c r="I1441" s="173"/>
      <c r="J1441" s="192"/>
      <c r="K1441" s="173"/>
      <c r="L1441" s="192"/>
    </row>
    <row r="1442" spans="1:12" ht="12.75">
      <c r="A1442" s="49"/>
      <c r="C1442" s="49"/>
      <c r="D1442" s="45"/>
      <c r="E1442" s="13"/>
      <c r="F1442" s="126"/>
      <c r="G1442" s="200"/>
      <c r="H1442" s="152"/>
      <c r="I1442" s="173"/>
      <c r="J1442" s="192"/>
      <c r="K1442" s="173"/>
      <c r="L1442" s="192"/>
    </row>
    <row r="1443" spans="1:12" ht="12.75">
      <c r="A1443" s="49"/>
      <c r="C1443" s="49"/>
      <c r="D1443" s="45"/>
      <c r="E1443" s="13"/>
      <c r="F1443" s="126"/>
      <c r="G1443" s="200"/>
      <c r="H1443" s="152"/>
      <c r="I1443" s="173"/>
      <c r="J1443" s="192"/>
      <c r="K1443" s="173"/>
      <c r="L1443" s="192"/>
    </row>
    <row r="1444" spans="1:12" ht="12.75">
      <c r="A1444" s="49"/>
      <c r="C1444" s="49"/>
      <c r="D1444" s="45"/>
      <c r="E1444" s="13"/>
      <c r="F1444" s="126"/>
      <c r="G1444" s="200"/>
      <c r="H1444" s="152"/>
      <c r="I1444" s="173"/>
      <c r="J1444" s="192"/>
      <c r="K1444" s="173"/>
      <c r="L1444" s="192"/>
    </row>
    <row r="1445" spans="1:12" ht="12.75">
      <c r="A1445" s="49"/>
      <c r="C1445" s="49"/>
      <c r="D1445" s="45"/>
      <c r="E1445" s="13"/>
      <c r="F1445" s="126"/>
      <c r="G1445" s="200"/>
      <c r="H1445" s="152"/>
      <c r="I1445" s="173"/>
      <c r="J1445" s="192"/>
      <c r="K1445" s="173"/>
      <c r="L1445" s="192"/>
    </row>
    <row r="1446" spans="1:12" ht="12.75">
      <c r="A1446" s="49"/>
      <c r="C1446" s="49"/>
      <c r="D1446" s="45"/>
      <c r="E1446" s="13"/>
      <c r="F1446" s="126"/>
      <c r="G1446" s="200"/>
      <c r="H1446" s="152"/>
      <c r="I1446" s="173"/>
      <c r="J1446" s="192"/>
      <c r="K1446" s="173"/>
      <c r="L1446" s="192"/>
    </row>
    <row r="1447" spans="1:12" ht="12.75">
      <c r="A1447" s="49"/>
      <c r="C1447" s="49"/>
      <c r="D1447" s="45"/>
      <c r="E1447" s="13"/>
      <c r="F1447" s="126"/>
      <c r="G1447" s="200"/>
      <c r="H1447" s="152"/>
      <c r="I1447" s="173"/>
      <c r="J1447" s="192"/>
      <c r="K1447" s="173"/>
      <c r="L1447" s="192"/>
    </row>
    <row r="1448" spans="1:12" ht="12.75">
      <c r="A1448" s="49"/>
      <c r="C1448" s="49"/>
      <c r="D1448" s="45"/>
      <c r="E1448" s="13"/>
      <c r="F1448" s="126"/>
      <c r="G1448" s="200"/>
      <c r="H1448" s="152"/>
      <c r="I1448" s="173"/>
      <c r="J1448" s="192"/>
      <c r="K1448" s="173"/>
      <c r="L1448" s="192"/>
    </row>
    <row r="1449" spans="1:12" ht="12.75">
      <c r="A1449" s="49"/>
      <c r="C1449" s="49"/>
      <c r="D1449" s="45"/>
      <c r="E1449" s="13"/>
      <c r="F1449" s="126"/>
      <c r="G1449" s="200"/>
      <c r="H1449" s="152"/>
      <c r="I1449" s="173"/>
      <c r="J1449" s="192"/>
      <c r="K1449" s="173"/>
      <c r="L1449" s="192"/>
    </row>
    <row r="1450" spans="1:12" ht="12.75">
      <c r="A1450" s="49"/>
      <c r="C1450" s="49"/>
      <c r="D1450" s="45"/>
      <c r="E1450" s="13"/>
      <c r="F1450" s="126"/>
      <c r="G1450" s="200"/>
      <c r="H1450" s="152"/>
      <c r="I1450" s="173"/>
      <c r="J1450" s="192"/>
      <c r="K1450" s="173"/>
      <c r="L1450" s="192"/>
    </row>
    <row r="1451" spans="1:12" ht="12.75">
      <c r="A1451" s="49"/>
      <c r="C1451" s="49"/>
      <c r="D1451" s="45"/>
      <c r="E1451" s="13"/>
      <c r="F1451" s="126"/>
      <c r="G1451" s="200"/>
      <c r="H1451" s="152"/>
      <c r="I1451" s="173"/>
      <c r="J1451" s="192"/>
      <c r="K1451" s="173"/>
      <c r="L1451" s="192"/>
    </row>
    <row r="1452" spans="1:12" ht="12.75">
      <c r="A1452" s="49"/>
      <c r="C1452" s="49"/>
      <c r="D1452" s="45"/>
      <c r="E1452" s="13"/>
      <c r="F1452" s="126"/>
      <c r="G1452" s="200"/>
      <c r="H1452" s="152"/>
      <c r="I1452" s="173"/>
      <c r="J1452" s="192"/>
      <c r="K1452" s="173"/>
      <c r="L1452" s="192"/>
    </row>
    <row r="1453" spans="1:12" ht="12.75">
      <c r="A1453" s="49"/>
      <c r="C1453" s="49"/>
      <c r="D1453" s="45"/>
      <c r="E1453" s="13"/>
      <c r="F1453" s="126"/>
      <c r="G1453" s="200"/>
      <c r="H1453" s="152"/>
      <c r="I1453" s="173"/>
      <c r="J1453" s="192"/>
      <c r="K1453" s="173"/>
      <c r="L1453" s="192"/>
    </row>
    <row r="1454" spans="1:12" ht="12.75">
      <c r="A1454" s="49"/>
      <c r="C1454" s="49"/>
      <c r="D1454" s="45"/>
      <c r="E1454" s="13"/>
      <c r="F1454" s="126"/>
      <c r="G1454" s="200"/>
      <c r="H1454" s="152"/>
      <c r="I1454" s="173"/>
      <c r="J1454" s="192"/>
      <c r="K1454" s="173"/>
      <c r="L1454" s="192"/>
    </row>
    <row r="1455" spans="1:12" ht="12.75">
      <c r="A1455" s="49"/>
      <c r="C1455" s="49"/>
      <c r="D1455" s="45"/>
      <c r="E1455" s="13"/>
      <c r="F1455" s="126"/>
      <c r="G1455" s="200"/>
      <c r="H1455" s="152"/>
      <c r="I1455" s="173"/>
      <c r="J1455" s="192"/>
      <c r="K1455" s="173"/>
      <c r="L1455" s="192"/>
    </row>
    <row r="1456" spans="1:12" ht="12.75">
      <c r="A1456" s="49"/>
      <c r="C1456" s="49"/>
      <c r="D1456" s="45"/>
      <c r="E1456" s="13"/>
      <c r="F1456" s="126"/>
      <c r="G1456" s="200"/>
      <c r="H1456" s="152"/>
      <c r="I1456" s="173"/>
      <c r="J1456" s="192"/>
      <c r="K1456" s="173"/>
      <c r="L1456" s="192"/>
    </row>
    <row r="1457" spans="1:12" ht="12.75">
      <c r="A1457" s="49"/>
      <c r="C1457" s="49"/>
      <c r="D1457" s="45"/>
      <c r="E1457" s="13"/>
      <c r="F1457" s="126"/>
      <c r="G1457" s="200"/>
      <c r="H1457" s="152"/>
      <c r="I1457" s="173"/>
      <c r="J1457" s="192"/>
      <c r="K1457" s="173"/>
      <c r="L1457" s="192"/>
    </row>
    <row r="1458" spans="1:12" ht="12.75">
      <c r="A1458" s="49"/>
      <c r="C1458" s="49"/>
      <c r="D1458" s="45"/>
      <c r="E1458" s="13"/>
      <c r="F1458" s="126"/>
      <c r="G1458" s="200"/>
      <c r="H1458" s="152"/>
      <c r="I1458" s="173"/>
      <c r="J1458" s="192"/>
      <c r="K1458" s="173"/>
      <c r="L1458" s="192"/>
    </row>
    <row r="1459" spans="1:12" ht="12.75">
      <c r="A1459" s="49"/>
      <c r="C1459" s="49"/>
      <c r="D1459" s="45"/>
      <c r="E1459" s="13"/>
      <c r="F1459" s="126"/>
      <c r="G1459" s="200"/>
      <c r="H1459" s="152"/>
      <c r="I1459" s="173"/>
      <c r="J1459" s="192"/>
      <c r="K1459" s="173"/>
      <c r="L1459" s="192"/>
    </row>
    <row r="1460" spans="1:12" ht="12.75">
      <c r="A1460" s="49"/>
      <c r="C1460" s="49"/>
      <c r="D1460" s="45"/>
      <c r="E1460" s="13"/>
      <c r="F1460" s="126"/>
      <c r="G1460" s="200"/>
      <c r="H1460" s="152"/>
      <c r="I1460" s="173"/>
      <c r="J1460" s="192"/>
      <c r="K1460" s="173"/>
      <c r="L1460" s="192"/>
    </row>
    <row r="1461" spans="1:12" ht="12.75">
      <c r="A1461" s="49"/>
      <c r="C1461" s="49"/>
      <c r="D1461" s="45"/>
      <c r="E1461" s="13"/>
      <c r="F1461" s="126"/>
      <c r="G1461" s="200"/>
      <c r="H1461" s="152"/>
      <c r="I1461" s="173"/>
      <c r="J1461" s="192"/>
      <c r="K1461" s="173"/>
      <c r="L1461" s="192"/>
    </row>
    <row r="1462" spans="1:12" ht="12.75">
      <c r="A1462" s="49"/>
      <c r="C1462" s="49"/>
      <c r="D1462" s="45"/>
      <c r="E1462" s="13"/>
      <c r="F1462" s="126"/>
      <c r="G1462" s="200"/>
      <c r="H1462" s="152"/>
      <c r="I1462" s="173"/>
      <c r="J1462" s="192"/>
      <c r="K1462" s="173"/>
      <c r="L1462" s="192"/>
    </row>
    <row r="1463" spans="1:12" ht="12.75">
      <c r="A1463" s="49"/>
      <c r="C1463" s="49"/>
      <c r="D1463" s="45"/>
      <c r="E1463" s="13"/>
      <c r="F1463" s="126"/>
      <c r="G1463" s="200"/>
      <c r="H1463" s="152"/>
      <c r="I1463" s="173"/>
      <c r="J1463" s="192"/>
      <c r="K1463" s="173"/>
      <c r="L1463" s="192"/>
    </row>
    <row r="1464" spans="1:12" ht="12.75">
      <c r="A1464" s="49"/>
      <c r="C1464" s="49"/>
      <c r="D1464" s="45"/>
      <c r="E1464" s="13"/>
      <c r="F1464" s="126"/>
      <c r="G1464" s="200"/>
      <c r="H1464" s="152"/>
      <c r="I1464" s="173"/>
      <c r="J1464" s="192"/>
      <c r="K1464" s="173"/>
      <c r="L1464" s="192"/>
    </row>
    <row r="1465" spans="1:12" ht="12.75">
      <c r="A1465" s="49"/>
      <c r="C1465" s="49"/>
      <c r="D1465" s="45"/>
      <c r="E1465" s="13"/>
      <c r="F1465" s="126"/>
      <c r="G1465" s="200"/>
      <c r="H1465" s="152"/>
      <c r="I1465" s="173"/>
      <c r="J1465" s="192"/>
      <c r="K1465" s="173"/>
      <c r="L1465" s="192"/>
    </row>
    <row r="1466" spans="1:12" ht="12.75">
      <c r="A1466" s="49"/>
      <c r="C1466" s="49"/>
      <c r="D1466" s="45"/>
      <c r="E1466" s="13"/>
      <c r="F1466" s="126"/>
      <c r="G1466" s="200"/>
      <c r="H1466" s="152"/>
      <c r="I1466" s="173"/>
      <c r="J1466" s="192"/>
      <c r="K1466" s="173"/>
      <c r="L1466" s="192"/>
    </row>
    <row r="1467" spans="1:12" ht="12.75">
      <c r="A1467" s="49"/>
      <c r="C1467" s="49"/>
      <c r="D1467" s="45"/>
      <c r="E1467" s="13"/>
      <c r="F1467" s="126"/>
      <c r="G1467" s="200"/>
      <c r="H1467" s="152"/>
      <c r="I1467" s="173"/>
      <c r="J1467" s="192"/>
      <c r="K1467" s="173"/>
      <c r="L1467" s="192"/>
    </row>
    <row r="1468" spans="1:12" ht="12.75">
      <c r="A1468" s="49"/>
      <c r="C1468" s="49"/>
      <c r="D1468" s="45"/>
      <c r="E1468" s="13"/>
      <c r="F1468" s="126"/>
      <c r="G1468" s="200"/>
      <c r="H1468" s="152"/>
      <c r="I1468" s="173"/>
      <c r="J1468" s="192"/>
      <c r="K1468" s="173"/>
      <c r="L1468" s="192"/>
    </row>
    <row r="1469" spans="1:12" ht="12.75">
      <c r="A1469" s="49"/>
      <c r="C1469" s="49"/>
      <c r="D1469" s="45"/>
      <c r="E1469" s="13"/>
      <c r="F1469" s="126"/>
      <c r="G1469" s="200"/>
      <c r="H1469" s="152"/>
      <c r="I1469" s="173"/>
      <c r="J1469" s="192"/>
      <c r="K1469" s="173"/>
      <c r="L1469" s="192"/>
    </row>
    <row r="1470" spans="1:12" ht="12.75">
      <c r="A1470" s="49"/>
      <c r="C1470" s="49"/>
      <c r="D1470" s="45"/>
      <c r="E1470" s="13"/>
      <c r="F1470" s="126"/>
      <c r="G1470" s="200"/>
      <c r="H1470" s="152"/>
      <c r="I1470" s="173"/>
      <c r="J1470" s="192"/>
      <c r="K1470" s="173"/>
      <c r="L1470" s="192"/>
    </row>
    <row r="1471" spans="1:12" ht="12.75">
      <c r="A1471" s="49"/>
      <c r="C1471" s="49"/>
      <c r="D1471" s="45"/>
      <c r="E1471" s="13"/>
      <c r="F1471" s="126"/>
      <c r="G1471" s="200"/>
      <c r="H1471" s="152"/>
      <c r="I1471" s="173"/>
      <c r="J1471" s="192"/>
      <c r="K1471" s="173"/>
      <c r="L1471" s="192"/>
    </row>
    <row r="1472" spans="1:12" ht="12.75">
      <c r="A1472" s="49"/>
      <c r="C1472" s="49"/>
      <c r="D1472" s="45"/>
      <c r="E1472" s="13"/>
      <c r="F1472" s="126"/>
      <c r="G1472" s="200"/>
      <c r="H1472" s="152"/>
      <c r="I1472" s="173"/>
      <c r="J1472" s="192"/>
      <c r="K1472" s="173"/>
      <c r="L1472" s="192"/>
    </row>
    <row r="1473" spans="1:12" ht="12.75">
      <c r="A1473" s="49"/>
      <c r="C1473" s="49"/>
      <c r="D1473" s="45"/>
      <c r="E1473" s="13"/>
      <c r="F1473" s="126"/>
      <c r="G1473" s="200"/>
      <c r="H1473" s="152"/>
      <c r="I1473" s="173"/>
      <c r="J1473" s="192"/>
      <c r="K1473" s="173"/>
      <c r="L1473" s="192"/>
    </row>
    <row r="1474" spans="1:12" ht="12.75">
      <c r="A1474" s="49"/>
      <c r="C1474" s="49"/>
      <c r="D1474" s="45"/>
      <c r="E1474" s="13"/>
      <c r="F1474" s="126"/>
      <c r="G1474" s="200"/>
      <c r="H1474" s="152"/>
      <c r="I1474" s="173"/>
      <c r="J1474" s="192"/>
      <c r="K1474" s="173"/>
      <c r="L1474" s="192"/>
    </row>
    <row r="1475" spans="1:12" ht="12.75">
      <c r="A1475" s="49"/>
      <c r="C1475" s="49"/>
      <c r="D1475" s="45"/>
      <c r="E1475" s="13"/>
      <c r="F1475" s="126"/>
      <c r="G1475" s="200"/>
      <c r="H1475" s="152"/>
      <c r="I1475" s="173"/>
      <c r="J1475" s="192"/>
      <c r="K1475" s="173"/>
      <c r="L1475" s="192"/>
    </row>
    <row r="1476" spans="1:12" ht="12.75">
      <c r="A1476" s="49"/>
      <c r="C1476" s="49"/>
      <c r="D1476" s="45"/>
      <c r="E1476" s="13"/>
      <c r="F1476" s="126"/>
      <c r="G1476" s="200"/>
      <c r="H1476" s="152"/>
      <c r="I1476" s="173"/>
      <c r="J1476" s="192"/>
      <c r="K1476" s="173"/>
      <c r="L1476" s="192"/>
    </row>
    <row r="1477" spans="1:12" ht="12.75">
      <c r="A1477" s="49"/>
      <c r="C1477" s="49"/>
      <c r="D1477" s="45"/>
      <c r="E1477" s="13"/>
      <c r="F1477" s="126"/>
      <c r="G1477" s="200"/>
      <c r="H1477" s="152"/>
      <c r="I1477" s="173"/>
      <c r="J1477" s="192"/>
      <c r="K1477" s="173"/>
      <c r="L1477" s="192"/>
    </row>
    <row r="1478" spans="1:12" ht="12.75">
      <c r="A1478" s="49"/>
      <c r="C1478" s="49"/>
      <c r="D1478" s="45"/>
      <c r="E1478" s="13"/>
      <c r="F1478" s="126"/>
      <c r="G1478" s="200"/>
      <c r="H1478" s="152"/>
      <c r="I1478" s="173"/>
      <c r="J1478" s="192"/>
      <c r="K1478" s="173"/>
      <c r="L1478" s="192"/>
    </row>
    <row r="1479" spans="1:12" ht="12.75">
      <c r="A1479" s="49"/>
      <c r="C1479" s="49"/>
      <c r="D1479" s="45"/>
      <c r="E1479" s="13"/>
      <c r="F1479" s="126"/>
      <c r="G1479" s="200"/>
      <c r="H1479" s="152"/>
      <c r="I1479" s="173"/>
      <c r="J1479" s="192"/>
      <c r="K1479" s="173"/>
      <c r="L1479" s="192"/>
    </row>
    <row r="1480" spans="1:12" ht="12.75">
      <c r="A1480" s="49"/>
      <c r="C1480" s="49"/>
      <c r="D1480" s="45"/>
      <c r="E1480" s="13"/>
      <c r="F1480" s="126"/>
      <c r="G1480" s="200"/>
      <c r="H1480" s="152"/>
      <c r="I1480" s="173"/>
      <c r="J1480" s="192"/>
      <c r="K1480" s="173"/>
      <c r="L1480" s="192"/>
    </row>
    <row r="1481" spans="1:12" ht="12.75">
      <c r="A1481" s="49"/>
      <c r="C1481" s="49"/>
      <c r="D1481" s="45"/>
      <c r="E1481" s="13"/>
      <c r="F1481" s="126"/>
      <c r="G1481" s="200"/>
      <c r="H1481" s="152"/>
      <c r="I1481" s="173"/>
      <c r="J1481" s="192"/>
      <c r="K1481" s="173"/>
      <c r="L1481" s="192"/>
    </row>
    <row r="1482" spans="1:12" ht="12.75">
      <c r="A1482" s="49"/>
      <c r="C1482" s="49"/>
      <c r="D1482" s="45"/>
      <c r="E1482" s="13"/>
      <c r="F1482" s="126"/>
      <c r="G1482" s="200"/>
      <c r="H1482" s="152"/>
      <c r="I1482" s="173"/>
      <c r="J1482" s="192"/>
      <c r="K1482" s="173"/>
      <c r="L1482" s="192"/>
    </row>
    <row r="1483" spans="1:12" ht="12.75">
      <c r="A1483" s="49"/>
      <c r="C1483" s="49"/>
      <c r="D1483" s="45"/>
      <c r="E1483" s="13"/>
      <c r="F1483" s="126"/>
      <c r="G1483" s="200"/>
      <c r="H1483" s="152"/>
      <c r="I1483" s="173"/>
      <c r="J1483" s="192"/>
      <c r="K1483" s="173"/>
      <c r="L1483" s="192"/>
    </row>
    <row r="1484" spans="1:12" ht="12.75">
      <c r="A1484" s="49"/>
      <c r="C1484" s="49"/>
      <c r="D1484" s="45"/>
      <c r="E1484" s="13"/>
      <c r="F1484" s="126"/>
      <c r="G1484" s="200"/>
      <c r="H1484" s="152"/>
      <c r="I1484" s="173"/>
      <c r="J1484" s="192"/>
      <c r="K1484" s="173"/>
      <c r="L1484" s="192"/>
    </row>
    <row r="1485" spans="1:12" ht="12.75">
      <c r="A1485" s="49"/>
      <c r="C1485" s="49"/>
      <c r="D1485" s="45"/>
      <c r="E1485" s="13"/>
      <c r="F1485" s="126"/>
      <c r="G1485" s="200"/>
      <c r="H1485" s="152"/>
      <c r="I1485" s="173"/>
      <c r="J1485" s="192"/>
      <c r="K1485" s="173"/>
      <c r="L1485" s="192"/>
    </row>
    <row r="1486" spans="1:12" ht="12.75">
      <c r="A1486" s="49"/>
      <c r="C1486" s="49"/>
      <c r="D1486" s="45"/>
      <c r="E1486" s="13"/>
      <c r="F1486" s="126"/>
      <c r="G1486" s="200"/>
      <c r="H1486" s="152"/>
      <c r="I1486" s="173"/>
      <c r="J1486" s="192"/>
      <c r="K1486" s="173"/>
      <c r="L1486" s="192"/>
    </row>
    <row r="1487" spans="1:12" ht="12.75">
      <c r="A1487" s="49"/>
      <c r="C1487" s="49"/>
      <c r="D1487" s="45"/>
      <c r="E1487" s="13"/>
      <c r="F1487" s="126"/>
      <c r="G1487" s="200"/>
      <c r="H1487" s="152"/>
      <c r="I1487" s="173"/>
      <c r="J1487" s="192"/>
      <c r="K1487" s="173"/>
      <c r="L1487" s="192"/>
    </row>
    <row r="1488" spans="1:12" ht="12.75">
      <c r="A1488" s="49"/>
      <c r="C1488" s="49"/>
      <c r="D1488" s="45"/>
      <c r="E1488" s="13"/>
      <c r="F1488" s="126"/>
      <c r="G1488" s="200"/>
      <c r="H1488" s="152"/>
      <c r="I1488" s="173"/>
      <c r="J1488" s="192"/>
      <c r="K1488" s="173"/>
      <c r="L1488" s="192"/>
    </row>
    <row r="1489" spans="1:12" ht="12.75">
      <c r="A1489" s="49"/>
      <c r="C1489" s="49"/>
      <c r="D1489" s="45"/>
      <c r="E1489" s="13"/>
      <c r="F1489" s="126"/>
      <c r="G1489" s="200"/>
      <c r="H1489" s="152"/>
      <c r="I1489" s="173"/>
      <c r="J1489" s="192"/>
      <c r="K1489" s="173"/>
      <c r="L1489" s="192"/>
    </row>
    <row r="1490" spans="1:12" ht="12.75">
      <c r="A1490" s="49"/>
      <c r="C1490" s="49"/>
      <c r="D1490" s="45"/>
      <c r="E1490" s="13"/>
      <c r="F1490" s="126"/>
      <c r="G1490" s="200"/>
      <c r="H1490" s="152"/>
      <c r="I1490" s="173"/>
      <c r="J1490" s="192"/>
      <c r="K1490" s="173"/>
      <c r="L1490" s="192"/>
    </row>
    <row r="1491" spans="1:12" ht="12.75">
      <c r="A1491" s="49"/>
      <c r="C1491" s="49"/>
      <c r="D1491" s="45"/>
      <c r="E1491" s="13"/>
      <c r="F1491" s="126"/>
      <c r="G1491" s="200"/>
      <c r="H1491" s="152"/>
      <c r="I1491" s="173"/>
      <c r="J1491" s="192"/>
      <c r="K1491" s="173"/>
      <c r="L1491" s="192"/>
    </row>
    <row r="1492" spans="1:12" ht="12.75">
      <c r="A1492" s="49"/>
      <c r="C1492" s="49"/>
      <c r="D1492" s="45"/>
      <c r="E1492" s="13"/>
      <c r="F1492" s="126"/>
      <c r="G1492" s="200"/>
      <c r="H1492" s="152"/>
      <c r="I1492" s="173"/>
      <c r="J1492" s="192"/>
      <c r="K1492" s="173"/>
      <c r="L1492" s="192"/>
    </row>
    <row r="1493" spans="1:12" ht="12.75">
      <c r="A1493" s="49"/>
      <c r="C1493" s="49"/>
      <c r="D1493" s="45"/>
      <c r="E1493" s="13"/>
      <c r="F1493" s="126"/>
      <c r="G1493" s="200"/>
      <c r="H1493" s="152"/>
      <c r="I1493" s="173"/>
      <c r="J1493" s="192"/>
      <c r="K1493" s="173"/>
      <c r="L1493" s="192"/>
    </row>
    <row r="1494" spans="1:12" ht="12.75">
      <c r="A1494" s="49"/>
      <c r="C1494" s="49"/>
      <c r="D1494" s="45"/>
      <c r="E1494" s="13"/>
      <c r="F1494" s="126"/>
      <c r="G1494" s="200"/>
      <c r="H1494" s="152"/>
      <c r="I1494" s="173"/>
      <c r="J1494" s="192"/>
      <c r="K1494" s="173"/>
      <c r="L1494" s="192"/>
    </row>
    <row r="1495" spans="1:12" ht="12.75">
      <c r="A1495" s="49"/>
      <c r="C1495" s="49"/>
      <c r="D1495" s="45"/>
      <c r="E1495" s="13"/>
      <c r="F1495" s="126"/>
      <c r="G1495" s="200"/>
      <c r="H1495" s="152"/>
      <c r="I1495" s="173"/>
      <c r="J1495" s="192"/>
      <c r="K1495" s="173"/>
      <c r="L1495" s="192"/>
    </row>
    <row r="1496" spans="1:12" ht="12.75">
      <c r="A1496" s="49"/>
      <c r="C1496" s="49"/>
      <c r="D1496" s="45"/>
      <c r="E1496" s="13"/>
      <c r="F1496" s="126"/>
      <c r="G1496" s="200"/>
      <c r="H1496" s="152"/>
      <c r="I1496" s="173"/>
      <c r="J1496" s="192"/>
      <c r="K1496" s="173"/>
      <c r="L1496" s="192"/>
    </row>
    <row r="1497" spans="1:12" ht="12.75">
      <c r="A1497" s="49"/>
      <c r="C1497" s="49"/>
      <c r="D1497" s="45"/>
      <c r="E1497" s="13"/>
      <c r="F1497" s="126"/>
      <c r="G1497" s="200"/>
      <c r="H1497" s="152"/>
      <c r="I1497" s="173"/>
      <c r="J1497" s="192"/>
      <c r="K1497" s="173"/>
      <c r="L1497" s="192"/>
    </row>
    <row r="1498" spans="1:12" ht="12.75">
      <c r="A1498" s="49"/>
      <c r="C1498" s="49"/>
      <c r="D1498" s="45"/>
      <c r="E1498" s="13"/>
      <c r="F1498" s="126"/>
      <c r="G1498" s="200"/>
      <c r="H1498" s="152"/>
      <c r="I1498" s="173"/>
      <c r="J1498" s="192"/>
      <c r="K1498" s="173"/>
      <c r="L1498" s="192"/>
    </row>
    <row r="1499" spans="1:12" ht="12.75">
      <c r="A1499" s="49"/>
      <c r="C1499" s="49"/>
      <c r="D1499" s="45"/>
      <c r="E1499" s="13"/>
      <c r="F1499" s="126"/>
      <c r="G1499" s="200"/>
      <c r="H1499" s="152"/>
      <c r="I1499" s="173"/>
      <c r="J1499" s="192"/>
      <c r="K1499" s="173"/>
      <c r="L1499" s="192"/>
    </row>
    <row r="1500" spans="1:12" ht="12.75">
      <c r="A1500" s="49"/>
      <c r="C1500" s="49"/>
      <c r="D1500" s="45"/>
      <c r="E1500" s="13"/>
      <c r="F1500" s="126"/>
      <c r="G1500" s="200"/>
      <c r="H1500" s="152"/>
      <c r="I1500" s="173"/>
      <c r="J1500" s="192"/>
      <c r="K1500" s="173"/>
      <c r="L1500" s="192"/>
    </row>
    <row r="1501" spans="1:12" ht="12.75">
      <c r="A1501" s="49"/>
      <c r="C1501" s="49"/>
      <c r="D1501" s="45"/>
      <c r="E1501" s="13"/>
      <c r="F1501" s="126"/>
      <c r="G1501" s="200"/>
      <c r="H1501" s="152"/>
      <c r="I1501" s="173"/>
      <c r="J1501" s="192"/>
      <c r="K1501" s="173"/>
      <c r="L1501" s="192"/>
    </row>
    <row r="1502" spans="1:12" ht="12.75">
      <c r="A1502" s="49"/>
      <c r="C1502" s="49"/>
      <c r="D1502" s="45"/>
      <c r="E1502" s="13"/>
      <c r="F1502" s="126"/>
      <c r="G1502" s="200"/>
      <c r="H1502" s="152"/>
      <c r="I1502" s="173"/>
      <c r="J1502" s="192"/>
      <c r="K1502" s="173"/>
      <c r="L1502" s="192"/>
    </row>
    <row r="1503" spans="1:12" ht="12.75">
      <c r="A1503" s="49"/>
      <c r="C1503" s="49"/>
      <c r="D1503" s="45"/>
      <c r="E1503" s="13"/>
      <c r="F1503" s="126"/>
      <c r="G1503" s="200"/>
      <c r="H1503" s="152"/>
      <c r="I1503" s="173"/>
      <c r="J1503" s="192"/>
      <c r="K1503" s="173"/>
      <c r="L1503" s="192"/>
    </row>
    <row r="1504" spans="1:12" ht="12.75">
      <c r="A1504" s="49"/>
      <c r="C1504" s="49"/>
      <c r="D1504" s="45"/>
      <c r="E1504" s="13"/>
      <c r="F1504" s="126"/>
      <c r="G1504" s="200"/>
      <c r="H1504" s="152"/>
      <c r="I1504" s="173"/>
      <c r="J1504" s="192"/>
      <c r="K1504" s="173"/>
      <c r="L1504" s="192"/>
    </row>
    <row r="1505" spans="1:12" ht="12.75">
      <c r="A1505" s="49"/>
      <c r="C1505" s="49"/>
      <c r="D1505" s="45"/>
      <c r="E1505" s="13"/>
      <c r="F1505" s="126"/>
      <c r="G1505" s="200"/>
      <c r="H1505" s="152"/>
      <c r="I1505" s="173"/>
      <c r="J1505" s="192"/>
      <c r="K1505" s="173"/>
      <c r="L1505" s="192"/>
    </row>
    <row r="1506" spans="1:12" ht="12.75">
      <c r="A1506" s="49"/>
      <c r="C1506" s="49"/>
      <c r="D1506" s="45"/>
      <c r="E1506" s="13"/>
      <c r="F1506" s="126"/>
      <c r="G1506" s="200"/>
      <c r="H1506" s="152"/>
      <c r="I1506" s="173"/>
      <c r="J1506" s="192"/>
      <c r="K1506" s="173"/>
      <c r="L1506" s="192"/>
    </row>
    <row r="1507" spans="1:12" ht="12.75">
      <c r="A1507" s="49"/>
      <c r="C1507" s="49"/>
      <c r="D1507" s="45"/>
      <c r="E1507" s="13"/>
      <c r="F1507" s="126"/>
      <c r="G1507" s="200"/>
      <c r="H1507" s="152"/>
      <c r="I1507" s="173"/>
      <c r="J1507" s="192"/>
      <c r="K1507" s="173"/>
      <c r="L1507" s="192"/>
    </row>
    <row r="1508" spans="1:12" ht="12.75">
      <c r="A1508" s="49"/>
      <c r="C1508" s="49"/>
      <c r="D1508" s="45"/>
      <c r="E1508" s="13"/>
      <c r="F1508" s="126"/>
      <c r="G1508" s="200"/>
      <c r="H1508" s="152"/>
      <c r="I1508" s="173"/>
      <c r="J1508" s="192"/>
      <c r="K1508" s="173"/>
      <c r="L1508" s="192"/>
    </row>
    <row r="1509" spans="1:12" ht="12.75">
      <c r="A1509" s="49"/>
      <c r="C1509" s="49"/>
      <c r="D1509" s="45"/>
      <c r="E1509" s="13"/>
      <c r="F1509" s="126"/>
      <c r="G1509" s="200"/>
      <c r="H1509" s="152"/>
      <c r="I1509" s="173"/>
      <c r="J1509" s="192"/>
      <c r="K1509" s="173"/>
      <c r="L1509" s="192"/>
    </row>
    <row r="1510" spans="1:12" ht="12.75">
      <c r="A1510" s="49"/>
      <c r="C1510" s="49"/>
      <c r="D1510" s="45"/>
      <c r="E1510" s="13"/>
      <c r="F1510" s="126"/>
      <c r="G1510" s="200"/>
      <c r="H1510" s="152"/>
      <c r="I1510" s="173"/>
      <c r="J1510" s="192"/>
      <c r="K1510" s="173"/>
      <c r="L1510" s="192"/>
    </row>
    <row r="1511" spans="1:12" ht="12.75">
      <c r="A1511" s="49"/>
      <c r="C1511" s="49"/>
      <c r="D1511" s="45"/>
      <c r="E1511" s="13"/>
      <c r="F1511" s="126"/>
      <c r="G1511" s="200"/>
      <c r="H1511" s="152"/>
      <c r="I1511" s="173"/>
      <c r="J1511" s="192"/>
      <c r="K1511" s="173"/>
      <c r="L1511" s="192"/>
    </row>
    <row r="1512" spans="1:12" ht="12.75">
      <c r="A1512" s="49"/>
      <c r="C1512" s="49"/>
      <c r="D1512" s="45"/>
      <c r="E1512" s="13"/>
      <c r="F1512" s="126"/>
      <c r="G1512" s="200"/>
      <c r="H1512" s="152"/>
      <c r="I1512" s="173"/>
      <c r="J1512" s="192"/>
      <c r="K1512" s="173"/>
      <c r="L1512" s="192"/>
    </row>
    <row r="1513" spans="1:12" ht="12.75">
      <c r="A1513" s="49"/>
      <c r="C1513" s="49"/>
      <c r="D1513" s="45"/>
      <c r="E1513" s="13"/>
      <c r="F1513" s="126"/>
      <c r="G1513" s="200"/>
      <c r="H1513" s="152"/>
      <c r="I1513" s="173"/>
      <c r="J1513" s="192"/>
      <c r="K1513" s="173"/>
      <c r="L1513" s="192"/>
    </row>
    <row r="1514" spans="1:12" ht="12.75">
      <c r="A1514" s="49"/>
      <c r="C1514" s="49"/>
      <c r="D1514" s="45"/>
      <c r="E1514" s="13"/>
      <c r="F1514" s="126"/>
      <c r="G1514" s="200"/>
      <c r="H1514" s="152"/>
      <c r="I1514" s="173"/>
      <c r="J1514" s="192"/>
      <c r="K1514" s="173"/>
      <c r="L1514" s="192"/>
    </row>
    <row r="1515" spans="1:12" ht="12.75">
      <c r="A1515" s="49"/>
      <c r="C1515" s="49"/>
      <c r="D1515" s="45"/>
      <c r="E1515" s="13"/>
      <c r="F1515" s="126"/>
      <c r="G1515" s="200"/>
      <c r="H1515" s="152"/>
      <c r="I1515" s="173"/>
      <c r="J1515" s="192"/>
      <c r="K1515" s="173"/>
      <c r="L1515" s="192"/>
    </row>
    <row r="1516" spans="1:12" ht="12.75">
      <c r="A1516" s="49"/>
      <c r="C1516" s="49"/>
      <c r="D1516" s="45"/>
      <c r="E1516" s="13"/>
      <c r="F1516" s="126"/>
      <c r="G1516" s="200"/>
      <c r="H1516" s="152"/>
      <c r="I1516" s="173"/>
      <c r="J1516" s="192"/>
      <c r="K1516" s="173"/>
      <c r="L1516" s="192"/>
    </row>
    <row r="1517" spans="1:12" ht="12.75">
      <c r="A1517" s="49"/>
      <c r="C1517" s="49"/>
      <c r="D1517" s="45"/>
      <c r="E1517" s="13"/>
      <c r="F1517" s="126"/>
      <c r="G1517" s="200"/>
      <c r="H1517" s="152"/>
      <c r="I1517" s="173"/>
      <c r="J1517" s="192"/>
      <c r="K1517" s="173"/>
      <c r="L1517" s="192"/>
    </row>
    <row r="1518" spans="1:12" ht="12.75">
      <c r="A1518" s="49"/>
      <c r="C1518" s="49"/>
      <c r="D1518" s="45"/>
      <c r="E1518" s="13"/>
      <c r="F1518" s="126"/>
      <c r="G1518" s="200"/>
      <c r="H1518" s="152"/>
      <c r="I1518" s="173"/>
      <c r="J1518" s="192"/>
      <c r="K1518" s="173"/>
      <c r="L1518" s="192"/>
    </row>
    <row r="1519" spans="1:12" ht="12.75">
      <c r="A1519" s="49"/>
      <c r="C1519" s="49"/>
      <c r="D1519" s="45"/>
      <c r="E1519" s="13"/>
      <c r="F1519" s="126"/>
      <c r="G1519" s="200"/>
      <c r="H1519" s="152"/>
      <c r="I1519" s="173"/>
      <c r="J1519" s="192"/>
      <c r="K1519" s="173"/>
      <c r="L1519" s="192"/>
    </row>
    <row r="1520" spans="1:12" ht="12.75">
      <c r="A1520" s="49"/>
      <c r="C1520" s="49"/>
      <c r="D1520" s="45"/>
      <c r="E1520" s="13"/>
      <c r="F1520" s="126"/>
      <c r="G1520" s="200"/>
      <c r="H1520" s="152"/>
      <c r="I1520" s="173"/>
      <c r="J1520" s="192"/>
      <c r="K1520" s="173"/>
      <c r="L1520" s="192"/>
    </row>
    <row r="1521" spans="1:12" ht="12.75">
      <c r="A1521" s="49"/>
      <c r="C1521" s="49"/>
      <c r="D1521" s="45"/>
      <c r="E1521" s="13"/>
      <c r="F1521" s="126"/>
      <c r="G1521" s="200"/>
      <c r="H1521" s="152"/>
      <c r="I1521" s="173"/>
      <c r="J1521" s="192"/>
      <c r="K1521" s="173"/>
      <c r="L1521" s="192"/>
    </row>
    <row r="1522" spans="1:12" ht="12.75">
      <c r="A1522" s="49"/>
      <c r="C1522" s="49"/>
      <c r="D1522" s="45"/>
      <c r="E1522" s="13"/>
      <c r="F1522" s="126"/>
      <c r="G1522" s="200"/>
      <c r="H1522" s="152"/>
      <c r="I1522" s="173"/>
      <c r="J1522" s="192"/>
      <c r="K1522" s="173"/>
      <c r="L1522" s="192"/>
    </row>
    <row r="1523" spans="1:12" ht="12.75">
      <c r="A1523" s="49"/>
      <c r="C1523" s="49"/>
      <c r="D1523" s="45"/>
      <c r="E1523" s="13"/>
      <c r="F1523" s="126"/>
      <c r="G1523" s="200"/>
      <c r="H1523" s="152"/>
      <c r="I1523" s="173"/>
      <c r="J1523" s="192"/>
      <c r="K1523" s="173"/>
      <c r="L1523" s="192"/>
    </row>
    <row r="1524" spans="1:12" ht="12.75">
      <c r="A1524" s="49"/>
      <c r="C1524" s="49"/>
      <c r="D1524" s="45"/>
      <c r="E1524" s="13"/>
      <c r="F1524" s="126"/>
      <c r="G1524" s="200"/>
      <c r="H1524" s="152"/>
      <c r="I1524" s="173"/>
      <c r="J1524" s="192"/>
      <c r="K1524" s="173"/>
      <c r="L1524" s="192"/>
    </row>
    <row r="1525" spans="1:12" ht="12.75">
      <c r="A1525" s="49"/>
      <c r="C1525" s="49"/>
      <c r="D1525" s="45"/>
      <c r="E1525" s="13"/>
      <c r="F1525" s="126"/>
      <c r="G1525" s="200"/>
      <c r="H1525" s="152"/>
      <c r="I1525" s="173"/>
      <c r="J1525" s="192"/>
      <c r="K1525" s="173"/>
      <c r="L1525" s="192"/>
    </row>
    <row r="1526" spans="1:12" ht="12.75">
      <c r="A1526" s="49"/>
      <c r="C1526" s="49"/>
      <c r="D1526" s="45"/>
      <c r="E1526" s="13"/>
      <c r="F1526" s="126"/>
      <c r="G1526" s="200"/>
      <c r="H1526" s="152"/>
      <c r="I1526" s="173"/>
      <c r="J1526" s="192"/>
      <c r="K1526" s="173"/>
      <c r="L1526" s="192"/>
    </row>
    <row r="1527" spans="1:12" ht="12.75">
      <c r="A1527" s="49"/>
      <c r="C1527" s="49"/>
      <c r="D1527" s="45"/>
      <c r="E1527" s="13"/>
      <c r="F1527" s="126"/>
      <c r="G1527" s="200"/>
      <c r="H1527" s="152"/>
      <c r="I1527" s="173"/>
      <c r="J1527" s="192"/>
      <c r="K1527" s="173"/>
      <c r="L1527" s="192"/>
    </row>
    <row r="1528" spans="1:12" ht="12.75">
      <c r="A1528" s="49"/>
      <c r="C1528" s="49"/>
      <c r="D1528" s="45"/>
      <c r="E1528" s="13"/>
      <c r="F1528" s="126"/>
      <c r="G1528" s="200"/>
      <c r="H1528" s="152"/>
      <c r="I1528" s="173"/>
      <c r="J1528" s="192"/>
      <c r="K1528" s="173"/>
      <c r="L1528" s="192"/>
    </row>
    <row r="1529" spans="1:12" ht="12.75">
      <c r="A1529" s="49"/>
      <c r="C1529" s="49"/>
      <c r="D1529" s="45"/>
      <c r="E1529" s="13"/>
      <c r="F1529" s="126"/>
      <c r="G1529" s="200"/>
      <c r="H1529" s="152"/>
      <c r="I1529" s="173"/>
      <c r="J1529" s="192"/>
      <c r="K1529" s="173"/>
      <c r="L1529" s="192"/>
    </row>
    <row r="1530" spans="1:12" ht="12.75">
      <c r="A1530" s="49"/>
      <c r="C1530" s="49"/>
      <c r="D1530" s="45"/>
      <c r="E1530" s="13"/>
      <c r="F1530" s="126"/>
      <c r="G1530" s="200"/>
      <c r="H1530" s="152"/>
      <c r="I1530" s="173"/>
      <c r="J1530" s="192"/>
      <c r="K1530" s="173"/>
      <c r="L1530" s="192"/>
    </row>
    <row r="1531" spans="1:12" ht="12.75">
      <c r="A1531" s="49"/>
      <c r="C1531" s="49"/>
      <c r="D1531" s="45"/>
      <c r="E1531" s="13"/>
      <c r="F1531" s="126"/>
      <c r="G1531" s="200"/>
      <c r="H1531" s="152"/>
      <c r="I1531" s="173"/>
      <c r="J1531" s="192"/>
      <c r="K1531" s="173"/>
      <c r="L1531" s="192"/>
    </row>
    <row r="1532" spans="1:12" ht="12.75">
      <c r="A1532" s="49"/>
      <c r="C1532" s="49"/>
      <c r="D1532" s="45"/>
      <c r="E1532" s="13"/>
      <c r="F1532" s="126"/>
      <c r="G1532" s="200"/>
      <c r="H1532" s="152"/>
      <c r="I1532" s="173"/>
      <c r="J1532" s="192"/>
      <c r="K1532" s="173"/>
      <c r="L1532" s="192"/>
    </row>
    <row r="1533" spans="1:12" ht="12.75">
      <c r="A1533" s="49"/>
      <c r="C1533" s="49"/>
      <c r="D1533" s="45"/>
      <c r="E1533" s="13"/>
      <c r="F1533" s="126"/>
      <c r="G1533" s="200"/>
      <c r="H1533" s="152"/>
      <c r="I1533" s="173"/>
      <c r="J1533" s="192"/>
      <c r="K1533" s="173"/>
      <c r="L1533" s="192"/>
    </row>
    <row r="1534" spans="1:12" ht="12.75">
      <c r="A1534" s="49"/>
      <c r="C1534" s="49"/>
      <c r="D1534" s="45"/>
      <c r="E1534" s="13"/>
      <c r="F1534" s="126"/>
      <c r="G1534" s="200"/>
      <c r="H1534" s="152"/>
      <c r="I1534" s="173"/>
      <c r="J1534" s="192"/>
      <c r="K1534" s="173"/>
      <c r="L1534" s="192"/>
    </row>
    <row r="1535" spans="1:12" ht="12.75">
      <c r="A1535" s="49"/>
      <c r="C1535" s="49"/>
      <c r="D1535" s="45"/>
      <c r="E1535" s="13"/>
      <c r="F1535" s="126"/>
      <c r="G1535" s="200"/>
      <c r="H1535" s="152"/>
      <c r="I1535" s="173"/>
      <c r="J1535" s="192"/>
      <c r="K1535" s="173"/>
      <c r="L1535" s="192"/>
    </row>
    <row r="1536" spans="1:12" ht="12.75">
      <c r="A1536" s="49"/>
      <c r="C1536" s="49"/>
      <c r="D1536" s="45"/>
      <c r="E1536" s="13"/>
      <c r="F1536" s="126"/>
      <c r="G1536" s="200"/>
      <c r="H1536" s="152"/>
      <c r="I1536" s="173"/>
      <c r="J1536" s="192"/>
      <c r="K1536" s="173"/>
      <c r="L1536" s="192"/>
    </row>
    <row r="1537" spans="1:12" ht="12.75">
      <c r="A1537" s="49"/>
      <c r="C1537" s="49"/>
      <c r="D1537" s="45"/>
      <c r="E1537" s="13"/>
      <c r="F1537" s="126"/>
      <c r="G1537" s="200"/>
      <c r="H1537" s="152"/>
      <c r="I1537" s="173"/>
      <c r="J1537" s="192"/>
      <c r="K1537" s="173"/>
      <c r="L1537" s="192"/>
    </row>
    <row r="1538" spans="1:12" ht="12.75">
      <c r="A1538" s="49"/>
      <c r="C1538" s="49"/>
      <c r="D1538" s="45"/>
      <c r="E1538" s="13"/>
      <c r="F1538" s="126"/>
      <c r="G1538" s="200"/>
      <c r="H1538" s="152"/>
      <c r="I1538" s="173"/>
      <c r="J1538" s="192"/>
      <c r="K1538" s="173"/>
      <c r="L1538" s="192"/>
    </row>
    <row r="1539" spans="1:12" ht="12.75">
      <c r="A1539" s="49"/>
      <c r="C1539" s="49"/>
      <c r="D1539" s="45"/>
      <c r="E1539" s="13"/>
      <c r="F1539" s="126"/>
      <c r="G1539" s="200"/>
      <c r="H1539" s="152"/>
      <c r="I1539" s="173"/>
      <c r="J1539" s="192"/>
      <c r="K1539" s="173"/>
      <c r="L1539" s="192"/>
    </row>
    <row r="1540" spans="1:12" ht="12.75">
      <c r="A1540" s="49"/>
      <c r="C1540" s="49"/>
      <c r="D1540" s="45"/>
      <c r="E1540" s="13"/>
      <c r="F1540" s="126"/>
      <c r="G1540" s="200"/>
      <c r="H1540" s="152"/>
      <c r="I1540" s="173"/>
      <c r="J1540" s="192"/>
      <c r="K1540" s="173"/>
      <c r="L1540" s="192"/>
    </row>
    <row r="1541" spans="1:12" ht="12.75">
      <c r="A1541" s="49"/>
      <c r="C1541" s="49"/>
      <c r="D1541" s="45"/>
      <c r="E1541" s="13"/>
      <c r="F1541" s="126"/>
      <c r="G1541" s="200"/>
      <c r="H1541" s="152"/>
      <c r="I1541" s="173"/>
      <c r="J1541" s="192"/>
      <c r="K1541" s="173"/>
      <c r="L1541" s="192"/>
    </row>
    <row r="1542" spans="1:12" ht="12.75">
      <c r="A1542" s="49"/>
      <c r="C1542" s="49"/>
      <c r="D1542" s="45"/>
      <c r="E1542" s="13"/>
      <c r="F1542" s="126"/>
      <c r="G1542" s="200"/>
      <c r="H1542" s="152"/>
      <c r="I1542" s="173"/>
      <c r="J1542" s="192"/>
      <c r="K1542" s="173"/>
      <c r="L1542" s="192"/>
    </row>
    <row r="1543" spans="1:12" ht="12.75">
      <c r="A1543" s="49"/>
      <c r="C1543" s="49"/>
      <c r="D1543" s="45"/>
      <c r="E1543" s="13"/>
      <c r="F1543" s="126"/>
      <c r="G1543" s="200"/>
      <c r="H1543" s="152"/>
      <c r="I1543" s="173"/>
      <c r="J1543" s="192"/>
      <c r="K1543" s="173"/>
      <c r="L1543" s="192"/>
    </row>
    <row r="1544" spans="1:12" ht="12.75">
      <c r="A1544" s="49"/>
      <c r="C1544" s="49"/>
      <c r="D1544" s="45"/>
      <c r="E1544" s="13"/>
      <c r="F1544" s="126"/>
      <c r="G1544" s="200"/>
      <c r="H1544" s="152"/>
      <c r="I1544" s="173"/>
      <c r="J1544" s="192"/>
      <c r="K1544" s="173"/>
      <c r="L1544" s="192"/>
    </row>
    <row r="1545" spans="1:12" ht="12.75">
      <c r="A1545" s="49"/>
      <c r="C1545" s="49"/>
      <c r="D1545" s="45"/>
      <c r="E1545" s="13"/>
      <c r="F1545" s="126"/>
      <c r="G1545" s="200"/>
      <c r="H1545" s="152"/>
      <c r="I1545" s="173"/>
      <c r="J1545" s="192"/>
      <c r="K1545" s="173"/>
      <c r="L1545" s="192"/>
    </row>
    <row r="1546" spans="1:12" ht="12.75">
      <c r="A1546" s="49"/>
      <c r="C1546" s="49"/>
      <c r="D1546" s="45"/>
      <c r="E1546" s="13"/>
      <c r="F1546" s="126"/>
      <c r="G1546" s="200"/>
      <c r="H1546" s="152"/>
      <c r="I1546" s="173"/>
      <c r="J1546" s="192"/>
      <c r="K1546" s="173"/>
      <c r="L1546" s="192"/>
    </row>
    <row r="1547" spans="1:12" ht="12.75">
      <c r="A1547" s="49"/>
      <c r="C1547" s="49"/>
      <c r="D1547" s="45"/>
      <c r="E1547" s="13"/>
      <c r="F1547" s="126"/>
      <c r="G1547" s="200"/>
      <c r="H1547" s="152"/>
      <c r="I1547" s="173"/>
      <c r="J1547" s="192"/>
      <c r="K1547" s="173"/>
      <c r="L1547" s="192"/>
    </row>
    <row r="1548" spans="1:12" ht="12.75">
      <c r="A1548" s="49"/>
      <c r="C1548" s="49"/>
      <c r="D1548" s="45"/>
      <c r="E1548" s="13"/>
      <c r="F1548" s="126"/>
      <c r="G1548" s="200"/>
      <c r="H1548" s="152"/>
      <c r="I1548" s="173"/>
      <c r="J1548" s="192"/>
      <c r="K1548" s="173"/>
      <c r="L1548" s="192"/>
    </row>
    <row r="1549" spans="1:12" ht="12.75">
      <c r="A1549" s="49"/>
      <c r="C1549" s="49"/>
      <c r="D1549" s="45"/>
      <c r="E1549" s="13"/>
      <c r="F1549" s="126"/>
      <c r="G1549" s="200"/>
      <c r="H1549" s="152"/>
      <c r="I1549" s="173"/>
      <c r="J1549" s="192"/>
      <c r="K1549" s="173"/>
      <c r="L1549" s="192"/>
    </row>
    <row r="1550" spans="1:12" ht="12.75">
      <c r="A1550" s="49"/>
      <c r="C1550" s="49"/>
      <c r="D1550" s="45"/>
      <c r="E1550" s="13"/>
      <c r="F1550" s="126"/>
      <c r="G1550" s="200"/>
      <c r="H1550" s="152"/>
      <c r="I1550" s="173"/>
      <c r="J1550" s="192"/>
      <c r="K1550" s="173"/>
      <c r="L1550" s="192"/>
    </row>
    <row r="1551" spans="1:12" ht="12.75">
      <c r="A1551" s="49"/>
      <c r="C1551" s="49"/>
      <c r="D1551" s="45"/>
      <c r="E1551" s="13"/>
      <c r="F1551" s="126"/>
      <c r="G1551" s="200"/>
      <c r="H1551" s="152"/>
      <c r="I1551" s="173"/>
      <c r="J1551" s="192"/>
      <c r="K1551" s="173"/>
      <c r="L1551" s="192"/>
    </row>
    <row r="1552" spans="1:12" ht="12.75">
      <c r="A1552" s="49"/>
      <c r="C1552" s="49"/>
      <c r="D1552" s="45"/>
      <c r="E1552" s="13"/>
      <c r="F1552" s="126"/>
      <c r="G1552" s="200"/>
      <c r="H1552" s="152"/>
      <c r="I1552" s="173"/>
      <c r="J1552" s="192"/>
      <c r="K1552" s="173"/>
      <c r="L1552" s="192"/>
    </row>
    <row r="1553" spans="1:12" ht="12.75">
      <c r="A1553" s="49"/>
      <c r="C1553" s="49"/>
      <c r="D1553" s="45"/>
      <c r="E1553" s="13"/>
      <c r="F1553" s="126"/>
      <c r="G1553" s="200"/>
      <c r="H1553" s="152"/>
      <c r="I1553" s="173"/>
      <c r="J1553" s="192"/>
      <c r="K1553" s="173"/>
      <c r="L1553" s="192"/>
    </row>
    <row r="1554" spans="1:12" ht="12.75">
      <c r="A1554" s="49"/>
      <c r="C1554" s="49"/>
      <c r="D1554" s="45"/>
      <c r="E1554" s="13"/>
      <c r="F1554" s="126"/>
      <c r="G1554" s="200"/>
      <c r="H1554" s="152"/>
      <c r="I1554" s="173"/>
      <c r="J1554" s="192"/>
      <c r="K1554" s="173"/>
      <c r="L1554" s="192"/>
    </row>
    <row r="1555" spans="1:12" ht="12.75">
      <c r="A1555" s="49"/>
      <c r="C1555" s="49"/>
      <c r="D1555" s="45"/>
      <c r="E1555" s="13"/>
      <c r="F1555" s="126"/>
      <c r="G1555" s="200"/>
      <c r="H1555" s="152"/>
      <c r="I1555" s="173"/>
      <c r="J1555" s="192"/>
      <c r="K1555" s="173"/>
      <c r="L1555" s="192"/>
    </row>
    <row r="1556" spans="1:12" ht="12.75">
      <c r="A1556" s="49"/>
      <c r="C1556" s="49"/>
      <c r="D1556" s="45"/>
      <c r="E1556" s="13"/>
      <c r="F1556" s="126"/>
      <c r="G1556" s="200"/>
      <c r="H1556" s="152"/>
      <c r="I1556" s="173"/>
      <c r="J1556" s="192"/>
      <c r="K1556" s="173"/>
      <c r="L1556" s="192"/>
    </row>
    <row r="1557" spans="1:12" ht="12.75">
      <c r="A1557" s="49"/>
      <c r="C1557" s="49"/>
      <c r="D1557" s="45"/>
      <c r="E1557" s="13"/>
      <c r="F1557" s="126"/>
      <c r="G1557" s="200"/>
      <c r="H1557" s="152"/>
      <c r="I1557" s="173"/>
      <c r="J1557" s="192"/>
      <c r="K1557" s="173"/>
      <c r="L1557" s="192"/>
    </row>
    <row r="1558" spans="1:12" ht="12.75">
      <c r="A1558" s="49"/>
      <c r="C1558" s="49"/>
      <c r="D1558" s="45"/>
      <c r="E1558" s="13"/>
      <c r="F1558" s="126"/>
      <c r="G1558" s="200"/>
      <c r="H1558" s="152"/>
      <c r="I1558" s="173"/>
      <c r="J1558" s="192"/>
      <c r="K1558" s="173"/>
      <c r="L1558" s="192"/>
    </row>
    <row r="1559" spans="1:12" ht="12.75">
      <c r="A1559" s="49"/>
      <c r="C1559" s="49"/>
      <c r="D1559" s="45"/>
      <c r="E1559" s="13"/>
      <c r="F1559" s="126"/>
      <c r="G1559" s="200"/>
      <c r="H1559" s="152"/>
      <c r="I1559" s="173"/>
      <c r="J1559" s="192"/>
      <c r="K1559" s="173"/>
      <c r="L1559" s="192"/>
    </row>
    <row r="1560" spans="1:12" ht="12.75">
      <c r="A1560" s="49"/>
      <c r="C1560" s="49"/>
      <c r="D1560" s="45"/>
      <c r="E1560" s="13"/>
      <c r="F1560" s="126"/>
      <c r="G1560" s="200"/>
      <c r="H1560" s="152"/>
      <c r="I1560" s="173"/>
      <c r="J1560" s="192"/>
      <c r="K1560" s="173"/>
      <c r="L1560" s="192"/>
    </row>
    <row r="1561" spans="1:12" ht="12.75">
      <c r="A1561" s="49"/>
      <c r="C1561" s="49"/>
      <c r="D1561" s="45"/>
      <c r="E1561" s="13"/>
      <c r="F1561" s="126"/>
      <c r="G1561" s="200"/>
      <c r="H1561" s="152"/>
      <c r="I1561" s="173"/>
      <c r="J1561" s="192"/>
      <c r="K1561" s="173"/>
      <c r="L1561" s="192"/>
    </row>
    <row r="1562" spans="1:12" ht="12.75">
      <c r="A1562" s="49"/>
      <c r="C1562" s="49"/>
      <c r="D1562" s="45"/>
      <c r="E1562" s="13"/>
      <c r="F1562" s="126"/>
      <c r="G1562" s="200"/>
      <c r="H1562" s="152"/>
      <c r="I1562" s="173"/>
      <c r="J1562" s="192"/>
      <c r="K1562" s="173"/>
      <c r="L1562" s="192"/>
    </row>
    <row r="1563" spans="1:12" ht="12.75">
      <c r="A1563" s="49"/>
      <c r="C1563" s="49"/>
      <c r="D1563" s="45"/>
      <c r="E1563" s="13"/>
      <c r="F1563" s="126"/>
      <c r="G1563" s="200"/>
      <c r="H1563" s="152"/>
      <c r="I1563" s="173"/>
      <c r="J1563" s="192"/>
      <c r="K1563" s="173"/>
      <c r="L1563" s="192"/>
    </row>
    <row r="1564" spans="1:12" ht="12.75">
      <c r="A1564" s="49"/>
      <c r="C1564" s="49"/>
      <c r="D1564" s="45"/>
      <c r="E1564" s="13"/>
      <c r="F1564" s="126"/>
      <c r="G1564" s="200"/>
      <c r="H1564" s="152"/>
      <c r="I1564" s="173"/>
      <c r="J1564" s="192"/>
      <c r="K1564" s="173"/>
      <c r="L1564" s="192"/>
    </row>
    <row r="1565" spans="1:12" ht="12.75">
      <c r="A1565" s="49"/>
      <c r="C1565" s="49"/>
      <c r="D1565" s="45"/>
      <c r="E1565" s="13"/>
      <c r="F1565" s="126"/>
      <c r="G1565" s="200"/>
      <c r="H1565" s="152"/>
      <c r="I1565" s="173"/>
      <c r="J1565" s="192"/>
      <c r="K1565" s="173"/>
      <c r="L1565" s="192"/>
    </row>
    <row r="1566" spans="1:12" ht="12.75">
      <c r="A1566" s="49"/>
      <c r="C1566" s="49"/>
      <c r="D1566" s="45"/>
      <c r="E1566" s="13"/>
      <c r="F1566" s="126"/>
      <c r="G1566" s="200"/>
      <c r="H1566" s="152"/>
      <c r="I1566" s="173"/>
      <c r="J1566" s="192"/>
      <c r="K1566" s="173"/>
      <c r="L1566" s="192"/>
    </row>
    <row r="1567" spans="1:12" ht="12.75">
      <c r="A1567" s="49"/>
      <c r="C1567" s="49"/>
      <c r="D1567" s="45"/>
      <c r="E1567" s="13"/>
      <c r="F1567" s="126"/>
      <c r="G1567" s="200"/>
      <c r="H1567" s="152"/>
      <c r="I1567" s="173"/>
      <c r="J1567" s="192"/>
      <c r="K1567" s="173"/>
      <c r="L1567" s="192"/>
    </row>
    <row r="1568" spans="1:12" ht="12.75">
      <c r="A1568" s="49"/>
      <c r="C1568" s="49"/>
      <c r="D1568" s="45"/>
      <c r="E1568" s="13"/>
      <c r="F1568" s="126"/>
      <c r="G1568" s="200"/>
      <c r="H1568" s="152"/>
      <c r="I1568" s="173"/>
      <c r="J1568" s="192"/>
      <c r="K1568" s="173"/>
      <c r="L1568" s="192"/>
    </row>
    <row r="1569" spans="1:12" ht="12.75">
      <c r="A1569" s="49"/>
      <c r="C1569" s="49"/>
      <c r="D1569" s="45"/>
      <c r="E1569" s="13"/>
      <c r="F1569" s="126"/>
      <c r="G1569" s="200"/>
      <c r="H1569" s="152"/>
      <c r="I1569" s="173"/>
      <c r="J1569" s="192"/>
      <c r="K1569" s="173"/>
      <c r="L1569" s="192"/>
    </row>
    <row r="1570" spans="1:12" ht="12.75">
      <c r="A1570" s="49"/>
      <c r="C1570" s="49"/>
      <c r="D1570" s="45"/>
      <c r="E1570" s="13"/>
      <c r="F1570" s="126"/>
      <c r="G1570" s="200"/>
      <c r="H1570" s="152"/>
      <c r="I1570" s="173"/>
      <c r="J1570" s="192"/>
      <c r="K1570" s="173"/>
      <c r="L1570" s="192"/>
    </row>
    <row r="1571" spans="1:12" ht="12.75">
      <c r="A1571" s="49"/>
      <c r="C1571" s="49"/>
      <c r="D1571" s="45"/>
      <c r="E1571" s="13"/>
      <c r="F1571" s="126"/>
      <c r="G1571" s="200"/>
      <c r="H1571" s="152"/>
      <c r="I1571" s="173"/>
      <c r="J1571" s="192"/>
      <c r="K1571" s="173"/>
      <c r="L1571" s="192"/>
    </row>
    <row r="1572" spans="1:12" ht="12.75">
      <c r="A1572" s="49"/>
      <c r="C1572" s="49"/>
      <c r="D1572" s="45"/>
      <c r="E1572" s="13"/>
      <c r="F1572" s="126"/>
      <c r="G1572" s="200"/>
      <c r="H1572" s="152"/>
      <c r="I1572" s="173"/>
      <c r="J1572" s="192"/>
      <c r="K1572" s="173"/>
      <c r="L1572" s="192"/>
    </row>
    <row r="1573" spans="1:12" ht="12.75">
      <c r="A1573" s="49"/>
      <c r="C1573" s="49"/>
      <c r="D1573" s="45"/>
      <c r="E1573" s="13"/>
      <c r="F1573" s="126"/>
      <c r="G1573" s="200"/>
      <c r="H1573" s="152"/>
      <c r="I1573" s="173"/>
      <c r="J1573" s="192"/>
      <c r="K1573" s="173"/>
      <c r="L1573" s="192"/>
    </row>
    <row r="1574" spans="1:12" ht="12.75">
      <c r="A1574" s="49"/>
      <c r="C1574" s="49"/>
      <c r="D1574" s="45"/>
      <c r="E1574" s="13"/>
      <c r="F1574" s="126"/>
      <c r="G1574" s="200"/>
      <c r="H1574" s="152"/>
      <c r="I1574" s="173"/>
      <c r="J1574" s="192"/>
      <c r="K1574" s="173"/>
      <c r="L1574" s="192"/>
    </row>
    <row r="1575" spans="1:12" ht="12.75">
      <c r="A1575" s="49"/>
      <c r="C1575" s="49"/>
      <c r="D1575" s="45"/>
      <c r="E1575" s="13"/>
      <c r="F1575" s="126"/>
      <c r="G1575" s="200"/>
      <c r="H1575" s="152"/>
      <c r="I1575" s="173"/>
      <c r="J1575" s="192"/>
      <c r="K1575" s="173"/>
      <c r="L1575" s="192"/>
    </row>
    <row r="1576" spans="1:12" ht="12.75">
      <c r="A1576" s="49"/>
      <c r="C1576" s="49"/>
      <c r="D1576" s="45"/>
      <c r="E1576" s="13"/>
      <c r="F1576" s="126"/>
      <c r="G1576" s="200"/>
      <c r="H1576" s="152"/>
      <c r="I1576" s="173"/>
      <c r="J1576" s="192"/>
      <c r="K1576" s="173"/>
      <c r="L1576" s="192"/>
    </row>
    <row r="1577" spans="1:12" ht="12.75">
      <c r="A1577" s="49"/>
      <c r="C1577" s="49"/>
      <c r="D1577" s="45"/>
      <c r="E1577" s="13"/>
      <c r="F1577" s="126"/>
      <c r="G1577" s="200"/>
      <c r="H1577" s="152"/>
      <c r="I1577" s="173"/>
      <c r="J1577" s="192"/>
      <c r="K1577" s="173"/>
      <c r="L1577" s="192"/>
    </row>
    <row r="1578" spans="1:12" ht="12.75">
      <c r="A1578" s="49"/>
      <c r="C1578" s="49"/>
      <c r="D1578" s="45"/>
      <c r="E1578" s="13"/>
      <c r="F1578" s="126"/>
      <c r="G1578" s="200"/>
      <c r="H1578" s="152"/>
      <c r="I1578" s="173"/>
      <c r="J1578" s="192"/>
      <c r="K1578" s="173"/>
      <c r="L1578" s="192"/>
    </row>
    <row r="1579" spans="1:12" ht="12.75">
      <c r="A1579" s="49"/>
      <c r="C1579" s="49"/>
      <c r="D1579" s="45"/>
      <c r="E1579" s="13"/>
      <c r="F1579" s="126"/>
      <c r="G1579" s="200"/>
      <c r="H1579" s="152"/>
      <c r="I1579" s="173"/>
      <c r="J1579" s="192"/>
      <c r="K1579" s="173"/>
      <c r="L1579" s="192"/>
    </row>
    <row r="1580" spans="1:12" ht="12.75">
      <c r="A1580" s="49"/>
      <c r="C1580" s="49"/>
      <c r="D1580" s="45"/>
      <c r="E1580" s="13"/>
      <c r="F1580" s="126"/>
      <c r="G1580" s="200"/>
      <c r="H1580" s="152"/>
      <c r="I1580" s="173"/>
      <c r="J1580" s="192"/>
      <c r="K1580" s="173"/>
      <c r="L1580" s="192"/>
    </row>
    <row r="1581" spans="1:12" ht="12.75">
      <c r="A1581" s="49"/>
      <c r="C1581" s="49"/>
      <c r="D1581" s="45"/>
      <c r="E1581" s="13"/>
      <c r="F1581" s="126"/>
      <c r="G1581" s="200"/>
      <c r="H1581" s="152"/>
      <c r="I1581" s="173"/>
      <c r="J1581" s="192"/>
      <c r="K1581" s="173"/>
      <c r="L1581" s="192"/>
    </row>
    <row r="1582" spans="1:12" ht="12.75">
      <c r="A1582" s="49"/>
      <c r="C1582" s="49"/>
      <c r="D1582" s="45"/>
      <c r="E1582" s="13"/>
      <c r="F1582" s="126"/>
      <c r="G1582" s="200"/>
      <c r="H1582" s="152"/>
      <c r="I1582" s="173"/>
      <c r="J1582" s="192"/>
      <c r="K1582" s="173"/>
      <c r="L1582" s="192"/>
    </row>
    <row r="1583" spans="1:12" ht="12.75">
      <c r="A1583" s="49"/>
      <c r="C1583" s="49"/>
      <c r="D1583" s="45"/>
      <c r="E1583" s="13"/>
      <c r="F1583" s="126"/>
      <c r="G1583" s="200"/>
      <c r="H1583" s="152"/>
      <c r="I1583" s="173"/>
      <c r="J1583" s="192"/>
      <c r="K1583" s="173"/>
      <c r="L1583" s="192"/>
    </row>
    <row r="1584" spans="1:12" ht="12.75">
      <c r="A1584" s="49"/>
      <c r="C1584" s="49"/>
      <c r="D1584" s="45"/>
      <c r="E1584" s="13"/>
      <c r="F1584" s="126"/>
      <c r="G1584" s="200"/>
      <c r="H1584" s="152"/>
      <c r="I1584" s="173"/>
      <c r="J1584" s="192"/>
      <c r="K1584" s="173"/>
      <c r="L1584" s="192"/>
    </row>
    <row r="1585" spans="1:12" ht="12.75">
      <c r="A1585" s="49"/>
      <c r="C1585" s="49"/>
      <c r="D1585" s="45"/>
      <c r="E1585" s="13"/>
      <c r="F1585" s="126"/>
      <c r="G1585" s="200"/>
      <c r="H1585" s="152"/>
      <c r="I1585" s="173"/>
      <c r="J1585" s="192"/>
      <c r="K1585" s="173"/>
      <c r="L1585" s="192"/>
    </row>
    <row r="1586" spans="1:12" ht="12.75">
      <c r="A1586" s="49"/>
      <c r="C1586" s="49"/>
      <c r="D1586" s="45"/>
      <c r="E1586" s="13"/>
      <c r="F1586" s="126"/>
      <c r="G1586" s="200"/>
      <c r="H1586" s="152"/>
      <c r="I1586" s="173"/>
      <c r="J1586" s="192"/>
      <c r="K1586" s="173"/>
      <c r="L1586" s="192"/>
    </row>
    <row r="1587" spans="1:12" ht="12.75">
      <c r="A1587" s="49"/>
      <c r="C1587" s="49"/>
      <c r="D1587" s="45"/>
      <c r="E1587" s="13"/>
      <c r="F1587" s="126"/>
      <c r="G1587" s="200"/>
      <c r="H1587" s="152"/>
      <c r="I1587" s="173"/>
      <c r="J1587" s="192"/>
      <c r="K1587" s="173"/>
      <c r="L1587" s="192"/>
    </row>
    <row r="1588" spans="1:12" ht="12.75">
      <c r="A1588" s="49"/>
      <c r="C1588" s="49"/>
      <c r="D1588" s="45"/>
      <c r="E1588" s="13"/>
      <c r="F1588" s="126"/>
      <c r="G1588" s="200"/>
      <c r="H1588" s="152"/>
      <c r="I1588" s="173"/>
      <c r="J1588" s="192"/>
      <c r="K1588" s="173"/>
      <c r="L1588" s="192"/>
    </row>
    <row r="1589" spans="1:12" ht="12.75">
      <c r="A1589" s="49"/>
      <c r="C1589" s="49"/>
      <c r="D1589" s="45"/>
      <c r="E1589" s="13"/>
      <c r="F1589" s="126"/>
      <c r="G1589" s="200"/>
      <c r="H1589" s="152"/>
      <c r="I1589" s="173"/>
      <c r="J1589" s="192"/>
      <c r="K1589" s="173"/>
      <c r="L1589" s="192"/>
    </row>
    <row r="1590" spans="1:12" ht="12.75">
      <c r="A1590" s="49"/>
      <c r="C1590" s="49"/>
      <c r="D1590" s="45"/>
      <c r="E1590" s="13"/>
      <c r="F1590" s="126"/>
      <c r="G1590" s="200"/>
      <c r="H1590" s="152"/>
      <c r="I1590" s="173"/>
      <c r="J1590" s="192"/>
      <c r="K1590" s="173"/>
      <c r="L1590" s="192"/>
    </row>
    <row r="1591" spans="1:12" ht="12.75">
      <c r="A1591" s="49"/>
      <c r="C1591" s="49"/>
      <c r="D1591" s="45"/>
      <c r="E1591" s="13"/>
      <c r="F1591" s="126"/>
      <c r="G1591" s="200"/>
      <c r="H1591" s="152"/>
      <c r="I1591" s="173"/>
      <c r="J1591" s="192"/>
      <c r="K1591" s="173"/>
      <c r="L1591" s="192"/>
    </row>
    <row r="1592" spans="1:12" ht="12.75">
      <c r="A1592" s="49"/>
      <c r="C1592" s="49"/>
      <c r="D1592" s="45"/>
      <c r="E1592" s="13"/>
      <c r="F1592" s="126"/>
      <c r="G1592" s="200"/>
      <c r="H1592" s="152"/>
      <c r="I1592" s="173"/>
      <c r="J1592" s="192"/>
      <c r="K1592" s="173"/>
      <c r="L1592" s="192"/>
    </row>
    <row r="1593" spans="1:12" ht="12.75">
      <c r="A1593" s="49"/>
      <c r="C1593" s="49"/>
      <c r="D1593" s="45"/>
      <c r="E1593" s="13"/>
      <c r="F1593" s="126"/>
      <c r="G1593" s="200"/>
      <c r="H1593" s="152"/>
      <c r="I1593" s="173"/>
      <c r="J1593" s="192"/>
      <c r="K1593" s="173"/>
      <c r="L1593" s="192"/>
    </row>
    <row r="1594" spans="1:12" ht="12.75">
      <c r="A1594" s="49"/>
      <c r="C1594" s="49"/>
      <c r="D1594" s="45"/>
      <c r="E1594" s="13"/>
      <c r="F1594" s="126"/>
      <c r="G1594" s="200"/>
      <c r="H1594" s="152"/>
      <c r="I1594" s="173"/>
      <c r="J1594" s="192"/>
      <c r="K1594" s="173"/>
      <c r="L1594" s="192"/>
    </row>
    <row r="1595" spans="1:12" ht="12.75">
      <c r="A1595" s="49"/>
      <c r="C1595" s="49"/>
      <c r="D1595" s="45"/>
      <c r="E1595" s="13"/>
      <c r="F1595" s="126"/>
      <c r="G1595" s="200"/>
      <c r="H1595" s="152"/>
      <c r="I1595" s="173"/>
      <c r="J1595" s="192"/>
      <c r="K1595" s="173"/>
      <c r="L1595" s="192"/>
    </row>
    <row r="1596" spans="1:12" ht="12.75">
      <c r="A1596" s="49"/>
      <c r="C1596" s="49"/>
      <c r="D1596" s="45"/>
      <c r="E1596" s="13"/>
      <c r="F1596" s="126"/>
      <c r="G1596" s="200"/>
      <c r="H1596" s="152"/>
      <c r="I1596" s="173"/>
      <c r="J1596" s="192"/>
      <c r="K1596" s="173"/>
      <c r="L1596" s="192"/>
    </row>
    <row r="1597" spans="1:12" ht="12.75">
      <c r="A1597" s="49"/>
      <c r="C1597" s="49"/>
      <c r="D1597" s="45"/>
      <c r="E1597" s="13"/>
      <c r="F1597" s="126"/>
      <c r="G1597" s="200"/>
      <c r="H1597" s="152"/>
      <c r="I1597" s="173"/>
      <c r="J1597" s="192"/>
      <c r="K1597" s="173"/>
      <c r="L1597" s="192"/>
    </row>
    <row r="1598" spans="1:12" ht="12.75">
      <c r="A1598" s="49"/>
      <c r="C1598" s="49"/>
      <c r="D1598" s="45"/>
      <c r="E1598" s="13"/>
      <c r="F1598" s="126"/>
      <c r="G1598" s="200"/>
      <c r="H1598" s="152"/>
      <c r="I1598" s="173"/>
      <c r="J1598" s="192"/>
      <c r="K1598" s="173"/>
      <c r="L1598" s="192"/>
    </row>
    <row r="1599" spans="1:12" ht="12.75">
      <c r="A1599" s="49"/>
      <c r="C1599" s="49"/>
      <c r="D1599" s="45"/>
      <c r="E1599" s="13"/>
      <c r="F1599" s="126"/>
      <c r="G1599" s="200"/>
      <c r="H1599" s="152"/>
      <c r="I1599" s="173"/>
      <c r="J1599" s="192"/>
      <c r="K1599" s="173"/>
      <c r="L1599" s="192"/>
    </row>
    <row r="1600" spans="1:12" ht="12.75">
      <c r="A1600" s="49"/>
      <c r="C1600" s="49"/>
      <c r="D1600" s="45"/>
      <c r="E1600" s="13"/>
      <c r="F1600" s="126"/>
      <c r="G1600" s="200"/>
      <c r="H1600" s="152"/>
      <c r="I1600" s="173"/>
      <c r="J1600" s="192"/>
      <c r="K1600" s="173"/>
      <c r="L1600" s="192"/>
    </row>
    <row r="1601" spans="1:12" ht="12.75">
      <c r="A1601" s="49"/>
      <c r="C1601" s="49"/>
      <c r="D1601" s="45"/>
      <c r="E1601" s="13"/>
      <c r="F1601" s="126"/>
      <c r="G1601" s="200"/>
      <c r="H1601" s="152"/>
      <c r="I1601" s="173"/>
      <c r="J1601" s="192"/>
      <c r="K1601" s="173"/>
      <c r="L1601" s="192"/>
    </row>
    <row r="1602" spans="1:12" ht="12.75">
      <c r="A1602" s="49"/>
      <c r="C1602" s="49"/>
      <c r="D1602" s="45"/>
      <c r="E1602" s="13"/>
      <c r="F1602" s="126"/>
      <c r="G1602" s="200"/>
      <c r="H1602" s="152"/>
      <c r="I1602" s="173"/>
      <c r="J1602" s="192"/>
      <c r="K1602" s="173"/>
      <c r="L1602" s="192"/>
    </row>
    <row r="1603" spans="1:12" ht="12.75">
      <c r="A1603" s="49"/>
      <c r="C1603" s="49"/>
      <c r="D1603" s="45"/>
      <c r="E1603" s="13"/>
      <c r="F1603" s="126"/>
      <c r="G1603" s="200"/>
      <c r="H1603" s="152"/>
      <c r="I1603" s="173"/>
      <c r="J1603" s="192"/>
      <c r="K1603" s="173"/>
      <c r="L1603" s="192"/>
    </row>
    <row r="1604" spans="1:12" ht="12.75">
      <c r="A1604" s="49"/>
      <c r="C1604" s="49"/>
      <c r="D1604" s="45"/>
      <c r="E1604" s="13"/>
      <c r="F1604" s="126"/>
      <c r="G1604" s="200"/>
      <c r="H1604" s="152"/>
      <c r="I1604" s="173"/>
      <c r="J1604" s="192"/>
      <c r="K1604" s="173"/>
      <c r="L1604" s="192"/>
    </row>
    <row r="1605" spans="1:12" ht="12.75">
      <c r="A1605" s="49"/>
      <c r="C1605" s="49"/>
      <c r="D1605" s="45"/>
      <c r="E1605" s="13"/>
      <c r="F1605" s="126"/>
      <c r="G1605" s="200"/>
      <c r="H1605" s="152"/>
      <c r="I1605" s="173"/>
      <c r="J1605" s="192"/>
      <c r="K1605" s="173"/>
      <c r="L1605" s="192"/>
    </row>
    <row r="1606" spans="1:12" ht="12.75">
      <c r="A1606" s="49"/>
      <c r="C1606" s="49"/>
      <c r="D1606" s="45"/>
      <c r="E1606" s="13"/>
      <c r="F1606" s="126"/>
      <c r="G1606" s="200"/>
      <c r="H1606" s="152"/>
      <c r="I1606" s="173"/>
      <c r="J1606" s="192"/>
      <c r="K1606" s="173"/>
      <c r="L1606" s="192"/>
    </row>
    <row r="1607" spans="1:12" ht="12.75">
      <c r="A1607" s="49"/>
      <c r="C1607" s="49"/>
      <c r="D1607" s="45"/>
      <c r="E1607" s="13"/>
      <c r="F1607" s="126"/>
      <c r="G1607" s="200"/>
      <c r="H1607" s="152"/>
      <c r="I1607" s="173"/>
      <c r="J1607" s="192"/>
      <c r="K1607" s="173"/>
      <c r="L1607" s="192"/>
    </row>
    <row r="1608" spans="1:12" ht="12.75">
      <c r="A1608" s="49"/>
      <c r="C1608" s="49"/>
      <c r="D1608" s="45"/>
      <c r="E1608" s="13"/>
      <c r="F1608" s="126"/>
      <c r="G1608" s="200"/>
      <c r="H1608" s="152"/>
      <c r="I1608" s="173"/>
      <c r="J1608" s="192"/>
      <c r="K1608" s="173"/>
      <c r="L1608" s="192"/>
    </row>
    <row r="1609" spans="1:12" ht="12.75">
      <c r="A1609" s="49"/>
      <c r="C1609" s="49"/>
      <c r="D1609" s="45"/>
      <c r="E1609" s="13"/>
      <c r="F1609" s="126"/>
      <c r="G1609" s="200"/>
      <c r="H1609" s="152"/>
      <c r="I1609" s="173"/>
      <c r="J1609" s="192"/>
      <c r="K1609" s="173"/>
      <c r="L1609" s="192"/>
    </row>
    <row r="1610" spans="1:12" ht="12.75">
      <c r="A1610" s="49"/>
      <c r="C1610" s="49"/>
      <c r="D1610" s="45"/>
      <c r="E1610" s="13"/>
      <c r="F1610" s="126"/>
      <c r="G1610" s="200"/>
      <c r="H1610" s="152"/>
      <c r="I1610" s="173"/>
      <c r="J1610" s="192"/>
      <c r="K1610" s="173"/>
      <c r="L1610" s="192"/>
    </row>
    <row r="1611" spans="1:12" ht="12.75">
      <c r="A1611" s="49"/>
      <c r="C1611" s="49"/>
      <c r="D1611" s="45"/>
      <c r="E1611" s="13"/>
      <c r="F1611" s="126"/>
      <c r="G1611" s="200"/>
      <c r="H1611" s="152"/>
      <c r="I1611" s="173"/>
      <c r="J1611" s="192"/>
      <c r="K1611" s="173"/>
      <c r="L1611" s="192"/>
    </row>
    <row r="1612" spans="1:12" ht="12.75">
      <c r="A1612" s="49"/>
      <c r="C1612" s="49"/>
      <c r="D1612" s="45"/>
      <c r="E1612" s="13"/>
      <c r="F1612" s="126"/>
      <c r="G1612" s="200"/>
      <c r="H1612" s="152"/>
      <c r="I1612" s="173"/>
      <c r="J1612" s="192"/>
      <c r="K1612" s="173"/>
      <c r="L1612" s="192"/>
    </row>
    <row r="1613" spans="1:12" ht="12.75">
      <c r="A1613" s="49"/>
      <c r="C1613" s="49"/>
      <c r="D1613" s="45"/>
      <c r="E1613" s="13"/>
      <c r="F1613" s="126"/>
      <c r="G1613" s="200"/>
      <c r="H1613" s="152"/>
      <c r="I1613" s="173"/>
      <c r="J1613" s="192"/>
      <c r="K1613" s="173"/>
      <c r="L1613" s="192"/>
    </row>
    <row r="1614" spans="1:12" ht="12.75">
      <c r="A1614" s="49"/>
      <c r="C1614" s="49"/>
      <c r="D1614" s="45"/>
      <c r="E1614" s="13"/>
      <c r="F1614" s="126"/>
      <c r="G1614" s="200"/>
      <c r="H1614" s="152"/>
      <c r="I1614" s="173"/>
      <c r="J1614" s="192"/>
      <c r="K1614" s="173"/>
      <c r="L1614" s="192"/>
    </row>
    <row r="1615" spans="1:12" ht="12.75">
      <c r="A1615" s="49"/>
      <c r="C1615" s="49"/>
      <c r="D1615" s="45"/>
      <c r="E1615" s="13"/>
      <c r="F1615" s="126"/>
      <c r="G1615" s="200"/>
      <c r="H1615" s="152"/>
      <c r="I1615" s="173"/>
      <c r="J1615" s="192"/>
      <c r="K1615" s="173"/>
      <c r="L1615" s="192"/>
    </row>
    <row r="1616" spans="1:12" ht="12.75">
      <c r="A1616" s="49"/>
      <c r="C1616" s="49"/>
      <c r="D1616" s="45"/>
      <c r="E1616" s="13"/>
      <c r="F1616" s="126"/>
      <c r="G1616" s="200"/>
      <c r="H1616" s="152"/>
      <c r="I1616" s="173"/>
      <c r="J1616" s="192"/>
      <c r="K1616" s="173"/>
      <c r="L1616" s="192"/>
    </row>
    <row r="1617" spans="1:12" ht="12.75">
      <c r="A1617" s="49"/>
      <c r="C1617" s="49"/>
      <c r="D1617" s="45"/>
      <c r="E1617" s="13"/>
      <c r="F1617" s="126"/>
      <c r="G1617" s="200"/>
      <c r="H1617" s="152"/>
      <c r="I1617" s="173"/>
      <c r="J1617" s="192"/>
      <c r="K1617" s="173"/>
      <c r="L1617" s="192"/>
    </row>
    <row r="1618" spans="1:12" ht="12.75">
      <c r="A1618" s="49"/>
      <c r="C1618" s="49"/>
      <c r="D1618" s="45"/>
      <c r="E1618" s="13"/>
      <c r="F1618" s="126"/>
      <c r="G1618" s="200"/>
      <c r="H1618" s="152"/>
      <c r="I1618" s="173"/>
      <c r="J1618" s="192"/>
      <c r="K1618" s="173"/>
      <c r="L1618" s="192"/>
    </row>
    <row r="1619" spans="1:12" ht="12.75">
      <c r="A1619" s="49"/>
      <c r="C1619" s="49"/>
      <c r="D1619" s="45"/>
      <c r="E1619" s="13"/>
      <c r="F1619" s="126"/>
      <c r="G1619" s="200"/>
      <c r="H1619" s="152"/>
      <c r="I1619" s="173"/>
      <c r="J1619" s="192"/>
      <c r="K1619" s="173"/>
      <c r="L1619" s="192"/>
    </row>
    <row r="1620" spans="1:12" ht="12.75">
      <c r="A1620" s="49"/>
      <c r="C1620" s="49"/>
      <c r="D1620" s="45"/>
      <c r="E1620" s="13"/>
      <c r="F1620" s="126"/>
      <c r="G1620" s="200"/>
      <c r="H1620" s="152"/>
      <c r="I1620" s="173"/>
      <c r="J1620" s="192"/>
      <c r="K1620" s="173"/>
      <c r="L1620" s="192"/>
    </row>
    <row r="1621" spans="1:12" ht="12.75">
      <c r="A1621" s="49"/>
      <c r="C1621" s="49"/>
      <c r="D1621" s="45"/>
      <c r="E1621" s="13"/>
      <c r="F1621" s="126"/>
      <c r="G1621" s="200"/>
      <c r="H1621" s="152"/>
      <c r="I1621" s="173"/>
      <c r="J1621" s="192"/>
      <c r="K1621" s="173"/>
      <c r="L1621" s="192"/>
    </row>
    <row r="1622" spans="1:12" ht="12.75">
      <c r="A1622" s="49"/>
      <c r="C1622" s="49"/>
      <c r="D1622" s="45"/>
      <c r="E1622" s="13"/>
      <c r="F1622" s="126"/>
      <c r="G1622" s="200"/>
      <c r="H1622" s="152"/>
      <c r="I1622" s="173"/>
      <c r="J1622" s="192"/>
      <c r="K1622" s="173"/>
      <c r="L1622" s="192"/>
    </row>
    <row r="1623" spans="1:12" ht="12.75">
      <c r="A1623" s="49"/>
      <c r="C1623" s="49"/>
      <c r="D1623" s="45"/>
      <c r="E1623" s="13"/>
      <c r="F1623" s="126"/>
      <c r="G1623" s="200"/>
      <c r="H1623" s="152"/>
      <c r="I1623" s="173"/>
      <c r="J1623" s="192"/>
      <c r="K1623" s="173"/>
      <c r="L1623" s="192"/>
    </row>
    <row r="1624" spans="1:12" ht="12.75">
      <c r="A1624" s="49"/>
      <c r="C1624" s="49"/>
      <c r="D1624" s="45"/>
      <c r="E1624" s="13"/>
      <c r="F1624" s="126"/>
      <c r="G1624" s="200"/>
      <c r="H1624" s="152"/>
      <c r="I1624" s="173"/>
      <c r="J1624" s="192"/>
      <c r="K1624" s="173"/>
      <c r="L1624" s="192"/>
    </row>
    <row r="1625" spans="1:12" ht="12.75">
      <c r="A1625" s="49"/>
      <c r="C1625" s="49"/>
      <c r="D1625" s="45"/>
      <c r="E1625" s="13"/>
      <c r="F1625" s="126"/>
      <c r="G1625" s="200"/>
      <c r="H1625" s="152"/>
      <c r="I1625" s="173"/>
      <c r="J1625" s="192"/>
      <c r="K1625" s="173"/>
      <c r="L1625" s="192"/>
    </row>
    <row r="1626" spans="1:12" ht="12.75">
      <c r="A1626" s="49"/>
      <c r="C1626" s="49"/>
      <c r="D1626" s="45"/>
      <c r="E1626" s="13"/>
      <c r="F1626" s="126"/>
      <c r="G1626" s="200"/>
      <c r="H1626" s="152"/>
      <c r="I1626" s="173"/>
      <c r="J1626" s="192"/>
      <c r="K1626" s="173"/>
      <c r="L1626" s="192"/>
    </row>
    <row r="1627" spans="1:12" ht="12.75">
      <c r="A1627" s="49"/>
      <c r="C1627" s="49"/>
      <c r="D1627" s="45"/>
      <c r="E1627" s="13"/>
      <c r="F1627" s="126"/>
      <c r="G1627" s="200"/>
      <c r="H1627" s="152"/>
      <c r="I1627" s="173"/>
      <c r="J1627" s="192"/>
      <c r="K1627" s="173"/>
      <c r="L1627" s="192"/>
    </row>
    <row r="1628" spans="1:12" ht="12.75">
      <c r="A1628" s="49"/>
      <c r="C1628" s="49"/>
      <c r="D1628" s="45"/>
      <c r="E1628" s="13"/>
      <c r="F1628" s="126"/>
      <c r="G1628" s="200"/>
      <c r="H1628" s="152"/>
      <c r="I1628" s="173"/>
      <c r="J1628" s="192"/>
      <c r="K1628" s="173"/>
      <c r="L1628" s="192"/>
    </row>
    <row r="1629" spans="1:12" ht="12.75">
      <c r="A1629" s="49"/>
      <c r="C1629" s="49"/>
      <c r="D1629" s="45"/>
      <c r="E1629" s="13"/>
      <c r="F1629" s="126"/>
      <c r="G1629" s="200"/>
      <c r="H1629" s="152"/>
      <c r="I1629" s="173"/>
      <c r="J1629" s="192"/>
      <c r="K1629" s="173"/>
      <c r="L1629" s="192"/>
    </row>
    <row r="1630" spans="1:12" ht="12.75">
      <c r="A1630" s="49"/>
      <c r="C1630" s="49"/>
      <c r="D1630" s="45"/>
      <c r="E1630" s="13"/>
      <c r="F1630" s="126"/>
      <c r="G1630" s="200"/>
      <c r="H1630" s="152"/>
      <c r="I1630" s="173"/>
      <c r="J1630" s="192"/>
      <c r="K1630" s="173"/>
      <c r="L1630" s="192"/>
    </row>
    <row r="1631" spans="1:12" ht="12.75">
      <c r="A1631" s="49"/>
      <c r="C1631" s="49"/>
      <c r="D1631" s="45"/>
      <c r="E1631" s="13"/>
      <c r="F1631" s="126"/>
      <c r="G1631" s="200"/>
      <c r="H1631" s="152"/>
      <c r="I1631" s="173"/>
      <c r="J1631" s="192"/>
      <c r="K1631" s="173"/>
      <c r="L1631" s="192"/>
    </row>
    <row r="1632" spans="1:12" ht="12.75">
      <c r="A1632" s="49"/>
      <c r="C1632" s="49"/>
      <c r="D1632" s="45"/>
      <c r="E1632" s="13"/>
      <c r="F1632" s="126"/>
      <c r="G1632" s="200"/>
      <c r="H1632" s="152"/>
      <c r="I1632" s="173"/>
      <c r="J1632" s="192"/>
      <c r="K1632" s="173"/>
      <c r="L1632" s="192"/>
    </row>
    <row r="1633" spans="1:12" ht="12.75">
      <c r="A1633" s="49"/>
      <c r="C1633" s="49"/>
      <c r="D1633" s="45"/>
      <c r="E1633" s="13"/>
      <c r="F1633" s="126"/>
      <c r="G1633" s="200"/>
      <c r="H1633" s="152"/>
      <c r="I1633" s="173"/>
      <c r="J1633" s="192"/>
      <c r="K1633" s="173"/>
      <c r="L1633" s="192"/>
    </row>
    <row r="1634" spans="1:12" ht="12.75">
      <c r="A1634" s="49"/>
      <c r="C1634" s="49"/>
      <c r="D1634" s="45"/>
      <c r="E1634" s="13"/>
      <c r="F1634" s="126"/>
      <c r="G1634" s="200"/>
      <c r="H1634" s="152"/>
      <c r="I1634" s="173"/>
      <c r="J1634" s="192"/>
      <c r="K1634" s="173"/>
      <c r="L1634" s="192"/>
    </row>
    <row r="1635" spans="1:12" ht="12.75">
      <c r="A1635" s="49"/>
      <c r="C1635" s="49"/>
      <c r="D1635" s="45"/>
      <c r="E1635" s="13"/>
      <c r="F1635" s="126"/>
      <c r="G1635" s="200"/>
      <c r="H1635" s="152"/>
      <c r="I1635" s="173"/>
      <c r="J1635" s="192"/>
      <c r="K1635" s="173"/>
      <c r="L1635" s="192"/>
    </row>
    <row r="1636" spans="1:12" ht="12.75">
      <c r="A1636" s="49"/>
      <c r="C1636" s="49"/>
      <c r="D1636" s="45"/>
      <c r="E1636" s="13"/>
      <c r="F1636" s="126"/>
      <c r="G1636" s="200"/>
      <c r="H1636" s="152"/>
      <c r="I1636" s="173"/>
      <c r="J1636" s="192"/>
      <c r="K1636" s="173"/>
      <c r="L1636" s="192"/>
    </row>
    <row r="1637" spans="1:12" ht="12.75">
      <c r="A1637" s="49"/>
      <c r="C1637" s="49"/>
      <c r="D1637" s="45"/>
      <c r="E1637" s="13"/>
      <c r="F1637" s="126"/>
      <c r="G1637" s="200"/>
      <c r="H1637" s="152"/>
      <c r="I1637" s="173"/>
      <c r="J1637" s="192"/>
      <c r="K1637" s="173"/>
      <c r="L1637" s="192"/>
    </row>
    <row r="1638" spans="1:12" ht="12.75">
      <c r="A1638" s="49"/>
      <c r="C1638" s="49"/>
      <c r="D1638" s="45"/>
      <c r="E1638" s="13"/>
      <c r="F1638" s="126"/>
      <c r="G1638" s="200"/>
      <c r="H1638" s="152"/>
      <c r="I1638" s="173"/>
      <c r="J1638" s="192"/>
      <c r="K1638" s="173"/>
      <c r="L1638" s="192"/>
    </row>
    <row r="1639" spans="1:12" ht="12.75">
      <c r="A1639" s="49"/>
      <c r="C1639" s="49"/>
      <c r="D1639" s="45"/>
      <c r="E1639" s="13"/>
      <c r="F1639" s="126"/>
      <c r="G1639" s="200"/>
      <c r="H1639" s="152"/>
      <c r="I1639" s="173"/>
      <c r="J1639" s="192"/>
      <c r="K1639" s="173"/>
      <c r="L1639" s="192"/>
    </row>
    <row r="1640" spans="1:12" ht="12.75">
      <c r="A1640" s="49"/>
      <c r="C1640" s="49"/>
      <c r="D1640" s="45"/>
      <c r="E1640" s="13"/>
      <c r="F1640" s="126"/>
      <c r="G1640" s="200"/>
      <c r="H1640" s="152"/>
      <c r="I1640" s="173"/>
      <c r="J1640" s="192"/>
      <c r="K1640" s="173"/>
      <c r="L1640" s="192"/>
    </row>
    <row r="1641" spans="1:12" ht="12.75">
      <c r="A1641" s="49"/>
      <c r="C1641" s="49"/>
      <c r="D1641" s="45"/>
      <c r="E1641" s="13"/>
      <c r="F1641" s="126"/>
      <c r="G1641" s="200"/>
      <c r="H1641" s="152"/>
      <c r="I1641" s="173"/>
      <c r="J1641" s="192"/>
      <c r="K1641" s="173"/>
      <c r="L1641" s="192"/>
    </row>
    <row r="1642" spans="1:12" ht="12.75">
      <c r="A1642" s="49"/>
      <c r="C1642" s="49"/>
      <c r="D1642" s="45"/>
      <c r="E1642" s="13"/>
      <c r="F1642" s="126"/>
      <c r="G1642" s="200"/>
      <c r="H1642" s="152"/>
      <c r="I1642" s="173"/>
      <c r="J1642" s="192"/>
      <c r="K1642" s="173"/>
      <c r="L1642" s="192"/>
    </row>
    <row r="1643" spans="1:12" ht="12.75">
      <c r="A1643" s="49"/>
      <c r="C1643" s="49"/>
      <c r="D1643" s="45"/>
      <c r="E1643" s="13"/>
      <c r="F1643" s="126"/>
      <c r="G1643" s="200"/>
      <c r="H1643" s="152"/>
      <c r="I1643" s="173"/>
      <c r="J1643" s="192"/>
      <c r="K1643" s="173"/>
      <c r="L1643" s="192"/>
    </row>
    <row r="1644" spans="1:12" ht="12.75">
      <c r="A1644" s="49"/>
      <c r="C1644" s="49"/>
      <c r="D1644" s="45"/>
      <c r="E1644" s="13"/>
      <c r="F1644" s="126"/>
      <c r="G1644" s="200"/>
      <c r="H1644" s="152"/>
      <c r="I1644" s="173"/>
      <c r="J1644" s="192"/>
      <c r="K1644" s="173"/>
      <c r="L1644" s="192"/>
    </row>
    <row r="1645" spans="1:12" ht="12.75">
      <c r="A1645" s="49"/>
      <c r="C1645" s="49"/>
      <c r="D1645" s="45"/>
      <c r="E1645" s="13"/>
      <c r="F1645" s="126"/>
      <c r="G1645" s="200"/>
      <c r="H1645" s="152"/>
      <c r="I1645" s="173"/>
      <c r="J1645" s="192"/>
      <c r="K1645" s="173"/>
      <c r="L1645" s="192"/>
    </row>
    <row r="1646" spans="1:12" ht="12.75">
      <c r="A1646" s="49"/>
      <c r="C1646" s="49"/>
      <c r="D1646" s="45"/>
      <c r="E1646" s="13"/>
      <c r="F1646" s="126"/>
      <c r="G1646" s="200"/>
      <c r="H1646" s="152"/>
      <c r="I1646" s="173"/>
      <c r="J1646" s="192"/>
      <c r="K1646" s="173"/>
      <c r="L1646" s="192"/>
    </row>
    <row r="1647" spans="1:12" ht="12.75">
      <c r="A1647" s="49"/>
      <c r="C1647" s="49"/>
      <c r="D1647" s="45"/>
      <c r="E1647" s="13"/>
      <c r="F1647" s="126"/>
      <c r="G1647" s="200"/>
      <c r="H1647" s="152"/>
      <c r="I1647" s="173"/>
      <c r="J1647" s="192"/>
      <c r="K1647" s="173"/>
      <c r="L1647" s="192"/>
    </row>
    <row r="1648" spans="1:12" ht="12.75">
      <c r="A1648" s="49"/>
      <c r="C1648" s="49"/>
      <c r="D1648" s="45"/>
      <c r="E1648" s="13"/>
      <c r="F1648" s="126"/>
      <c r="G1648" s="200"/>
      <c r="H1648" s="152"/>
      <c r="I1648" s="173"/>
      <c r="J1648" s="192"/>
      <c r="K1648" s="173"/>
      <c r="L1648" s="192"/>
    </row>
    <row r="1649" spans="1:12" ht="12.75">
      <c r="A1649" s="49"/>
      <c r="C1649" s="49"/>
      <c r="D1649" s="45"/>
      <c r="E1649" s="13"/>
      <c r="F1649" s="126"/>
      <c r="G1649" s="200"/>
      <c r="H1649" s="152"/>
      <c r="I1649" s="173"/>
      <c r="J1649" s="192"/>
      <c r="K1649" s="173"/>
      <c r="L1649" s="192"/>
    </row>
    <row r="1650" spans="1:12" ht="12.75">
      <c r="A1650" s="49"/>
      <c r="C1650" s="49"/>
      <c r="D1650" s="45"/>
      <c r="E1650" s="13"/>
      <c r="F1650" s="126"/>
      <c r="G1650" s="200"/>
      <c r="H1650" s="152"/>
      <c r="I1650" s="173"/>
      <c r="J1650" s="192"/>
      <c r="K1650" s="173"/>
      <c r="L1650" s="192"/>
    </row>
    <row r="1651" spans="1:12" ht="12.75">
      <c r="A1651" s="49"/>
      <c r="C1651" s="49"/>
      <c r="D1651" s="45"/>
      <c r="E1651" s="13"/>
      <c r="F1651" s="126"/>
      <c r="G1651" s="200"/>
      <c r="H1651" s="152"/>
      <c r="I1651" s="173"/>
      <c r="J1651" s="192"/>
      <c r="K1651" s="173"/>
      <c r="L1651" s="192"/>
    </row>
    <row r="1652" spans="1:12" ht="12.75">
      <c r="A1652" s="49"/>
      <c r="C1652" s="49"/>
      <c r="D1652" s="45"/>
      <c r="E1652" s="13"/>
      <c r="F1652" s="126"/>
      <c r="G1652" s="200"/>
      <c r="H1652" s="152"/>
      <c r="I1652" s="173"/>
      <c r="J1652" s="192"/>
      <c r="K1652" s="173"/>
      <c r="L1652" s="192"/>
    </row>
    <row r="1653" spans="1:12" ht="12.75">
      <c r="A1653" s="49"/>
      <c r="C1653" s="49"/>
      <c r="D1653" s="45"/>
      <c r="E1653" s="13"/>
      <c r="F1653" s="126"/>
      <c r="G1653" s="200"/>
      <c r="H1653" s="152"/>
      <c r="I1653" s="173"/>
      <c r="J1653" s="192"/>
      <c r="K1653" s="173"/>
      <c r="L1653" s="192"/>
    </row>
    <row r="1654" spans="1:12" ht="12.75">
      <c r="A1654" s="49"/>
      <c r="C1654" s="49"/>
      <c r="D1654" s="45"/>
      <c r="E1654" s="13"/>
      <c r="F1654" s="126"/>
      <c r="G1654" s="200"/>
      <c r="H1654" s="152"/>
      <c r="I1654" s="173"/>
      <c r="J1654" s="192"/>
      <c r="K1654" s="173"/>
      <c r="L1654" s="192"/>
    </row>
    <row r="1655" spans="1:12" ht="12.75">
      <c r="A1655" s="49"/>
      <c r="C1655" s="49"/>
      <c r="D1655" s="45"/>
      <c r="E1655" s="13"/>
      <c r="F1655" s="126"/>
      <c r="G1655" s="200"/>
      <c r="H1655" s="152"/>
      <c r="I1655" s="173"/>
      <c r="J1655" s="192"/>
      <c r="K1655" s="173"/>
      <c r="L1655" s="192"/>
    </row>
    <row r="1656" spans="1:12" ht="12.75">
      <c r="A1656" s="49"/>
      <c r="C1656" s="49"/>
      <c r="D1656" s="45"/>
      <c r="E1656" s="13"/>
      <c r="F1656" s="126"/>
      <c r="G1656" s="200"/>
      <c r="H1656" s="152"/>
      <c r="I1656" s="173"/>
      <c r="J1656" s="192"/>
      <c r="K1656" s="173"/>
      <c r="L1656" s="192"/>
    </row>
    <row r="1657" spans="1:12" ht="12.75">
      <c r="A1657" s="49"/>
      <c r="C1657" s="49"/>
      <c r="D1657" s="45"/>
      <c r="E1657" s="13"/>
      <c r="F1657" s="126"/>
      <c r="G1657" s="200"/>
      <c r="H1657" s="152"/>
      <c r="I1657" s="173"/>
      <c r="J1657" s="192"/>
      <c r="K1657" s="173"/>
      <c r="L1657" s="192"/>
    </row>
    <row r="1658" spans="1:12" ht="12.75">
      <c r="A1658" s="49"/>
      <c r="C1658" s="49"/>
      <c r="D1658" s="45"/>
      <c r="E1658" s="13"/>
      <c r="F1658" s="126"/>
      <c r="G1658" s="200"/>
      <c r="H1658" s="152"/>
      <c r="I1658" s="173"/>
      <c r="J1658" s="192"/>
      <c r="K1658" s="173"/>
      <c r="L1658" s="192"/>
    </row>
    <row r="1659" spans="1:12" ht="12.75">
      <c r="A1659" s="49"/>
      <c r="C1659" s="49"/>
      <c r="D1659" s="45"/>
      <c r="E1659" s="13"/>
      <c r="F1659" s="126"/>
      <c r="G1659" s="200"/>
      <c r="H1659" s="152"/>
      <c r="I1659" s="173"/>
      <c r="J1659" s="192"/>
      <c r="K1659" s="173"/>
      <c r="L1659" s="192"/>
    </row>
    <row r="1660" spans="1:12" ht="12.75">
      <c r="A1660" s="49"/>
      <c r="C1660" s="49"/>
      <c r="D1660" s="45"/>
      <c r="E1660" s="13"/>
      <c r="F1660" s="126"/>
      <c r="G1660" s="200"/>
      <c r="H1660" s="152"/>
      <c r="I1660" s="173"/>
      <c r="J1660" s="192"/>
      <c r="K1660" s="173"/>
      <c r="L1660" s="192"/>
    </row>
    <row r="1661" spans="1:12" ht="12.75">
      <c r="A1661" s="49"/>
      <c r="C1661" s="49"/>
      <c r="D1661" s="45"/>
      <c r="E1661" s="13"/>
      <c r="F1661" s="126"/>
      <c r="G1661" s="200"/>
      <c r="H1661" s="152"/>
      <c r="I1661" s="173"/>
      <c r="J1661" s="192"/>
      <c r="K1661" s="173"/>
      <c r="L1661" s="192"/>
    </row>
    <row r="1662" spans="1:12" ht="12.75">
      <c r="A1662" s="49"/>
      <c r="C1662" s="49"/>
      <c r="D1662" s="45"/>
      <c r="E1662" s="13"/>
      <c r="F1662" s="126"/>
      <c r="G1662" s="200"/>
      <c r="H1662" s="152"/>
      <c r="I1662" s="173"/>
      <c r="J1662" s="192"/>
      <c r="K1662" s="173"/>
      <c r="L1662" s="192"/>
    </row>
    <row r="1663" spans="1:12" ht="12.75">
      <c r="A1663" s="49"/>
      <c r="C1663" s="49"/>
      <c r="D1663" s="45"/>
      <c r="E1663" s="13"/>
      <c r="F1663" s="126"/>
      <c r="G1663" s="200"/>
      <c r="H1663" s="152"/>
      <c r="I1663" s="173"/>
      <c r="J1663" s="192"/>
      <c r="K1663" s="173"/>
      <c r="L1663" s="192"/>
    </row>
    <row r="1664" spans="1:12" ht="12.75">
      <c r="A1664" s="49"/>
      <c r="C1664" s="49"/>
      <c r="D1664" s="45"/>
      <c r="E1664" s="13"/>
      <c r="F1664" s="126"/>
      <c r="G1664" s="200"/>
      <c r="H1664" s="152"/>
      <c r="I1664" s="173"/>
      <c r="J1664" s="192"/>
      <c r="K1664" s="173"/>
      <c r="L1664" s="192"/>
    </row>
    <row r="1665" spans="1:12" ht="12.75">
      <c r="A1665" s="49"/>
      <c r="C1665" s="49"/>
      <c r="D1665" s="45"/>
      <c r="E1665" s="13"/>
      <c r="F1665" s="126"/>
      <c r="G1665" s="200"/>
      <c r="H1665" s="152"/>
      <c r="I1665" s="173"/>
      <c r="J1665" s="192"/>
      <c r="K1665" s="173"/>
      <c r="L1665" s="192"/>
    </row>
    <row r="1666" spans="1:12" ht="12.75">
      <c r="A1666" s="49"/>
      <c r="C1666" s="49"/>
      <c r="D1666" s="45"/>
      <c r="E1666" s="13"/>
      <c r="F1666" s="126"/>
      <c r="G1666" s="200"/>
      <c r="H1666" s="152"/>
      <c r="I1666" s="173"/>
      <c r="J1666" s="192"/>
      <c r="K1666" s="173"/>
      <c r="L1666" s="192"/>
    </row>
    <row r="1667" spans="1:12" ht="12.75">
      <c r="A1667" s="49"/>
      <c r="C1667" s="49"/>
      <c r="D1667" s="45"/>
      <c r="E1667" s="13"/>
      <c r="F1667" s="126"/>
      <c r="G1667" s="200"/>
      <c r="H1667" s="152"/>
      <c r="I1667" s="173"/>
      <c r="J1667" s="192"/>
      <c r="K1667" s="173"/>
      <c r="L1667" s="192"/>
    </row>
    <row r="1668" spans="1:12" ht="12.75">
      <c r="A1668" s="49"/>
      <c r="C1668" s="49"/>
      <c r="D1668" s="45"/>
      <c r="E1668" s="13"/>
      <c r="F1668" s="126"/>
      <c r="G1668" s="200"/>
      <c r="H1668" s="152"/>
      <c r="I1668" s="173"/>
      <c r="J1668" s="192"/>
      <c r="K1668" s="173"/>
      <c r="L1668" s="192"/>
    </row>
    <row r="1669" spans="1:12" ht="12.75">
      <c r="A1669" s="49"/>
      <c r="C1669" s="49"/>
      <c r="D1669" s="45"/>
      <c r="E1669" s="13"/>
      <c r="F1669" s="126"/>
      <c r="G1669" s="200"/>
      <c r="H1669" s="152"/>
      <c r="I1669" s="173"/>
      <c r="J1669" s="192"/>
      <c r="K1669" s="173"/>
      <c r="L1669" s="192"/>
    </row>
    <row r="1670" spans="1:12" ht="12.75">
      <c r="A1670" s="49"/>
      <c r="C1670" s="49"/>
      <c r="D1670" s="45"/>
      <c r="E1670" s="13"/>
      <c r="F1670" s="126"/>
      <c r="G1670" s="200"/>
      <c r="H1670" s="152"/>
      <c r="I1670" s="173"/>
      <c r="J1670" s="192"/>
      <c r="K1670" s="173"/>
      <c r="L1670" s="192"/>
    </row>
    <row r="1671" spans="1:12" ht="12.75">
      <c r="A1671" s="49"/>
      <c r="C1671" s="49"/>
      <c r="D1671" s="45"/>
      <c r="E1671" s="13"/>
      <c r="F1671" s="126"/>
      <c r="G1671" s="200"/>
      <c r="H1671" s="152"/>
      <c r="I1671" s="173"/>
      <c r="J1671" s="192"/>
      <c r="K1671" s="173"/>
      <c r="L1671" s="192"/>
    </row>
    <row r="1672" spans="1:12" ht="12.75">
      <c r="A1672" s="49"/>
      <c r="C1672" s="49"/>
      <c r="D1672" s="45"/>
      <c r="E1672" s="13"/>
      <c r="F1672" s="126"/>
      <c r="G1672" s="200"/>
      <c r="H1672" s="152"/>
      <c r="I1672" s="173"/>
      <c r="J1672" s="192"/>
      <c r="K1672" s="173"/>
      <c r="L1672" s="192"/>
    </row>
    <row r="1673" spans="1:12" ht="12.75">
      <c r="A1673" s="49"/>
      <c r="C1673" s="49"/>
      <c r="D1673" s="45"/>
      <c r="E1673" s="13"/>
      <c r="F1673" s="126"/>
      <c r="G1673" s="200"/>
      <c r="H1673" s="152"/>
      <c r="I1673" s="173"/>
      <c r="J1673" s="192"/>
      <c r="K1673" s="173"/>
      <c r="L1673" s="192"/>
    </row>
    <row r="1674" spans="1:12" ht="12.75">
      <c r="A1674" s="49"/>
      <c r="C1674" s="49"/>
      <c r="D1674" s="45"/>
      <c r="E1674" s="13"/>
      <c r="F1674" s="126"/>
      <c r="G1674" s="200"/>
      <c r="H1674" s="152"/>
      <c r="I1674" s="173"/>
      <c r="J1674" s="192"/>
      <c r="K1674" s="173"/>
      <c r="L1674" s="192"/>
    </row>
    <row r="1675" spans="1:12" ht="12.75">
      <c r="A1675" s="49"/>
      <c r="C1675" s="49"/>
      <c r="D1675" s="45"/>
      <c r="E1675" s="13"/>
      <c r="F1675" s="126"/>
      <c r="G1675" s="200"/>
      <c r="H1675" s="152"/>
      <c r="I1675" s="173"/>
      <c r="J1675" s="192"/>
      <c r="K1675" s="173"/>
      <c r="L1675" s="192"/>
    </row>
    <row r="1676" spans="1:12" ht="12.75">
      <c r="A1676" s="49"/>
      <c r="C1676" s="49"/>
      <c r="D1676" s="45"/>
      <c r="E1676" s="13"/>
      <c r="F1676" s="126"/>
      <c r="G1676" s="200"/>
      <c r="H1676" s="152"/>
      <c r="I1676" s="173"/>
      <c r="J1676" s="192"/>
      <c r="K1676" s="173"/>
      <c r="L1676" s="192"/>
    </row>
    <row r="1677" spans="1:12" ht="12.75">
      <c r="A1677" s="49"/>
      <c r="C1677" s="49"/>
      <c r="D1677" s="45"/>
      <c r="E1677" s="13"/>
      <c r="F1677" s="126"/>
      <c r="G1677" s="200"/>
      <c r="H1677" s="152"/>
      <c r="I1677" s="173"/>
      <c r="J1677" s="192"/>
      <c r="K1677" s="173"/>
      <c r="L1677" s="192"/>
    </row>
    <row r="1678" spans="1:12" ht="12.75">
      <c r="A1678" s="49"/>
      <c r="C1678" s="49"/>
      <c r="D1678" s="45"/>
      <c r="E1678" s="13"/>
      <c r="F1678" s="126"/>
      <c r="G1678" s="200"/>
      <c r="H1678" s="152"/>
      <c r="I1678" s="173"/>
      <c r="J1678" s="192"/>
      <c r="K1678" s="173"/>
      <c r="L1678" s="192"/>
    </row>
    <row r="1679" spans="1:12" ht="12.75">
      <c r="A1679" s="49"/>
      <c r="C1679" s="49"/>
      <c r="D1679" s="45"/>
      <c r="E1679" s="13"/>
      <c r="F1679" s="126"/>
      <c r="G1679" s="200"/>
      <c r="H1679" s="152"/>
      <c r="I1679" s="173"/>
      <c r="J1679" s="192"/>
      <c r="K1679" s="173"/>
      <c r="L1679" s="192"/>
    </row>
    <row r="1680" spans="1:12" ht="12.75">
      <c r="A1680" s="49"/>
      <c r="C1680" s="49"/>
      <c r="D1680" s="45"/>
      <c r="E1680" s="13"/>
      <c r="F1680" s="126"/>
      <c r="G1680" s="200"/>
      <c r="H1680" s="152"/>
      <c r="I1680" s="173"/>
      <c r="J1680" s="192"/>
      <c r="K1680" s="173"/>
      <c r="L1680" s="192"/>
    </row>
    <row r="1681" spans="1:12" ht="12.75">
      <c r="A1681" s="49"/>
      <c r="C1681" s="49"/>
      <c r="D1681" s="45"/>
      <c r="E1681" s="13"/>
      <c r="F1681" s="126"/>
      <c r="G1681" s="200"/>
      <c r="H1681" s="152"/>
      <c r="I1681" s="173"/>
      <c r="J1681" s="192"/>
      <c r="K1681" s="173"/>
      <c r="L1681" s="192"/>
    </row>
    <row r="1682" spans="1:12" ht="12.75">
      <c r="A1682" s="49"/>
      <c r="C1682" s="49"/>
      <c r="D1682" s="45"/>
      <c r="E1682" s="13"/>
      <c r="F1682" s="126"/>
      <c r="G1682" s="200"/>
      <c r="H1682" s="152"/>
      <c r="I1682" s="173"/>
      <c r="J1682" s="192"/>
      <c r="K1682" s="173"/>
      <c r="L1682" s="192"/>
    </row>
    <row r="1683" spans="1:12" ht="12.75">
      <c r="A1683" s="49"/>
      <c r="C1683" s="49"/>
      <c r="D1683" s="45"/>
      <c r="E1683" s="13"/>
      <c r="F1683" s="126"/>
      <c r="G1683" s="200"/>
      <c r="H1683" s="152"/>
      <c r="I1683" s="173"/>
      <c r="J1683" s="192"/>
      <c r="K1683" s="173"/>
      <c r="L1683" s="192"/>
    </row>
    <row r="1684" spans="1:12" ht="12.75">
      <c r="A1684" s="49"/>
      <c r="C1684" s="49"/>
      <c r="D1684" s="45"/>
      <c r="E1684" s="13"/>
      <c r="F1684" s="126"/>
      <c r="G1684" s="200"/>
      <c r="H1684" s="152"/>
      <c r="I1684" s="173"/>
      <c r="J1684" s="192"/>
      <c r="K1684" s="173"/>
      <c r="L1684" s="192"/>
    </row>
    <row r="1685" spans="1:12" ht="12.75">
      <c r="A1685" s="49"/>
      <c r="C1685" s="49"/>
      <c r="D1685" s="45"/>
      <c r="E1685" s="13"/>
      <c r="F1685" s="126"/>
      <c r="G1685" s="200"/>
      <c r="H1685" s="152"/>
      <c r="I1685" s="173"/>
      <c r="J1685" s="192"/>
      <c r="K1685" s="173"/>
      <c r="L1685" s="192"/>
    </row>
    <row r="1686" spans="1:12" ht="12.75">
      <c r="A1686" s="49"/>
      <c r="C1686" s="49"/>
      <c r="D1686" s="45"/>
      <c r="E1686" s="13"/>
      <c r="F1686" s="126"/>
      <c r="G1686" s="200"/>
      <c r="H1686" s="152"/>
      <c r="I1686" s="173"/>
      <c r="J1686" s="192"/>
      <c r="K1686" s="173"/>
      <c r="L1686" s="192"/>
    </row>
    <row r="1687" spans="1:12" ht="12.75">
      <c r="A1687" s="49"/>
      <c r="C1687" s="49"/>
      <c r="D1687" s="45"/>
      <c r="E1687" s="13"/>
      <c r="F1687" s="126"/>
      <c r="G1687" s="200"/>
      <c r="H1687" s="152"/>
      <c r="I1687" s="173"/>
      <c r="J1687" s="192"/>
      <c r="K1687" s="173"/>
      <c r="L1687" s="192"/>
    </row>
    <row r="1688" spans="1:12" ht="12.75">
      <c r="A1688" s="49"/>
      <c r="C1688" s="49"/>
      <c r="D1688" s="45"/>
      <c r="E1688" s="13"/>
      <c r="F1688" s="126"/>
      <c r="G1688" s="200"/>
      <c r="H1688" s="152"/>
      <c r="I1688" s="173"/>
      <c r="J1688" s="192"/>
      <c r="K1688" s="173"/>
      <c r="L1688" s="192"/>
    </row>
    <row r="1689" spans="1:12" ht="12.75">
      <c r="A1689" s="49"/>
      <c r="C1689" s="49"/>
      <c r="D1689" s="45"/>
      <c r="E1689" s="13"/>
      <c r="F1689" s="126"/>
      <c r="G1689" s="200"/>
      <c r="H1689" s="152"/>
      <c r="I1689" s="173"/>
      <c r="J1689" s="192"/>
      <c r="K1689" s="173"/>
      <c r="L1689" s="192"/>
    </row>
    <row r="1690" spans="1:12" ht="12.75">
      <c r="A1690" s="49"/>
      <c r="C1690" s="49"/>
      <c r="D1690" s="45"/>
      <c r="E1690" s="13"/>
      <c r="F1690" s="126"/>
      <c r="G1690" s="200"/>
      <c r="H1690" s="152"/>
      <c r="I1690" s="173"/>
      <c r="J1690" s="192"/>
      <c r="K1690" s="173"/>
      <c r="L1690" s="192"/>
    </row>
    <row r="1691" spans="1:12" ht="12.75">
      <c r="A1691" s="49"/>
      <c r="C1691" s="49"/>
      <c r="D1691" s="45"/>
      <c r="E1691" s="13"/>
      <c r="F1691" s="126"/>
      <c r="G1691" s="200"/>
      <c r="H1691" s="152"/>
      <c r="I1691" s="173"/>
      <c r="J1691" s="192"/>
      <c r="K1691" s="173"/>
      <c r="L1691" s="192"/>
    </row>
    <row r="1692" spans="1:12" ht="12.75">
      <c r="A1692" s="49"/>
      <c r="C1692" s="49"/>
      <c r="D1692" s="45"/>
      <c r="E1692" s="13"/>
      <c r="F1692" s="126"/>
      <c r="G1692" s="200"/>
      <c r="H1692" s="152"/>
      <c r="I1692" s="173"/>
      <c r="J1692" s="192"/>
      <c r="K1692" s="173"/>
      <c r="L1692" s="192"/>
    </row>
    <row r="1693" spans="1:12" ht="12.75">
      <c r="A1693" s="49"/>
      <c r="C1693" s="49"/>
      <c r="D1693" s="45"/>
      <c r="E1693" s="13"/>
      <c r="F1693" s="126"/>
      <c r="G1693" s="200"/>
      <c r="H1693" s="152"/>
      <c r="I1693" s="173"/>
      <c r="J1693" s="192"/>
      <c r="K1693" s="173"/>
      <c r="L1693" s="192"/>
    </row>
    <row r="1694" spans="1:12" ht="12.75">
      <c r="A1694" s="49"/>
      <c r="C1694" s="49"/>
      <c r="D1694" s="45"/>
      <c r="E1694" s="13"/>
      <c r="F1694" s="126"/>
      <c r="G1694" s="200"/>
      <c r="H1694" s="152"/>
      <c r="I1694" s="173"/>
      <c r="J1694" s="192"/>
      <c r="K1694" s="173"/>
      <c r="L1694" s="192"/>
    </row>
    <row r="1695" spans="1:12" ht="12.75">
      <c r="A1695" s="49"/>
      <c r="C1695" s="49"/>
      <c r="D1695" s="45"/>
      <c r="E1695" s="13"/>
      <c r="F1695" s="126"/>
      <c r="G1695" s="200"/>
      <c r="H1695" s="152"/>
      <c r="I1695" s="173"/>
      <c r="J1695" s="192"/>
      <c r="K1695" s="173"/>
      <c r="L1695" s="192"/>
    </row>
    <row r="1696" spans="1:12" ht="12.75">
      <c r="A1696" s="49"/>
      <c r="C1696" s="49"/>
      <c r="D1696" s="45"/>
      <c r="E1696" s="13"/>
      <c r="F1696" s="126"/>
      <c r="G1696" s="200"/>
      <c r="H1696" s="152"/>
      <c r="I1696" s="173"/>
      <c r="J1696" s="192"/>
      <c r="K1696" s="173"/>
      <c r="L1696" s="192"/>
    </row>
    <row r="1697" spans="1:12" ht="12.75">
      <c r="A1697" s="49"/>
      <c r="C1697" s="49"/>
      <c r="D1697" s="45"/>
      <c r="E1697" s="13"/>
      <c r="F1697" s="126"/>
      <c r="G1697" s="200"/>
      <c r="H1697" s="152"/>
      <c r="I1697" s="173"/>
      <c r="J1697" s="192"/>
      <c r="K1697" s="173"/>
      <c r="L1697" s="192"/>
    </row>
    <row r="1698" spans="1:12" ht="12.75">
      <c r="A1698" s="49"/>
      <c r="C1698" s="49"/>
      <c r="D1698" s="45"/>
      <c r="E1698" s="13"/>
      <c r="F1698" s="126"/>
      <c r="G1698" s="200"/>
      <c r="H1698" s="152"/>
      <c r="I1698" s="173"/>
      <c r="J1698" s="192"/>
      <c r="K1698" s="173"/>
      <c r="L1698" s="192"/>
    </row>
    <row r="1699" spans="1:12" ht="12.75">
      <c r="A1699" s="49"/>
      <c r="C1699" s="49"/>
      <c r="D1699" s="45"/>
      <c r="E1699" s="13"/>
      <c r="F1699" s="126"/>
      <c r="G1699" s="200"/>
      <c r="H1699" s="152"/>
      <c r="I1699" s="173"/>
      <c r="J1699" s="192"/>
      <c r="K1699" s="173"/>
      <c r="L1699" s="192"/>
    </row>
    <row r="1700" spans="1:12" ht="12.75">
      <c r="A1700" s="49"/>
      <c r="C1700" s="49"/>
      <c r="D1700" s="45"/>
      <c r="E1700" s="13"/>
      <c r="F1700" s="126"/>
      <c r="G1700" s="200"/>
      <c r="H1700" s="152"/>
      <c r="I1700" s="173"/>
      <c r="J1700" s="192"/>
      <c r="K1700" s="173"/>
      <c r="L1700" s="192"/>
    </row>
    <row r="1701" spans="1:12" ht="12.75">
      <c r="A1701" s="49"/>
      <c r="C1701" s="49"/>
      <c r="D1701" s="45"/>
      <c r="E1701" s="13"/>
      <c r="F1701" s="126"/>
      <c r="G1701" s="200"/>
      <c r="H1701" s="152"/>
      <c r="I1701" s="173"/>
      <c r="J1701" s="192"/>
      <c r="K1701" s="173"/>
      <c r="L1701" s="192"/>
    </row>
    <row r="1702" spans="1:12" ht="12.75">
      <c r="A1702" s="49"/>
      <c r="C1702" s="49"/>
      <c r="D1702" s="45"/>
      <c r="E1702" s="13"/>
      <c r="F1702" s="126"/>
      <c r="G1702" s="200"/>
      <c r="H1702" s="152"/>
      <c r="I1702" s="173"/>
      <c r="J1702" s="192"/>
      <c r="K1702" s="173"/>
      <c r="L1702" s="192"/>
    </row>
    <row r="1703" spans="1:12" ht="12.75">
      <c r="A1703" s="49"/>
      <c r="C1703" s="49"/>
      <c r="D1703" s="45"/>
      <c r="E1703" s="13"/>
      <c r="F1703" s="126"/>
      <c r="G1703" s="200"/>
      <c r="H1703" s="152"/>
      <c r="I1703" s="173"/>
      <c r="J1703" s="192"/>
      <c r="K1703" s="173"/>
      <c r="L1703" s="192"/>
    </row>
    <row r="1704" spans="1:12" ht="12.75">
      <c r="A1704" s="49"/>
      <c r="C1704" s="49"/>
      <c r="D1704" s="45"/>
      <c r="E1704" s="13"/>
      <c r="F1704" s="126"/>
      <c r="G1704" s="200"/>
      <c r="H1704" s="152"/>
      <c r="I1704" s="173"/>
      <c r="J1704" s="192"/>
      <c r="K1704" s="173"/>
      <c r="L1704" s="192"/>
    </row>
    <row r="1705" spans="1:12" ht="12.75">
      <c r="A1705" s="49"/>
      <c r="C1705" s="49"/>
      <c r="D1705" s="45"/>
      <c r="E1705" s="13"/>
      <c r="F1705" s="126"/>
      <c r="G1705" s="200"/>
      <c r="H1705" s="152"/>
      <c r="I1705" s="173"/>
      <c r="J1705" s="192"/>
      <c r="K1705" s="173"/>
      <c r="L1705" s="192"/>
    </row>
    <row r="1706" spans="1:12" ht="12.75">
      <c r="A1706" s="49"/>
      <c r="C1706" s="49"/>
      <c r="D1706" s="45"/>
      <c r="E1706" s="13"/>
      <c r="F1706" s="126"/>
      <c r="G1706" s="200"/>
      <c r="H1706" s="152"/>
      <c r="I1706" s="173"/>
      <c r="J1706" s="192"/>
      <c r="K1706" s="173"/>
      <c r="L1706" s="192"/>
    </row>
    <row r="1707" spans="1:12" ht="12.75">
      <c r="A1707" s="49"/>
      <c r="C1707" s="49"/>
      <c r="D1707" s="45"/>
      <c r="E1707" s="13"/>
      <c r="F1707" s="126"/>
      <c r="G1707" s="200"/>
      <c r="H1707" s="152"/>
      <c r="I1707" s="173"/>
      <c r="J1707" s="192"/>
      <c r="K1707" s="173"/>
      <c r="L1707" s="192"/>
    </row>
    <row r="1708" spans="1:12" ht="12.75">
      <c r="A1708" s="49"/>
      <c r="C1708" s="49"/>
      <c r="D1708" s="45"/>
      <c r="E1708" s="13"/>
      <c r="F1708" s="126"/>
      <c r="G1708" s="200"/>
      <c r="H1708" s="152"/>
      <c r="I1708" s="173"/>
      <c r="J1708" s="192"/>
      <c r="K1708" s="173"/>
      <c r="L1708" s="192"/>
    </row>
    <row r="1709" spans="1:12" ht="12.75">
      <c r="A1709" s="49"/>
      <c r="C1709" s="49"/>
      <c r="D1709" s="45"/>
      <c r="E1709" s="13"/>
      <c r="F1709" s="126"/>
      <c r="G1709" s="200"/>
      <c r="H1709" s="152"/>
      <c r="I1709" s="173"/>
      <c r="J1709" s="192"/>
      <c r="K1709" s="173"/>
      <c r="L1709" s="192"/>
    </row>
    <row r="1710" spans="1:12" ht="12.75">
      <c r="A1710" s="49"/>
      <c r="C1710" s="49"/>
      <c r="D1710" s="45"/>
      <c r="E1710" s="13"/>
      <c r="F1710" s="126"/>
      <c r="G1710" s="200"/>
      <c r="H1710" s="152"/>
      <c r="I1710" s="173"/>
      <c r="J1710" s="192"/>
      <c r="K1710" s="173"/>
      <c r="L1710" s="192"/>
    </row>
    <row r="1711" spans="1:12" ht="12.75">
      <c r="A1711" s="49"/>
      <c r="C1711" s="49"/>
      <c r="D1711" s="45"/>
      <c r="E1711" s="13"/>
      <c r="F1711" s="126"/>
      <c r="G1711" s="200"/>
      <c r="H1711" s="152"/>
      <c r="I1711" s="173"/>
      <c r="J1711" s="192"/>
      <c r="K1711" s="173"/>
      <c r="L1711" s="192"/>
    </row>
    <row r="1712" spans="1:12" ht="12.75">
      <c r="A1712" s="49"/>
      <c r="C1712" s="49"/>
      <c r="D1712" s="45"/>
      <c r="E1712" s="13"/>
      <c r="F1712" s="126"/>
      <c r="G1712" s="200"/>
      <c r="H1712" s="152"/>
      <c r="I1712" s="173"/>
      <c r="J1712" s="192"/>
      <c r="K1712" s="173"/>
      <c r="L1712" s="192"/>
    </row>
    <row r="1713" spans="1:12" ht="12.75">
      <c r="A1713" s="49"/>
      <c r="C1713" s="49"/>
      <c r="D1713" s="45"/>
      <c r="E1713" s="13"/>
      <c r="F1713" s="126"/>
      <c r="G1713" s="200"/>
      <c r="H1713" s="152"/>
      <c r="I1713" s="173"/>
      <c r="J1713" s="192"/>
      <c r="K1713" s="173"/>
      <c r="L1713" s="192"/>
    </row>
    <row r="1714" spans="1:12" ht="12.75">
      <c r="A1714" s="49"/>
      <c r="C1714" s="49"/>
      <c r="D1714" s="45"/>
      <c r="E1714" s="13"/>
      <c r="F1714" s="126"/>
      <c r="G1714" s="200"/>
      <c r="H1714" s="152"/>
      <c r="I1714" s="173"/>
      <c r="J1714" s="192"/>
      <c r="K1714" s="173"/>
      <c r="L1714" s="192"/>
    </row>
    <row r="1715" spans="1:12" ht="12.75">
      <c r="A1715" s="49"/>
      <c r="C1715" s="49"/>
      <c r="D1715" s="45"/>
      <c r="E1715" s="13"/>
      <c r="F1715" s="126"/>
      <c r="G1715" s="200"/>
      <c r="H1715" s="152"/>
      <c r="I1715" s="173"/>
      <c r="J1715" s="192"/>
      <c r="K1715" s="173"/>
      <c r="L1715" s="192"/>
    </row>
    <row r="1716" spans="1:12" ht="12.75">
      <c r="A1716" s="49"/>
      <c r="C1716" s="49"/>
      <c r="D1716" s="45"/>
      <c r="E1716" s="13"/>
      <c r="F1716" s="126"/>
      <c r="G1716" s="200"/>
      <c r="H1716" s="152"/>
      <c r="I1716" s="173"/>
      <c r="J1716" s="192"/>
      <c r="K1716" s="173"/>
      <c r="L1716" s="192"/>
    </row>
    <row r="1717" spans="1:12" ht="12.75">
      <c r="A1717" s="49"/>
      <c r="C1717" s="49"/>
      <c r="D1717" s="45"/>
      <c r="E1717" s="13"/>
      <c r="F1717" s="126"/>
      <c r="G1717" s="200"/>
      <c r="H1717" s="152"/>
      <c r="I1717" s="173"/>
      <c r="J1717" s="192"/>
      <c r="K1717" s="173"/>
      <c r="L1717" s="192"/>
    </row>
    <row r="1718" spans="1:12" ht="12.75">
      <c r="A1718" s="49"/>
      <c r="C1718" s="49"/>
      <c r="D1718" s="45"/>
      <c r="E1718" s="13"/>
      <c r="F1718" s="126"/>
      <c r="G1718" s="200"/>
      <c r="H1718" s="152"/>
      <c r="I1718" s="173"/>
      <c r="J1718" s="192"/>
      <c r="K1718" s="173"/>
      <c r="L1718" s="192"/>
    </row>
    <row r="1719" spans="1:12" ht="12.75">
      <c r="A1719" s="49"/>
      <c r="C1719" s="49"/>
      <c r="D1719" s="45"/>
      <c r="E1719" s="13"/>
      <c r="F1719" s="126"/>
      <c r="G1719" s="200"/>
      <c r="H1719" s="152"/>
      <c r="I1719" s="173"/>
      <c r="J1719" s="192"/>
      <c r="K1719" s="173"/>
      <c r="L1719" s="192"/>
    </row>
    <row r="1720" spans="1:12" ht="12.75">
      <c r="A1720" s="49"/>
      <c r="C1720" s="49"/>
      <c r="D1720" s="45"/>
      <c r="E1720" s="13"/>
      <c r="F1720" s="126"/>
      <c r="G1720" s="200"/>
      <c r="H1720" s="152"/>
      <c r="I1720" s="173"/>
      <c r="J1720" s="192"/>
      <c r="K1720" s="173"/>
      <c r="L1720" s="192"/>
    </row>
    <row r="1721" spans="1:12" ht="12.75">
      <c r="A1721" s="49"/>
      <c r="C1721" s="49"/>
      <c r="D1721" s="45"/>
      <c r="E1721" s="13"/>
      <c r="F1721" s="126"/>
      <c r="G1721" s="200"/>
      <c r="H1721" s="152"/>
      <c r="I1721" s="173"/>
      <c r="J1721" s="192"/>
      <c r="K1721" s="173"/>
      <c r="L1721" s="192"/>
    </row>
    <row r="1722" spans="1:12" ht="12.75">
      <c r="A1722" s="49"/>
      <c r="C1722" s="49"/>
      <c r="D1722" s="45"/>
      <c r="E1722" s="13"/>
      <c r="F1722" s="126"/>
      <c r="G1722" s="200"/>
      <c r="H1722" s="152"/>
      <c r="I1722" s="173"/>
      <c r="J1722" s="192"/>
      <c r="K1722" s="173"/>
      <c r="L1722" s="192"/>
    </row>
    <row r="1723" spans="1:12" ht="12.75">
      <c r="A1723" s="49"/>
      <c r="C1723" s="49"/>
      <c r="D1723" s="45"/>
      <c r="E1723" s="13"/>
      <c r="F1723" s="126"/>
      <c r="G1723" s="200"/>
      <c r="H1723" s="152"/>
      <c r="I1723" s="173"/>
      <c r="J1723" s="192"/>
      <c r="K1723" s="173"/>
      <c r="L1723" s="192"/>
    </row>
    <row r="1724" spans="1:12" ht="12.75">
      <c r="A1724" s="49"/>
      <c r="C1724" s="49"/>
      <c r="D1724" s="45"/>
      <c r="E1724" s="13"/>
      <c r="F1724" s="126"/>
      <c r="G1724" s="200"/>
      <c r="H1724" s="152"/>
      <c r="I1724" s="173"/>
      <c r="J1724" s="192"/>
      <c r="K1724" s="173"/>
      <c r="L1724" s="192"/>
    </row>
    <row r="1725" spans="1:12" ht="12.75">
      <c r="A1725" s="49"/>
      <c r="C1725" s="49"/>
      <c r="D1725" s="45"/>
      <c r="E1725" s="13"/>
      <c r="F1725" s="126"/>
      <c r="G1725" s="200"/>
      <c r="H1725" s="152"/>
      <c r="I1725" s="173"/>
      <c r="J1725" s="192"/>
      <c r="K1725" s="173"/>
      <c r="L1725" s="192"/>
    </row>
    <row r="1726" spans="1:12" ht="12.75">
      <c r="A1726" s="49"/>
      <c r="C1726" s="49"/>
      <c r="D1726" s="45"/>
      <c r="E1726" s="13"/>
      <c r="F1726" s="126"/>
      <c r="G1726" s="200"/>
      <c r="H1726" s="152"/>
      <c r="I1726" s="173"/>
      <c r="J1726" s="192"/>
      <c r="K1726" s="173"/>
      <c r="L1726" s="192"/>
    </row>
    <row r="1727" spans="1:12" ht="12.75">
      <c r="A1727" s="49"/>
      <c r="C1727" s="49"/>
      <c r="D1727" s="45"/>
      <c r="E1727" s="13"/>
      <c r="F1727" s="126"/>
      <c r="G1727" s="200"/>
      <c r="H1727" s="152"/>
      <c r="I1727" s="173"/>
      <c r="J1727" s="192"/>
      <c r="K1727" s="173"/>
      <c r="L1727" s="192"/>
    </row>
    <row r="1728" spans="1:12" ht="12.75">
      <c r="A1728" s="49"/>
      <c r="C1728" s="49"/>
      <c r="D1728" s="45"/>
      <c r="E1728" s="13"/>
      <c r="F1728" s="126"/>
      <c r="G1728" s="200"/>
      <c r="H1728" s="152"/>
      <c r="I1728" s="173"/>
      <c r="J1728" s="192"/>
      <c r="K1728" s="173"/>
      <c r="L1728" s="192"/>
    </row>
    <row r="1729" spans="1:12" ht="12.75">
      <c r="A1729" s="49"/>
      <c r="C1729" s="49"/>
      <c r="D1729" s="45"/>
      <c r="E1729" s="13"/>
      <c r="F1729" s="126"/>
      <c r="G1729" s="200"/>
      <c r="H1729" s="152"/>
      <c r="I1729" s="173"/>
      <c r="J1729" s="192"/>
      <c r="K1729" s="173"/>
      <c r="L1729" s="192"/>
    </row>
    <row r="1730" spans="1:12" ht="12.75">
      <c r="A1730" s="49"/>
      <c r="C1730" s="49"/>
      <c r="D1730" s="45"/>
      <c r="E1730" s="13"/>
      <c r="F1730" s="126"/>
      <c r="G1730" s="200"/>
      <c r="H1730" s="152"/>
      <c r="I1730" s="173"/>
      <c r="J1730" s="192"/>
      <c r="K1730" s="173"/>
      <c r="L1730" s="192"/>
    </row>
    <row r="1731" spans="1:12" ht="12.75">
      <c r="A1731" s="49"/>
      <c r="C1731" s="49"/>
      <c r="D1731" s="45"/>
      <c r="E1731" s="13"/>
      <c r="F1731" s="126"/>
      <c r="G1731" s="200"/>
      <c r="H1731" s="152"/>
      <c r="I1731" s="173"/>
      <c r="J1731" s="192"/>
      <c r="K1731" s="173"/>
      <c r="L1731" s="192"/>
    </row>
    <row r="1732" spans="1:12" ht="12.75">
      <c r="A1732" s="49"/>
      <c r="C1732" s="49"/>
      <c r="D1732" s="45"/>
      <c r="E1732" s="13"/>
      <c r="F1732" s="126"/>
      <c r="G1732" s="200"/>
      <c r="H1732" s="152"/>
      <c r="I1732" s="173"/>
      <c r="J1732" s="192"/>
      <c r="K1732" s="173"/>
      <c r="L1732" s="192"/>
    </row>
    <row r="1733" spans="1:12" ht="12.75">
      <c r="A1733" s="49"/>
      <c r="C1733" s="49"/>
      <c r="D1733" s="45"/>
      <c r="E1733" s="13"/>
      <c r="F1733" s="126"/>
      <c r="G1733" s="200"/>
      <c r="H1733" s="152"/>
      <c r="I1733" s="173"/>
      <c r="J1733" s="192"/>
      <c r="K1733" s="173"/>
      <c r="L1733" s="192"/>
    </row>
    <row r="1734" spans="1:12" ht="12.75">
      <c r="A1734" s="49"/>
      <c r="C1734" s="49"/>
      <c r="D1734" s="45"/>
      <c r="E1734" s="13"/>
      <c r="F1734" s="126"/>
      <c r="G1734" s="200"/>
      <c r="H1734" s="152"/>
      <c r="I1734" s="173"/>
      <c r="J1734" s="192"/>
      <c r="K1734" s="173"/>
      <c r="L1734" s="192"/>
    </row>
    <row r="1735" spans="1:12" ht="12.75">
      <c r="A1735" s="49"/>
      <c r="C1735" s="49"/>
      <c r="D1735" s="45"/>
      <c r="E1735" s="13"/>
      <c r="F1735" s="126"/>
      <c r="G1735" s="200"/>
      <c r="H1735" s="152"/>
      <c r="I1735" s="173"/>
      <c r="J1735" s="192"/>
      <c r="K1735" s="173"/>
      <c r="L1735" s="192"/>
    </row>
    <row r="1736" spans="1:12" ht="12.75">
      <c r="A1736" s="49"/>
      <c r="C1736" s="49"/>
      <c r="D1736" s="45"/>
      <c r="E1736" s="13"/>
      <c r="F1736" s="126"/>
      <c r="G1736" s="200"/>
      <c r="H1736" s="152"/>
      <c r="I1736" s="173"/>
      <c r="J1736" s="192"/>
      <c r="K1736" s="173"/>
      <c r="L1736" s="192"/>
    </row>
    <row r="1737" spans="1:12" ht="12.75">
      <c r="A1737" s="49"/>
      <c r="C1737" s="49"/>
      <c r="D1737" s="45"/>
      <c r="E1737" s="13"/>
      <c r="F1737" s="126"/>
      <c r="G1737" s="200"/>
      <c r="H1737" s="152"/>
      <c r="I1737" s="173"/>
      <c r="J1737" s="192"/>
      <c r="K1737" s="173"/>
      <c r="L1737" s="192"/>
    </row>
    <row r="1738" spans="1:12" ht="12.75">
      <c r="A1738" s="49"/>
      <c r="C1738" s="49"/>
      <c r="D1738" s="45"/>
      <c r="E1738" s="13"/>
      <c r="F1738" s="126"/>
      <c r="G1738" s="200"/>
      <c r="H1738" s="152"/>
      <c r="I1738" s="173"/>
      <c r="J1738" s="192"/>
      <c r="K1738" s="173"/>
      <c r="L1738" s="192"/>
    </row>
    <row r="1739" spans="1:12" ht="12.75">
      <c r="A1739" s="49"/>
      <c r="C1739" s="49"/>
      <c r="D1739" s="45"/>
      <c r="E1739" s="13"/>
      <c r="F1739" s="126"/>
      <c r="G1739" s="200"/>
      <c r="H1739" s="152"/>
      <c r="I1739" s="173"/>
      <c r="J1739" s="192"/>
      <c r="K1739" s="173"/>
      <c r="L1739" s="192"/>
    </row>
    <row r="1740" spans="1:12" ht="12.75">
      <c r="A1740" s="49"/>
      <c r="C1740" s="49"/>
      <c r="D1740" s="45"/>
      <c r="E1740" s="13"/>
      <c r="F1740" s="126"/>
      <c r="G1740" s="200"/>
      <c r="H1740" s="152"/>
      <c r="I1740" s="173"/>
      <c r="J1740" s="192"/>
      <c r="K1740" s="173"/>
      <c r="L1740" s="192"/>
    </row>
    <row r="1741" spans="1:12" ht="12.75">
      <c r="A1741" s="49"/>
      <c r="C1741" s="49"/>
      <c r="D1741" s="45"/>
      <c r="E1741" s="13"/>
      <c r="F1741" s="126"/>
      <c r="G1741" s="200"/>
      <c r="H1741" s="152"/>
      <c r="I1741" s="173"/>
      <c r="J1741" s="192"/>
      <c r="K1741" s="173"/>
      <c r="L1741" s="192"/>
    </row>
    <row r="1742" spans="1:12" ht="12.75">
      <c r="A1742" s="49"/>
      <c r="C1742" s="49"/>
      <c r="D1742" s="45"/>
      <c r="E1742" s="13"/>
      <c r="F1742" s="126"/>
      <c r="G1742" s="200"/>
      <c r="H1742" s="152"/>
      <c r="I1742" s="173"/>
      <c r="J1742" s="192"/>
      <c r="K1742" s="173"/>
      <c r="L1742" s="192"/>
    </row>
    <row r="1743" spans="1:12" ht="12.75">
      <c r="A1743" s="49"/>
      <c r="C1743" s="49"/>
      <c r="D1743" s="45"/>
      <c r="E1743" s="13"/>
      <c r="F1743" s="126"/>
      <c r="G1743" s="200"/>
      <c r="H1743" s="152"/>
      <c r="I1743" s="173"/>
      <c r="J1743" s="192"/>
      <c r="K1743" s="173"/>
      <c r="L1743" s="192"/>
    </row>
    <row r="1744" spans="1:12" ht="12.75">
      <c r="A1744" s="49"/>
      <c r="C1744" s="49"/>
      <c r="D1744" s="45"/>
      <c r="E1744" s="13"/>
      <c r="F1744" s="126"/>
      <c r="G1744" s="200"/>
      <c r="H1744" s="152"/>
      <c r="I1744" s="173"/>
      <c r="J1744" s="192"/>
      <c r="K1744" s="173"/>
      <c r="L1744" s="192"/>
    </row>
    <row r="1745" spans="1:12" ht="12.75">
      <c r="A1745" s="49"/>
      <c r="C1745" s="49"/>
      <c r="D1745" s="45"/>
      <c r="E1745" s="13"/>
      <c r="F1745" s="126"/>
      <c r="G1745" s="200"/>
      <c r="H1745" s="152"/>
      <c r="I1745" s="173"/>
      <c r="J1745" s="192"/>
      <c r="K1745" s="173"/>
      <c r="L1745" s="192"/>
    </row>
    <row r="1746" spans="1:12" ht="12.75">
      <c r="A1746" s="49"/>
      <c r="C1746" s="49"/>
      <c r="D1746" s="45"/>
      <c r="E1746" s="13"/>
      <c r="F1746" s="126"/>
      <c r="G1746" s="200"/>
      <c r="H1746" s="152"/>
      <c r="I1746" s="173"/>
      <c r="J1746" s="192"/>
      <c r="K1746" s="173"/>
      <c r="L1746" s="192"/>
    </row>
    <row r="1747" spans="1:12" ht="12.75">
      <c r="A1747" s="49"/>
      <c r="C1747" s="49"/>
      <c r="D1747" s="45"/>
      <c r="E1747" s="13"/>
      <c r="F1747" s="126"/>
      <c r="G1747" s="200"/>
      <c r="H1747" s="152"/>
      <c r="I1747" s="173"/>
      <c r="J1747" s="192"/>
      <c r="K1747" s="173"/>
      <c r="L1747" s="192"/>
    </row>
    <row r="1748" spans="1:12" ht="12.75">
      <c r="A1748" s="49"/>
      <c r="C1748" s="49"/>
      <c r="D1748" s="45"/>
      <c r="E1748" s="13"/>
      <c r="F1748" s="126"/>
      <c r="G1748" s="200"/>
      <c r="H1748" s="152"/>
      <c r="I1748" s="173"/>
      <c r="J1748" s="192"/>
      <c r="K1748" s="173"/>
      <c r="L1748" s="192"/>
    </row>
    <row r="1749" spans="1:12" ht="12.75">
      <c r="A1749" s="49"/>
      <c r="C1749" s="49"/>
      <c r="D1749" s="45"/>
      <c r="E1749" s="13"/>
      <c r="F1749" s="126"/>
      <c r="G1749" s="200"/>
      <c r="H1749" s="152"/>
      <c r="I1749" s="173"/>
      <c r="J1749" s="192"/>
      <c r="K1749" s="173"/>
      <c r="L1749" s="192"/>
    </row>
    <row r="1750" spans="1:12" ht="12.75">
      <c r="A1750" s="49"/>
      <c r="C1750" s="49"/>
      <c r="D1750" s="45"/>
      <c r="E1750" s="13"/>
      <c r="F1750" s="126"/>
      <c r="G1750" s="200"/>
      <c r="H1750" s="152"/>
      <c r="I1750" s="173"/>
      <c r="J1750" s="192"/>
      <c r="K1750" s="173"/>
      <c r="L1750" s="192"/>
    </row>
    <row r="1751" spans="1:12" ht="12.75">
      <c r="A1751" s="49"/>
      <c r="C1751" s="49"/>
      <c r="D1751" s="45"/>
      <c r="E1751" s="13"/>
      <c r="F1751" s="126"/>
      <c r="G1751" s="200"/>
      <c r="H1751" s="152"/>
      <c r="I1751" s="173"/>
      <c r="J1751" s="192"/>
      <c r="K1751" s="173"/>
      <c r="L1751" s="192"/>
    </row>
    <row r="1752" spans="1:12" ht="12.75">
      <c r="A1752" s="49"/>
      <c r="C1752" s="49"/>
      <c r="D1752" s="45"/>
      <c r="E1752" s="13"/>
      <c r="F1752" s="126"/>
      <c r="G1752" s="200"/>
      <c r="H1752" s="152"/>
      <c r="I1752" s="173"/>
      <c r="J1752" s="192"/>
      <c r="K1752" s="173"/>
      <c r="L1752" s="192"/>
    </row>
    <row r="1753" spans="1:12" ht="12.75">
      <c r="A1753" s="49"/>
      <c r="C1753" s="49"/>
      <c r="D1753" s="45"/>
      <c r="E1753" s="13"/>
      <c r="F1753" s="126"/>
      <c r="G1753" s="200"/>
      <c r="H1753" s="152"/>
      <c r="I1753" s="173"/>
      <c r="J1753" s="192"/>
      <c r="K1753" s="173"/>
      <c r="L1753" s="192"/>
    </row>
    <row r="1754" spans="1:12" ht="12.75">
      <c r="A1754" s="49"/>
      <c r="C1754" s="49"/>
      <c r="D1754" s="45"/>
      <c r="E1754" s="13"/>
      <c r="F1754" s="126"/>
      <c r="G1754" s="200"/>
      <c r="H1754" s="152"/>
      <c r="I1754" s="173"/>
      <c r="J1754" s="192"/>
      <c r="K1754" s="173"/>
      <c r="L1754" s="192"/>
    </row>
    <row r="1755" spans="1:12" ht="12.75">
      <c r="A1755" s="49"/>
      <c r="C1755" s="49"/>
      <c r="D1755" s="45"/>
      <c r="E1755" s="13"/>
      <c r="F1755" s="126"/>
      <c r="G1755" s="200"/>
      <c r="H1755" s="152"/>
      <c r="I1755" s="173"/>
      <c r="J1755" s="192"/>
      <c r="K1755" s="173"/>
      <c r="L1755" s="192"/>
    </row>
    <row r="1756" spans="1:12" ht="12.75">
      <c r="A1756" s="49"/>
      <c r="C1756" s="49"/>
      <c r="D1756" s="45"/>
      <c r="E1756" s="13"/>
      <c r="F1756" s="126"/>
      <c r="G1756" s="200"/>
      <c r="H1756" s="152"/>
      <c r="I1756" s="173"/>
      <c r="J1756" s="192"/>
      <c r="K1756" s="173"/>
      <c r="L1756" s="192"/>
    </row>
    <row r="1757" spans="1:12" ht="12.75">
      <c r="A1757" s="49"/>
      <c r="C1757" s="49"/>
      <c r="D1757" s="45"/>
      <c r="E1757" s="13"/>
      <c r="F1757" s="126"/>
      <c r="G1757" s="200"/>
      <c r="H1757" s="152"/>
      <c r="I1757" s="173"/>
      <c r="J1757" s="192"/>
      <c r="K1757" s="173"/>
      <c r="L1757" s="192"/>
    </row>
    <row r="1758" spans="1:12" ht="12.75">
      <c r="A1758" s="49"/>
      <c r="C1758" s="49"/>
      <c r="D1758" s="45"/>
      <c r="E1758" s="13"/>
      <c r="F1758" s="126"/>
      <c r="G1758" s="200"/>
      <c r="H1758" s="152"/>
      <c r="I1758" s="173"/>
      <c r="J1758" s="192"/>
      <c r="K1758" s="173"/>
      <c r="L1758" s="192"/>
    </row>
    <row r="1759" spans="1:12" ht="12.75">
      <c r="A1759" s="49"/>
      <c r="C1759" s="49"/>
      <c r="D1759" s="45"/>
      <c r="E1759" s="13"/>
      <c r="F1759" s="126"/>
      <c r="G1759" s="200"/>
      <c r="H1759" s="152"/>
      <c r="I1759" s="173"/>
      <c r="J1759" s="192"/>
      <c r="K1759" s="173"/>
      <c r="L1759" s="192"/>
    </row>
    <row r="1760" spans="1:12" ht="12.75">
      <c r="A1760" s="49"/>
      <c r="C1760" s="49"/>
      <c r="D1760" s="45"/>
      <c r="E1760" s="13"/>
      <c r="F1760" s="126"/>
      <c r="G1760" s="200"/>
      <c r="H1760" s="152"/>
      <c r="I1760" s="173"/>
      <c r="J1760" s="192"/>
      <c r="K1760" s="173"/>
      <c r="L1760" s="192"/>
    </row>
    <row r="1761" spans="1:12" ht="12.75">
      <c r="A1761" s="49"/>
      <c r="C1761" s="49"/>
      <c r="D1761" s="45"/>
      <c r="E1761" s="13"/>
      <c r="F1761" s="126"/>
      <c r="G1761" s="200"/>
      <c r="H1761" s="152"/>
      <c r="I1761" s="173"/>
      <c r="J1761" s="192"/>
      <c r="K1761" s="173"/>
      <c r="L1761" s="192"/>
    </row>
    <row r="1762" spans="1:12" ht="12.75">
      <c r="A1762" s="49"/>
      <c r="C1762" s="49"/>
      <c r="D1762" s="45"/>
      <c r="E1762" s="13"/>
      <c r="F1762" s="126"/>
      <c r="G1762" s="200"/>
      <c r="H1762" s="152"/>
      <c r="I1762" s="173"/>
      <c r="J1762" s="192"/>
      <c r="K1762" s="173"/>
      <c r="L1762" s="192"/>
    </row>
    <row r="1763" spans="1:12" ht="12.75">
      <c r="A1763" s="49"/>
      <c r="C1763" s="49"/>
      <c r="D1763" s="45"/>
      <c r="E1763" s="13"/>
      <c r="F1763" s="126"/>
      <c r="G1763" s="200"/>
      <c r="H1763" s="152"/>
      <c r="I1763" s="173"/>
      <c r="J1763" s="192"/>
      <c r="K1763" s="173"/>
      <c r="L1763" s="192"/>
    </row>
    <row r="1764" spans="1:12" ht="12.75">
      <c r="A1764" s="49"/>
      <c r="C1764" s="49"/>
      <c r="D1764" s="45"/>
      <c r="E1764" s="13"/>
      <c r="F1764" s="126"/>
      <c r="G1764" s="200"/>
      <c r="H1764" s="152"/>
      <c r="I1764" s="173"/>
      <c r="J1764" s="192"/>
      <c r="K1764" s="173"/>
      <c r="L1764" s="192"/>
    </row>
    <row r="1765" spans="1:12" ht="12.75">
      <c r="A1765" s="49"/>
      <c r="C1765" s="49"/>
      <c r="D1765" s="45"/>
      <c r="E1765" s="13"/>
      <c r="F1765" s="126"/>
      <c r="G1765" s="200"/>
      <c r="H1765" s="152"/>
      <c r="I1765" s="173"/>
      <c r="J1765" s="192"/>
      <c r="K1765" s="173"/>
      <c r="L1765" s="192"/>
    </row>
    <row r="1766" spans="1:12" ht="12.75">
      <c r="A1766" s="49"/>
      <c r="C1766" s="49"/>
      <c r="D1766" s="45"/>
      <c r="E1766" s="13"/>
      <c r="F1766" s="126"/>
      <c r="G1766" s="200"/>
      <c r="H1766" s="152"/>
      <c r="I1766" s="173"/>
      <c r="J1766" s="192"/>
      <c r="K1766" s="173"/>
      <c r="L1766" s="192"/>
    </row>
    <row r="1767" spans="1:12" ht="12.75">
      <c r="A1767" s="49"/>
      <c r="C1767" s="49"/>
      <c r="D1767" s="45"/>
      <c r="E1767" s="13"/>
      <c r="F1767" s="126"/>
      <c r="G1767" s="200"/>
      <c r="H1767" s="152"/>
      <c r="I1767" s="173"/>
      <c r="J1767" s="192"/>
      <c r="K1767" s="173"/>
      <c r="L1767" s="192"/>
    </row>
    <row r="1768" spans="1:12" ht="12.75">
      <c r="A1768" s="49"/>
      <c r="C1768" s="49"/>
      <c r="D1768" s="45"/>
      <c r="E1768" s="13"/>
      <c r="F1768" s="126"/>
      <c r="G1768" s="200"/>
      <c r="H1768" s="152"/>
      <c r="I1768" s="173"/>
      <c r="J1768" s="192"/>
      <c r="K1768" s="173"/>
      <c r="L1768" s="192"/>
    </row>
    <row r="1769" spans="1:12" ht="12.75">
      <c r="A1769" s="49"/>
      <c r="C1769" s="49"/>
      <c r="D1769" s="45"/>
      <c r="E1769" s="13"/>
      <c r="F1769" s="126"/>
      <c r="G1769" s="200"/>
      <c r="H1769" s="152"/>
      <c r="I1769" s="173"/>
      <c r="J1769" s="192"/>
      <c r="K1769" s="173"/>
      <c r="L1769" s="192"/>
    </row>
    <row r="1770" spans="1:12" ht="12.75">
      <c r="A1770" s="49"/>
      <c r="C1770" s="49"/>
      <c r="D1770" s="45"/>
      <c r="E1770" s="13"/>
      <c r="F1770" s="126"/>
      <c r="G1770" s="200"/>
      <c r="H1770" s="152"/>
      <c r="I1770" s="173"/>
      <c r="J1770" s="192"/>
      <c r="K1770" s="173"/>
      <c r="L1770" s="192"/>
    </row>
    <row r="1771" spans="1:12" ht="12.75">
      <c r="A1771" s="49"/>
      <c r="C1771" s="49"/>
      <c r="D1771" s="45"/>
      <c r="E1771" s="13"/>
      <c r="F1771" s="126"/>
      <c r="G1771" s="200"/>
      <c r="H1771" s="152"/>
      <c r="I1771" s="173"/>
      <c r="J1771" s="192"/>
      <c r="K1771" s="173"/>
      <c r="L1771" s="192"/>
    </row>
    <row r="1772" spans="1:12" ht="12.75">
      <c r="A1772" s="49"/>
      <c r="C1772" s="49"/>
      <c r="D1772" s="45"/>
      <c r="E1772" s="13"/>
      <c r="F1772" s="126"/>
      <c r="G1772" s="200"/>
      <c r="H1772" s="152"/>
      <c r="I1772" s="173"/>
      <c r="J1772" s="192"/>
      <c r="K1772" s="173"/>
      <c r="L1772" s="192"/>
    </row>
    <row r="1773" spans="1:12" ht="12.75">
      <c r="A1773" s="49"/>
      <c r="C1773" s="49"/>
      <c r="D1773" s="45"/>
      <c r="E1773" s="13"/>
      <c r="F1773" s="126"/>
      <c r="G1773" s="200"/>
      <c r="H1773" s="152"/>
      <c r="I1773" s="173"/>
      <c r="J1773" s="192"/>
      <c r="K1773" s="173"/>
      <c r="L1773" s="192"/>
    </row>
    <row r="1774" spans="1:12" ht="12.75">
      <c r="A1774" s="49"/>
      <c r="C1774" s="49"/>
      <c r="D1774" s="45"/>
      <c r="E1774" s="13"/>
      <c r="F1774" s="126"/>
      <c r="G1774" s="200"/>
      <c r="H1774" s="152"/>
      <c r="I1774" s="173"/>
      <c r="J1774" s="192"/>
      <c r="K1774" s="173"/>
      <c r="L1774" s="192"/>
    </row>
    <row r="1775" spans="1:12" ht="12.75">
      <c r="A1775" s="49"/>
      <c r="C1775" s="49"/>
      <c r="D1775" s="45"/>
      <c r="E1775" s="13"/>
      <c r="F1775" s="126"/>
      <c r="G1775" s="200"/>
      <c r="H1775" s="152"/>
      <c r="I1775" s="173"/>
      <c r="J1775" s="192"/>
      <c r="K1775" s="173"/>
      <c r="L1775" s="192"/>
    </row>
    <row r="1776" spans="1:12" ht="12.75">
      <c r="A1776" s="49"/>
      <c r="C1776" s="49"/>
      <c r="D1776" s="45"/>
      <c r="E1776" s="13"/>
      <c r="F1776" s="126"/>
      <c r="G1776" s="200"/>
      <c r="H1776" s="152"/>
      <c r="I1776" s="173"/>
      <c r="J1776" s="192"/>
      <c r="K1776" s="173"/>
      <c r="L1776" s="192"/>
    </row>
    <row r="1777" spans="1:12" ht="12.75">
      <c r="A1777" s="49"/>
      <c r="C1777" s="49"/>
      <c r="D1777" s="45"/>
      <c r="E1777" s="13"/>
      <c r="F1777" s="126"/>
      <c r="G1777" s="200"/>
      <c r="H1777" s="152"/>
      <c r="I1777" s="173"/>
      <c r="J1777" s="192"/>
      <c r="K1777" s="173"/>
      <c r="L1777" s="192"/>
    </row>
    <row r="1778" spans="1:12" ht="12.75">
      <c r="A1778" s="49"/>
      <c r="C1778" s="49"/>
      <c r="D1778" s="45"/>
      <c r="E1778" s="13"/>
      <c r="F1778" s="126"/>
      <c r="G1778" s="200"/>
      <c r="H1778" s="152"/>
      <c r="I1778" s="173"/>
      <c r="J1778" s="192"/>
      <c r="K1778" s="173"/>
      <c r="L1778" s="192"/>
    </row>
    <row r="1779" spans="1:12" ht="12.75">
      <c r="A1779" s="49"/>
      <c r="C1779" s="49"/>
      <c r="D1779" s="45"/>
      <c r="E1779" s="13"/>
      <c r="F1779" s="126"/>
      <c r="G1779" s="200"/>
      <c r="H1779" s="152"/>
      <c r="I1779" s="173"/>
      <c r="J1779" s="192"/>
      <c r="K1779" s="173"/>
      <c r="L1779" s="192"/>
    </row>
    <row r="1780" spans="1:12" ht="12.75">
      <c r="A1780" s="49"/>
      <c r="C1780" s="49"/>
      <c r="D1780" s="45"/>
      <c r="E1780" s="13"/>
      <c r="F1780" s="126"/>
      <c r="G1780" s="200"/>
      <c r="H1780" s="152"/>
      <c r="I1780" s="173"/>
      <c r="J1780" s="192"/>
      <c r="K1780" s="173"/>
      <c r="L1780" s="192"/>
    </row>
    <row r="1781" spans="1:12" ht="12.75">
      <c r="A1781" s="49"/>
      <c r="C1781" s="49"/>
      <c r="D1781" s="45"/>
      <c r="E1781" s="13"/>
      <c r="F1781" s="126"/>
      <c r="G1781" s="200"/>
      <c r="H1781" s="152"/>
      <c r="I1781" s="173"/>
      <c r="J1781" s="192"/>
      <c r="K1781" s="173"/>
      <c r="L1781" s="192"/>
    </row>
    <row r="1782" spans="1:12" ht="12.75">
      <c r="A1782" s="49"/>
      <c r="C1782" s="49"/>
      <c r="D1782" s="45"/>
      <c r="E1782" s="13"/>
      <c r="F1782" s="126"/>
      <c r="G1782" s="200"/>
      <c r="H1782" s="152"/>
      <c r="I1782" s="173"/>
      <c r="J1782" s="192"/>
      <c r="K1782" s="173"/>
      <c r="L1782" s="192"/>
    </row>
    <row r="1783" spans="1:12" ht="12.75">
      <c r="A1783" s="49"/>
      <c r="C1783" s="49"/>
      <c r="D1783" s="45"/>
      <c r="E1783" s="13"/>
      <c r="F1783" s="126"/>
      <c r="G1783" s="200"/>
      <c r="H1783" s="152"/>
      <c r="I1783" s="173"/>
      <c r="J1783" s="192"/>
      <c r="K1783" s="173"/>
      <c r="L1783" s="192"/>
    </row>
    <row r="1784" spans="1:12" ht="12.75">
      <c r="A1784" s="49"/>
      <c r="C1784" s="49"/>
      <c r="D1784" s="45"/>
      <c r="E1784" s="13"/>
      <c r="F1784" s="126"/>
      <c r="G1784" s="200"/>
      <c r="H1784" s="152"/>
      <c r="I1784" s="173"/>
      <c r="J1784" s="192"/>
      <c r="K1784" s="173"/>
      <c r="L1784" s="192"/>
    </row>
    <row r="1785" spans="1:12" ht="12.75">
      <c r="A1785" s="49"/>
      <c r="C1785" s="49"/>
      <c r="D1785" s="45"/>
      <c r="E1785" s="13"/>
      <c r="F1785" s="126"/>
      <c r="G1785" s="200"/>
      <c r="H1785" s="152"/>
      <c r="I1785" s="173"/>
      <c r="J1785" s="192"/>
      <c r="K1785" s="173"/>
      <c r="L1785" s="192"/>
    </row>
    <row r="1786" spans="1:12" ht="12.75">
      <c r="A1786" s="49"/>
      <c r="C1786" s="49"/>
      <c r="D1786" s="45"/>
      <c r="E1786" s="13"/>
      <c r="F1786" s="126"/>
      <c r="G1786" s="200"/>
      <c r="H1786" s="152"/>
      <c r="I1786" s="173"/>
      <c r="J1786" s="192"/>
      <c r="K1786" s="173"/>
      <c r="L1786" s="192"/>
    </row>
    <row r="1787" spans="1:12" ht="12.75">
      <c r="A1787" s="49"/>
      <c r="C1787" s="49"/>
      <c r="D1787" s="45"/>
      <c r="E1787" s="13"/>
      <c r="F1787" s="126"/>
      <c r="G1787" s="200"/>
      <c r="H1787" s="152"/>
      <c r="I1787" s="173"/>
      <c r="J1787" s="192"/>
      <c r="K1787" s="173"/>
      <c r="L1787" s="192"/>
    </row>
    <row r="1788" spans="1:12" ht="12.75">
      <c r="A1788" s="49"/>
      <c r="C1788" s="49"/>
      <c r="D1788" s="45"/>
      <c r="E1788" s="13"/>
      <c r="F1788" s="126"/>
      <c r="G1788" s="200"/>
      <c r="H1788" s="152"/>
      <c r="I1788" s="173"/>
      <c r="J1788" s="192"/>
      <c r="K1788" s="173"/>
      <c r="L1788" s="192"/>
    </row>
    <row r="1789" spans="1:12" ht="12.75">
      <c r="A1789" s="49"/>
      <c r="C1789" s="49"/>
      <c r="D1789" s="45"/>
      <c r="E1789" s="13"/>
      <c r="F1789" s="126"/>
      <c r="G1789" s="200"/>
      <c r="H1789" s="152"/>
      <c r="I1789" s="173"/>
      <c r="J1789" s="192"/>
      <c r="K1789" s="173"/>
      <c r="L1789" s="192"/>
    </row>
    <row r="1790" spans="1:12" ht="12.75">
      <c r="A1790" s="49"/>
      <c r="C1790" s="49"/>
      <c r="D1790" s="45"/>
      <c r="E1790" s="13"/>
      <c r="F1790" s="126"/>
      <c r="G1790" s="200"/>
      <c r="H1790" s="152"/>
      <c r="I1790" s="173"/>
      <c r="J1790" s="192"/>
      <c r="K1790" s="173"/>
      <c r="L1790" s="192"/>
    </row>
    <row r="1791" spans="1:12" ht="12.75">
      <c r="A1791" s="49"/>
      <c r="C1791" s="49"/>
      <c r="D1791" s="45"/>
      <c r="E1791" s="13"/>
      <c r="F1791" s="126"/>
      <c r="G1791" s="200"/>
      <c r="H1791" s="152"/>
      <c r="I1791" s="173"/>
      <c r="J1791" s="192"/>
      <c r="K1791" s="173"/>
      <c r="L1791" s="192"/>
    </row>
    <row r="1792" spans="1:12" ht="12.75">
      <c r="A1792" s="49"/>
      <c r="C1792" s="49"/>
      <c r="D1792" s="45"/>
      <c r="E1792" s="13"/>
      <c r="F1792" s="126"/>
      <c r="G1792" s="200"/>
      <c r="H1792" s="152"/>
      <c r="I1792" s="173"/>
      <c r="J1792" s="192"/>
      <c r="K1792" s="173"/>
      <c r="L1792" s="192"/>
    </row>
    <row r="1793" spans="1:12" ht="12.75">
      <c r="A1793" s="49"/>
      <c r="C1793" s="49"/>
      <c r="D1793" s="45"/>
      <c r="E1793" s="13"/>
      <c r="F1793" s="126"/>
      <c r="G1793" s="200"/>
      <c r="H1793" s="152"/>
      <c r="I1793" s="173"/>
      <c r="J1793" s="192"/>
      <c r="K1793" s="173"/>
      <c r="L1793" s="192"/>
    </row>
    <row r="1794" spans="1:12" ht="12.75">
      <c r="A1794" s="49"/>
      <c r="C1794" s="49"/>
      <c r="D1794" s="45"/>
      <c r="E1794" s="13"/>
      <c r="F1794" s="126"/>
      <c r="G1794" s="200"/>
      <c r="H1794" s="152"/>
      <c r="I1794" s="173"/>
      <c r="J1794" s="192"/>
      <c r="K1794" s="173"/>
      <c r="L1794" s="192"/>
    </row>
    <row r="1795" spans="1:12" ht="12.75">
      <c r="A1795" s="49"/>
      <c r="C1795" s="49"/>
      <c r="D1795" s="45"/>
      <c r="E1795" s="13"/>
      <c r="F1795" s="126"/>
      <c r="G1795" s="200"/>
      <c r="H1795" s="152"/>
      <c r="I1795" s="173"/>
      <c r="J1795" s="192"/>
      <c r="K1795" s="173"/>
      <c r="L1795" s="192"/>
    </row>
    <row r="1796" spans="1:12" ht="12.75">
      <c r="A1796" s="49"/>
      <c r="C1796" s="49"/>
      <c r="D1796" s="45"/>
      <c r="E1796" s="13"/>
      <c r="F1796" s="126"/>
      <c r="G1796" s="200"/>
      <c r="H1796" s="152"/>
      <c r="I1796" s="173"/>
      <c r="J1796" s="192"/>
      <c r="K1796" s="173"/>
      <c r="L1796" s="192"/>
    </row>
    <row r="1797" spans="1:12" ht="12.75">
      <c r="A1797" s="49"/>
      <c r="C1797" s="49"/>
      <c r="D1797" s="45"/>
      <c r="E1797" s="13"/>
      <c r="F1797" s="126"/>
      <c r="G1797" s="200"/>
      <c r="H1797" s="152"/>
      <c r="I1797" s="173"/>
      <c r="J1797" s="192"/>
      <c r="K1797" s="173"/>
      <c r="L1797" s="192"/>
    </row>
    <row r="1798" spans="1:12" ht="12.75">
      <c r="A1798" s="49"/>
      <c r="C1798" s="49"/>
      <c r="D1798" s="45"/>
      <c r="E1798" s="13"/>
      <c r="F1798" s="126"/>
      <c r="G1798" s="200"/>
      <c r="H1798" s="152"/>
      <c r="I1798" s="173"/>
      <c r="J1798" s="192"/>
      <c r="K1798" s="173"/>
      <c r="L1798" s="192"/>
    </row>
    <row r="1799" spans="1:12" ht="12.75">
      <c r="A1799" s="49"/>
      <c r="C1799" s="49"/>
      <c r="D1799" s="45"/>
      <c r="E1799" s="13"/>
      <c r="F1799" s="126"/>
      <c r="G1799" s="200"/>
      <c r="H1799" s="152"/>
      <c r="I1799" s="173"/>
      <c r="J1799" s="192"/>
      <c r="K1799" s="173"/>
      <c r="L1799" s="192"/>
    </row>
    <row r="1800" spans="1:12" ht="12.75">
      <c r="A1800" s="49"/>
      <c r="C1800" s="49"/>
      <c r="D1800" s="45"/>
      <c r="E1800" s="13"/>
      <c r="F1800" s="126"/>
      <c r="G1800" s="200"/>
      <c r="H1800" s="152"/>
      <c r="I1800" s="173"/>
      <c r="J1800" s="192"/>
      <c r="K1800" s="173"/>
      <c r="L1800" s="192"/>
    </row>
    <row r="1801" spans="1:12" ht="12.75">
      <c r="A1801" s="49"/>
      <c r="C1801" s="49"/>
      <c r="D1801" s="45"/>
      <c r="E1801" s="13"/>
      <c r="F1801" s="126"/>
      <c r="G1801" s="200"/>
      <c r="H1801" s="152"/>
      <c r="I1801" s="173"/>
      <c r="J1801" s="192"/>
      <c r="K1801" s="173"/>
      <c r="L1801" s="192"/>
    </row>
    <row r="1802" spans="1:12" ht="12.75">
      <c r="A1802" s="49"/>
      <c r="C1802" s="49"/>
      <c r="D1802" s="45"/>
      <c r="E1802" s="13"/>
      <c r="F1802" s="126"/>
      <c r="G1802" s="200"/>
      <c r="H1802" s="152"/>
      <c r="I1802" s="173"/>
      <c r="J1802" s="192"/>
      <c r="K1802" s="173"/>
      <c r="L1802" s="192"/>
    </row>
    <row r="1803" spans="1:12" ht="12.75">
      <c r="A1803" s="49"/>
      <c r="C1803" s="49"/>
      <c r="D1803" s="45"/>
      <c r="E1803" s="13"/>
      <c r="F1803" s="126"/>
      <c r="G1803" s="200"/>
      <c r="H1803" s="152"/>
      <c r="I1803" s="173"/>
      <c r="J1803" s="192"/>
      <c r="K1803" s="173"/>
      <c r="L1803" s="192"/>
    </row>
    <row r="1804" spans="1:12" ht="12.75">
      <c r="A1804" s="49"/>
      <c r="C1804" s="49"/>
      <c r="D1804" s="45"/>
      <c r="E1804" s="13"/>
      <c r="F1804" s="126"/>
      <c r="G1804" s="200"/>
      <c r="H1804" s="152"/>
      <c r="I1804" s="173"/>
      <c r="J1804" s="192"/>
      <c r="K1804" s="173"/>
      <c r="L1804" s="192"/>
    </row>
    <row r="1805" spans="1:12" ht="12.75">
      <c r="A1805" s="49"/>
      <c r="C1805" s="49"/>
      <c r="D1805" s="45"/>
      <c r="E1805" s="13"/>
      <c r="F1805" s="126"/>
      <c r="G1805" s="200"/>
      <c r="H1805" s="152"/>
      <c r="I1805" s="173"/>
      <c r="J1805" s="192"/>
      <c r="K1805" s="173"/>
      <c r="L1805" s="192"/>
    </row>
    <row r="1806" spans="1:12" ht="12.75">
      <c r="A1806" s="49"/>
      <c r="C1806" s="49"/>
      <c r="D1806" s="45"/>
      <c r="E1806" s="13"/>
      <c r="F1806" s="126"/>
      <c r="G1806" s="200"/>
      <c r="H1806" s="152"/>
      <c r="I1806" s="173"/>
      <c r="J1806" s="192"/>
      <c r="K1806" s="173"/>
      <c r="L1806" s="192"/>
    </row>
    <row r="1807" spans="1:12" ht="12.75">
      <c r="A1807" s="49"/>
      <c r="C1807" s="49"/>
      <c r="D1807" s="45"/>
      <c r="E1807" s="13"/>
      <c r="F1807" s="126"/>
      <c r="G1807" s="200"/>
      <c r="H1807" s="152"/>
      <c r="I1807" s="173"/>
      <c r="J1807" s="192"/>
      <c r="K1807" s="173"/>
      <c r="L1807" s="192"/>
    </row>
    <row r="1808" spans="1:12" ht="12.75">
      <c r="A1808" s="49"/>
      <c r="C1808" s="49"/>
      <c r="D1808" s="45"/>
      <c r="E1808" s="13"/>
      <c r="F1808" s="126"/>
      <c r="G1808" s="200"/>
      <c r="H1808" s="152"/>
      <c r="I1808" s="173"/>
      <c r="J1808" s="192"/>
      <c r="K1808" s="173"/>
      <c r="L1808" s="192"/>
    </row>
    <row r="1809" spans="1:12" ht="12.75">
      <c r="A1809" s="49"/>
      <c r="C1809" s="49"/>
      <c r="D1809" s="45"/>
      <c r="E1809" s="13"/>
      <c r="F1809" s="126"/>
      <c r="G1809" s="200"/>
      <c r="H1809" s="152"/>
      <c r="I1809" s="173"/>
      <c r="J1809" s="192"/>
      <c r="K1809" s="173"/>
      <c r="L1809" s="192"/>
    </row>
    <row r="1810" spans="1:12" ht="12.75">
      <c r="A1810" s="49"/>
      <c r="C1810" s="49"/>
      <c r="D1810" s="45"/>
      <c r="E1810" s="13"/>
      <c r="F1810" s="126"/>
      <c r="G1810" s="200"/>
      <c r="H1810" s="152"/>
      <c r="I1810" s="173"/>
      <c r="J1810" s="192"/>
      <c r="K1810" s="173"/>
      <c r="L1810" s="192"/>
    </row>
    <row r="1811" spans="1:12" ht="12.75">
      <c r="A1811" s="49"/>
      <c r="C1811" s="49"/>
      <c r="D1811" s="45"/>
      <c r="E1811" s="13"/>
      <c r="F1811" s="126"/>
      <c r="G1811" s="200"/>
      <c r="H1811" s="152"/>
      <c r="I1811" s="173"/>
      <c r="J1811" s="192"/>
      <c r="K1811" s="173"/>
      <c r="L1811" s="192"/>
    </row>
    <row r="1812" spans="1:12" ht="12.75">
      <c r="A1812" s="49"/>
      <c r="C1812" s="49"/>
      <c r="D1812" s="45"/>
      <c r="E1812" s="13"/>
      <c r="F1812" s="126"/>
      <c r="G1812" s="200"/>
      <c r="H1812" s="152"/>
      <c r="I1812" s="173"/>
      <c r="J1812" s="192"/>
      <c r="K1812" s="173"/>
      <c r="L1812" s="192"/>
    </row>
    <row r="1813" spans="1:12" ht="12.75">
      <c r="A1813" s="49"/>
      <c r="C1813" s="49"/>
      <c r="D1813" s="45"/>
      <c r="E1813" s="13"/>
      <c r="F1813" s="126"/>
      <c r="G1813" s="200"/>
      <c r="H1813" s="152"/>
      <c r="I1813" s="173"/>
      <c r="J1813" s="192"/>
      <c r="K1813" s="173"/>
      <c r="L1813" s="192"/>
    </row>
    <row r="1814" spans="1:12" ht="12.75">
      <c r="A1814" s="49"/>
      <c r="C1814" s="49"/>
      <c r="D1814" s="45"/>
      <c r="E1814" s="13"/>
      <c r="F1814" s="126"/>
      <c r="G1814" s="200"/>
      <c r="H1814" s="152"/>
      <c r="I1814" s="173"/>
      <c r="J1814" s="192"/>
      <c r="K1814" s="173"/>
      <c r="L1814" s="192"/>
    </row>
    <row r="1815" spans="1:12" ht="12.75">
      <c r="A1815" s="49"/>
      <c r="C1815" s="49"/>
      <c r="D1815" s="45"/>
      <c r="E1815" s="13"/>
      <c r="F1815" s="126"/>
      <c r="G1815" s="200"/>
      <c r="H1815" s="152"/>
      <c r="I1815" s="173"/>
      <c r="J1815" s="192"/>
      <c r="K1815" s="173"/>
      <c r="L1815" s="192"/>
    </row>
    <row r="1816" spans="1:12" ht="12.75">
      <c r="A1816" s="49"/>
      <c r="C1816" s="49"/>
      <c r="D1816" s="45"/>
      <c r="E1816" s="13"/>
      <c r="F1816" s="126"/>
      <c r="G1816" s="200"/>
      <c r="H1816" s="152"/>
      <c r="I1816" s="173"/>
      <c r="J1816" s="192"/>
      <c r="K1816" s="173"/>
      <c r="L1816" s="192"/>
    </row>
    <row r="1817" spans="1:12" ht="12.75">
      <c r="A1817" s="49"/>
      <c r="C1817" s="49"/>
      <c r="D1817" s="45"/>
      <c r="E1817" s="13"/>
      <c r="F1817" s="126"/>
      <c r="G1817" s="200"/>
      <c r="H1817" s="152"/>
      <c r="I1817" s="173"/>
      <c r="J1817" s="192"/>
      <c r="K1817" s="173"/>
      <c r="L1817" s="192"/>
    </row>
    <row r="1818" spans="1:12" ht="12.75">
      <c r="A1818" s="49"/>
      <c r="C1818" s="49"/>
      <c r="D1818" s="45"/>
      <c r="E1818" s="13"/>
      <c r="F1818" s="126"/>
      <c r="G1818" s="200"/>
      <c r="H1818" s="152"/>
      <c r="I1818" s="173"/>
      <c r="J1818" s="192"/>
      <c r="K1818" s="173"/>
      <c r="L1818" s="192"/>
    </row>
    <row r="1819" spans="1:12" ht="12.75">
      <c r="A1819" s="49"/>
      <c r="C1819" s="49"/>
      <c r="D1819" s="45"/>
      <c r="E1819" s="13"/>
      <c r="F1819" s="126"/>
      <c r="G1819" s="200"/>
      <c r="H1819" s="152"/>
      <c r="I1819" s="173"/>
      <c r="J1819" s="192"/>
      <c r="K1819" s="173"/>
      <c r="L1819" s="192"/>
    </row>
    <row r="1820" spans="1:12" ht="12.75">
      <c r="A1820" s="49"/>
      <c r="C1820" s="49"/>
      <c r="D1820" s="45"/>
      <c r="E1820" s="13"/>
      <c r="F1820" s="126"/>
      <c r="G1820" s="200"/>
      <c r="H1820" s="152"/>
      <c r="I1820" s="173"/>
      <c r="J1820" s="192"/>
      <c r="K1820" s="173"/>
      <c r="L1820" s="192"/>
    </row>
    <row r="1821" spans="1:12" ht="12.75">
      <c r="A1821" s="49"/>
      <c r="C1821" s="49"/>
      <c r="D1821" s="45"/>
      <c r="E1821" s="13"/>
      <c r="F1821" s="126"/>
      <c r="G1821" s="200"/>
      <c r="H1821" s="152"/>
      <c r="I1821" s="173"/>
      <c r="J1821" s="192"/>
      <c r="K1821" s="173"/>
      <c r="L1821" s="192"/>
    </row>
    <row r="1822" spans="1:12" ht="12.75">
      <c r="A1822" s="49"/>
      <c r="C1822" s="49"/>
      <c r="D1822" s="45"/>
      <c r="E1822" s="13"/>
      <c r="F1822" s="126"/>
      <c r="G1822" s="200"/>
      <c r="H1822" s="152"/>
      <c r="I1822" s="173"/>
      <c r="J1822" s="192"/>
      <c r="K1822" s="173"/>
      <c r="L1822" s="192"/>
    </row>
    <row r="1823" spans="1:12" ht="12.75">
      <c r="A1823" s="49"/>
      <c r="C1823" s="49"/>
      <c r="D1823" s="45"/>
      <c r="E1823" s="13"/>
      <c r="F1823" s="126"/>
      <c r="G1823" s="200"/>
      <c r="H1823" s="152"/>
      <c r="I1823" s="173"/>
      <c r="J1823" s="192"/>
      <c r="K1823" s="173"/>
      <c r="L1823" s="192"/>
    </row>
    <row r="1824" spans="1:12" ht="12.75">
      <c r="A1824" s="49"/>
      <c r="C1824" s="49"/>
      <c r="D1824" s="45"/>
      <c r="E1824" s="13"/>
      <c r="F1824" s="126"/>
      <c r="G1824" s="200"/>
      <c r="H1824" s="152"/>
      <c r="I1824" s="173"/>
      <c r="J1824" s="192"/>
      <c r="K1824" s="173"/>
      <c r="L1824" s="192"/>
    </row>
    <row r="1825" spans="1:12" ht="12.75">
      <c r="A1825" s="49"/>
      <c r="C1825" s="49"/>
      <c r="D1825" s="45"/>
      <c r="E1825" s="13"/>
      <c r="F1825" s="126"/>
      <c r="G1825" s="200"/>
      <c r="H1825" s="152"/>
      <c r="I1825" s="173"/>
      <c r="J1825" s="192"/>
      <c r="K1825" s="173"/>
      <c r="L1825" s="192"/>
    </row>
    <row r="1826" spans="1:12" ht="12.75">
      <c r="A1826" s="49"/>
      <c r="C1826" s="49"/>
      <c r="D1826" s="45"/>
      <c r="E1826" s="13"/>
      <c r="F1826" s="126"/>
      <c r="G1826" s="200"/>
      <c r="H1826" s="152"/>
      <c r="I1826" s="173"/>
      <c r="J1826" s="192"/>
      <c r="K1826" s="173"/>
      <c r="L1826" s="192"/>
    </row>
    <row r="1827" spans="1:12" ht="12.75">
      <c r="A1827" s="49"/>
      <c r="C1827" s="49"/>
      <c r="D1827" s="45"/>
      <c r="E1827" s="13"/>
      <c r="F1827" s="126"/>
      <c r="G1827" s="200"/>
      <c r="H1827" s="152"/>
      <c r="I1827" s="173"/>
      <c r="J1827" s="192"/>
      <c r="K1827" s="173"/>
      <c r="L1827" s="192"/>
    </row>
    <row r="1828" spans="1:12" ht="12.75">
      <c r="A1828" s="49"/>
      <c r="C1828" s="49"/>
      <c r="D1828" s="45"/>
      <c r="E1828" s="13"/>
      <c r="F1828" s="126"/>
      <c r="G1828" s="200"/>
      <c r="H1828" s="152"/>
      <c r="I1828" s="173"/>
      <c r="J1828" s="192"/>
      <c r="K1828" s="173"/>
      <c r="L1828" s="192"/>
    </row>
    <row r="1829" spans="1:12" ht="12.75">
      <c r="A1829" s="49"/>
      <c r="C1829" s="49"/>
      <c r="D1829" s="45"/>
      <c r="E1829" s="13"/>
      <c r="F1829" s="126"/>
      <c r="G1829" s="200"/>
      <c r="H1829" s="152"/>
      <c r="I1829" s="173"/>
      <c r="J1829" s="192"/>
      <c r="K1829" s="173"/>
      <c r="L1829" s="192"/>
    </row>
    <row r="1830" spans="1:12" ht="12.75">
      <c r="A1830" s="49"/>
      <c r="C1830" s="49"/>
      <c r="D1830" s="45"/>
      <c r="E1830" s="13"/>
      <c r="F1830" s="126"/>
      <c r="G1830" s="200"/>
      <c r="H1830" s="152"/>
      <c r="I1830" s="173"/>
      <c r="J1830" s="192"/>
      <c r="K1830" s="173"/>
      <c r="L1830" s="192"/>
    </row>
    <row r="1831" spans="1:12" ht="12.75">
      <c r="A1831" s="49"/>
      <c r="C1831" s="49"/>
      <c r="D1831" s="45"/>
      <c r="E1831" s="13"/>
      <c r="F1831" s="126"/>
      <c r="G1831" s="200"/>
      <c r="H1831" s="152"/>
      <c r="I1831" s="173"/>
      <c r="J1831" s="192"/>
      <c r="K1831" s="173"/>
      <c r="L1831" s="192"/>
    </row>
    <row r="1832" spans="1:12" ht="12.75">
      <c r="A1832" s="49"/>
      <c r="C1832" s="49"/>
      <c r="D1832" s="45"/>
      <c r="E1832" s="13"/>
      <c r="F1832" s="126"/>
      <c r="G1832" s="200"/>
      <c r="H1832" s="152"/>
      <c r="I1832" s="173"/>
      <c r="J1832" s="192"/>
      <c r="K1832" s="173"/>
      <c r="L1832" s="192"/>
    </row>
    <row r="1833" spans="1:12" ht="12.75">
      <c r="A1833" s="49"/>
      <c r="C1833" s="49"/>
      <c r="D1833" s="45"/>
      <c r="E1833" s="13"/>
      <c r="F1833" s="126"/>
      <c r="G1833" s="200"/>
      <c r="H1833" s="152"/>
      <c r="I1833" s="173"/>
      <c r="J1833" s="192"/>
      <c r="K1833" s="173"/>
      <c r="L1833" s="192"/>
    </row>
    <row r="1834" spans="1:12" ht="12.75">
      <c r="A1834" s="49"/>
      <c r="C1834" s="49"/>
      <c r="D1834" s="45"/>
      <c r="E1834" s="13"/>
      <c r="F1834" s="126"/>
      <c r="G1834" s="200"/>
      <c r="H1834" s="152"/>
      <c r="I1834" s="173"/>
      <c r="J1834" s="192"/>
      <c r="K1834" s="173"/>
      <c r="L1834" s="192"/>
    </row>
    <row r="1835" spans="1:12" ht="12.75">
      <c r="A1835" s="49"/>
      <c r="C1835" s="49"/>
      <c r="D1835" s="45"/>
      <c r="E1835" s="13"/>
      <c r="F1835" s="126"/>
      <c r="G1835" s="200"/>
      <c r="H1835" s="152"/>
      <c r="I1835" s="173"/>
      <c r="J1835" s="192"/>
      <c r="K1835" s="173"/>
      <c r="L1835" s="192"/>
    </row>
    <row r="1836" spans="1:12" ht="12.75">
      <c r="A1836" s="49"/>
      <c r="C1836" s="49"/>
      <c r="D1836" s="45"/>
      <c r="E1836" s="13"/>
      <c r="F1836" s="126"/>
      <c r="G1836" s="200"/>
      <c r="H1836" s="152"/>
      <c r="I1836" s="173"/>
      <c r="J1836" s="192"/>
      <c r="K1836" s="173"/>
      <c r="L1836" s="192"/>
    </row>
    <row r="1837" spans="1:12" ht="12.75">
      <c r="A1837" s="49"/>
      <c r="C1837" s="49"/>
      <c r="D1837" s="45"/>
      <c r="E1837" s="13"/>
      <c r="F1837" s="126"/>
      <c r="G1837" s="200"/>
      <c r="H1837" s="152"/>
      <c r="I1837" s="173"/>
      <c r="J1837" s="192"/>
      <c r="K1837" s="173"/>
      <c r="L1837" s="192"/>
    </row>
    <row r="1838" spans="1:12" ht="12.75">
      <c r="A1838" s="49"/>
      <c r="C1838" s="49"/>
      <c r="D1838" s="45"/>
      <c r="E1838" s="13"/>
      <c r="F1838" s="126"/>
      <c r="G1838" s="200"/>
      <c r="H1838" s="152"/>
      <c r="I1838" s="173"/>
      <c r="J1838" s="192"/>
      <c r="K1838" s="173"/>
      <c r="L1838" s="192"/>
    </row>
    <row r="1839" spans="1:12" ht="12.75">
      <c r="A1839" s="49"/>
      <c r="C1839" s="49"/>
      <c r="D1839" s="45"/>
      <c r="E1839" s="13"/>
      <c r="F1839" s="126"/>
      <c r="G1839" s="200"/>
      <c r="H1839" s="152"/>
      <c r="I1839" s="173"/>
      <c r="J1839" s="192"/>
      <c r="K1839" s="173"/>
      <c r="L1839" s="192"/>
    </row>
    <row r="1840" spans="1:12" ht="12.75">
      <c r="A1840" s="49"/>
      <c r="C1840" s="49"/>
      <c r="D1840" s="45"/>
      <c r="E1840" s="13"/>
      <c r="F1840" s="126"/>
      <c r="G1840" s="200"/>
      <c r="H1840" s="152"/>
      <c r="I1840" s="173"/>
      <c r="J1840" s="192"/>
      <c r="K1840" s="173"/>
      <c r="L1840" s="192"/>
    </row>
    <row r="1841" spans="1:12" ht="12.75">
      <c r="A1841" s="49"/>
      <c r="C1841" s="49"/>
      <c r="D1841" s="45"/>
      <c r="E1841" s="13"/>
      <c r="F1841" s="126"/>
      <c r="G1841" s="200"/>
      <c r="H1841" s="152"/>
      <c r="I1841" s="173"/>
      <c r="J1841" s="192"/>
      <c r="K1841" s="173"/>
      <c r="L1841" s="192"/>
    </row>
    <row r="1842" spans="1:12" ht="12.75">
      <c r="A1842" s="49"/>
      <c r="C1842" s="49"/>
      <c r="D1842" s="45"/>
      <c r="E1842" s="13"/>
      <c r="F1842" s="126"/>
      <c r="G1842" s="200"/>
      <c r="H1842" s="152"/>
      <c r="I1842" s="173"/>
      <c r="J1842" s="192"/>
      <c r="K1842" s="173"/>
      <c r="L1842" s="192"/>
    </row>
    <row r="1843" spans="1:12" ht="12.75">
      <c r="A1843" s="49"/>
      <c r="C1843" s="49"/>
      <c r="D1843" s="45"/>
      <c r="E1843" s="13"/>
      <c r="F1843" s="126"/>
      <c r="G1843" s="200"/>
      <c r="H1843" s="152"/>
      <c r="I1843" s="173"/>
      <c r="J1843" s="192"/>
      <c r="K1843" s="173"/>
      <c r="L1843" s="192"/>
    </row>
    <row r="1844" spans="1:12" ht="12.75">
      <c r="A1844" s="49"/>
      <c r="C1844" s="49"/>
      <c r="D1844" s="45"/>
      <c r="E1844" s="13"/>
      <c r="F1844" s="126"/>
      <c r="G1844" s="200"/>
      <c r="H1844" s="152"/>
      <c r="I1844" s="173"/>
      <c r="J1844" s="192"/>
      <c r="K1844" s="173"/>
      <c r="L1844" s="192"/>
    </row>
    <row r="1845" spans="1:12" ht="12.75">
      <c r="A1845" s="49"/>
      <c r="C1845" s="49"/>
      <c r="D1845" s="45"/>
      <c r="E1845" s="13"/>
      <c r="F1845" s="126"/>
      <c r="G1845" s="200"/>
      <c r="H1845" s="152"/>
      <c r="I1845" s="173"/>
      <c r="J1845" s="192"/>
      <c r="K1845" s="173"/>
      <c r="L1845" s="192"/>
    </row>
    <row r="1846" spans="1:12" ht="12.75">
      <c r="A1846" s="49"/>
      <c r="C1846" s="49"/>
      <c r="D1846" s="45"/>
      <c r="E1846" s="13"/>
      <c r="F1846" s="126"/>
      <c r="G1846" s="200"/>
      <c r="H1846" s="152"/>
      <c r="I1846" s="173"/>
      <c r="J1846" s="192"/>
      <c r="K1846" s="173"/>
      <c r="L1846" s="192"/>
    </row>
    <row r="1847" spans="1:12" ht="12.75">
      <c r="A1847" s="49"/>
      <c r="C1847" s="49"/>
      <c r="D1847" s="45"/>
      <c r="E1847" s="13"/>
      <c r="F1847" s="126"/>
      <c r="G1847" s="200"/>
      <c r="H1847" s="152"/>
      <c r="I1847" s="173"/>
      <c r="J1847" s="192"/>
      <c r="K1847" s="173"/>
      <c r="L1847" s="192"/>
    </row>
    <row r="1848" spans="1:12" ht="12.75">
      <c r="A1848" s="49"/>
      <c r="C1848" s="49"/>
      <c r="D1848" s="45"/>
      <c r="E1848" s="13"/>
      <c r="F1848" s="126"/>
      <c r="G1848" s="200"/>
      <c r="H1848" s="152"/>
      <c r="I1848" s="173"/>
      <c r="J1848" s="192"/>
      <c r="K1848" s="173"/>
      <c r="L1848" s="192"/>
    </row>
    <row r="1849" spans="1:12" ht="12.75">
      <c r="A1849" s="49"/>
      <c r="C1849" s="49"/>
      <c r="D1849" s="45"/>
      <c r="E1849" s="13"/>
      <c r="F1849" s="126"/>
      <c r="G1849" s="200"/>
      <c r="H1849" s="152"/>
      <c r="I1849" s="173"/>
      <c r="J1849" s="192"/>
      <c r="K1849" s="173"/>
      <c r="L1849" s="192"/>
    </row>
    <row r="1850" spans="1:12" ht="12.75">
      <c r="A1850" s="49"/>
      <c r="C1850" s="49"/>
      <c r="D1850" s="45"/>
      <c r="E1850" s="13"/>
      <c r="F1850" s="126"/>
      <c r="G1850" s="200"/>
      <c r="H1850" s="152"/>
      <c r="I1850" s="173"/>
      <c r="J1850" s="192"/>
      <c r="K1850" s="173"/>
      <c r="L1850" s="192"/>
    </row>
    <row r="1851" spans="1:12" ht="12.75">
      <c r="A1851" s="49"/>
      <c r="C1851" s="49"/>
      <c r="D1851" s="45"/>
      <c r="E1851" s="13"/>
      <c r="F1851" s="126"/>
      <c r="G1851" s="200"/>
      <c r="H1851" s="152"/>
      <c r="I1851" s="173"/>
      <c r="J1851" s="192"/>
      <c r="K1851" s="173"/>
      <c r="L1851" s="192"/>
    </row>
    <row r="1852" spans="1:12" ht="12.75">
      <c r="A1852" s="49"/>
      <c r="C1852" s="49"/>
      <c r="D1852" s="45"/>
      <c r="E1852" s="13"/>
      <c r="F1852" s="126"/>
      <c r="G1852" s="200"/>
      <c r="H1852" s="152"/>
      <c r="I1852" s="173"/>
      <c r="J1852" s="192"/>
      <c r="K1852" s="173"/>
      <c r="L1852" s="192"/>
    </row>
    <row r="1853" spans="1:12" ht="12.75">
      <c r="A1853" s="49"/>
      <c r="C1853" s="49"/>
      <c r="D1853" s="45"/>
      <c r="E1853" s="13"/>
      <c r="F1853" s="126"/>
      <c r="G1853" s="200"/>
      <c r="H1853" s="152"/>
      <c r="I1853" s="173"/>
      <c r="J1853" s="192"/>
      <c r="K1853" s="173"/>
      <c r="L1853" s="192"/>
    </row>
    <row r="1854" spans="1:12" ht="12.75">
      <c r="A1854" s="49"/>
      <c r="C1854" s="49"/>
      <c r="D1854" s="45"/>
      <c r="E1854" s="13"/>
      <c r="F1854" s="126"/>
      <c r="G1854" s="200"/>
      <c r="H1854" s="152"/>
      <c r="I1854" s="173"/>
      <c r="J1854" s="192"/>
      <c r="K1854" s="173"/>
      <c r="L1854" s="192"/>
    </row>
  </sheetData>
  <autoFilter ref="A1:L721" xr:uid="{00000000-0001-0000-0200-000000000000}"/>
  <sortState xmlns:xlrd2="http://schemas.microsoft.com/office/spreadsheetml/2017/richdata2" ref="A2:L721">
    <sortCondition ref="A2:A721"/>
  </sortState>
  <customSheetViews>
    <customSheetView guid="{9FE0E3E1-7409-4A9F-B61A-4A52A4CA8FDA}" filter="1" showAutoFilter="1">
      <pageMargins left="0.7" right="0.7" top="0.75" bottom="0.75" header="0.3" footer="0.3"/>
      <autoFilter ref="I1:I1001" xr:uid="{287FFD49-9053-428E-9C4C-9C96F74340B3}"/>
    </customSheetView>
    <customSheetView guid="{10BF8C84-0B89-4645-BCA4-68129A03D2EF}" filter="1" showAutoFilter="1">
      <pageMargins left="0.7" right="0.7" top="0.75" bottom="0.75" header="0.3" footer="0.3"/>
      <autoFilter ref="A1:Q449" xr:uid="{8DD8D6A1-43D5-4602-B84F-8F90A685709E}">
        <filterColumn colId="8">
          <filters>
            <filter val="- Movement"/>
            <filter val="+Absence"/>
            <filter val="+Absence, +Animate"/>
            <filter val="+Absence, +Assessment in relation to norms and expectations, +Negative Assessment, -Negation"/>
            <filter val="+Accentuation"/>
            <filter val="+Additive, +Unrestricted domain, +Assessment in relation to quantification, +Approximate"/>
            <filter val="+Additive, +Unrestricted domain, +Assessment in relation to quantification, +Approximate.Path:Goal"/>
            <filter val="+Addressee, +Inanimacy"/>
            <filter val="+Addressee, -Approximate.Path:Goal"/>
            <filter val="+Agreement"/>
            <filter val="+Animacy"/>
            <filter val="+Assessment in relation to knowledge"/>
            <filter val="+Assessment in relation to knowledge, +Caritive, +Absence"/>
            <filter val="+Assessment in relation to knowledge, +Maximizer"/>
            <filter val="+Assessment in relation to norms and expectations"/>
            <filter val="+Assessment in relation to norms and expectations, +Matching the norm"/>
            <filter val="+Assessment in relation to norms and expectations, +Negative assessment, -Assessment in relation to knowledge"/>
            <filter val="+Assessment in relation to quantification, +Assessment specific to people"/>
            <filter val="+Assessment in relation to quantification, +Iterative, +Multiplicative, +Positive Assessment, +Possibility"/>
            <filter val="+Assessment specific to people, +Absence, +Negation"/>
            <filter val="+Assessment specific to people, +Mass noun"/>
            <filter val="+Assessment specific to people, +Minimizer: Absence, +Negative Assessment, +Negation"/>
            <filter val="+Assessment specific to people, +Negation, +Possibility"/>
            <filter val="+Beneficiary"/>
            <filter val="+Beneficiary,"/>
            <filter val="+Booster"/>
            <filter val="+Booster, +General Assessment, +Negative assessment"/>
            <filter val="+Both Negative and Positive Assessment, -Negative Assessment"/>
            <filter val="+Both positive and negative Assessment, -Negative Assessment"/>
            <filter val="+Capacity for an activity"/>
            <filter val="+Capacity for an activity, -Absence"/>
            <filter val="+Causation: direct"/>
            <filter val="+Causation: Indirect, +Temporary characteristics: Control"/>
            <filter val="+Causation:Direct"/>
            <filter val="+Clarification"/>
            <filter val="+Condition"/>
            <filter val="+Condition, +Achieved Result"/>
            <filter val="+Condition, +Spatial characteristics, +Multiplicative, +Mental Attitude"/>
            <filter val="+Condition, +Spatial characteristics, +Multiplicative, +Mental Attitude, +Achieved Result"/>
            <filter val="+Contrast"/>
            <filter val="+Control, +Preventive"/>
            <filter val="+Count noun"/>
            <filter val="+Dialogue"/>
            <filter val="+Dialogue, +Disagreement"/>
            <filter val="+Diminisher"/>
            <filter val="+Disagreement, -Refusal"/>
            <filter val="+Disappear, +Achieved result, -Absence"/>
            <filter val="+Dissatisfaction, +Emotional Attitude, -Physical movement"/>
            <filter val="+Dissatisfaction, Negative Assessment, Assessment specific to people, Personality"/>
            <filter val="+Distance, +Path:Goal"/>
            <filter val="+Doubt"/>
            <filter val="+Emotional Attitude, +Negation"/>
            <filter val="+Emotional state"/>
            <filter val="+Equality"/>
            <filter val="+Essence, +Functionality, +Matching the standard, +Inequality, +Negative Assessment, +Assessment in relation to norms and expectations"/>
            <filter val="+Exact, +Control"/>
            <filter val="+Exclusive"/>
            <filter val="+Existential: Free Choice, +Existential, +Unrestricted domain, +Large quantity, -Physical Action"/>
            <filter val="+General Assessment"/>
            <filter val="+General Assessment, +Emotional Attitude, +Positive Assessment, +Booster"/>
            <filter val="+General Assessment, +Essence, -Assessment specific to people, -Personality"/>
            <filter val="+General Assessment, -Assessment specific to people"/>
            <filter val="+General Assessment, -Matching the norm"/>
            <filter val="+Goal, +Comitative, +Direct Causation, +Dialogue"/>
            <filter val="+Goal, +Comitative, +Direct Causation, +Dialogue, +Movement"/>
            <filter val="+Habitual"/>
            <filter val="+Inanimacy"/>
            <filter val="+Inchoative, -Comitative"/>
            <filter val="+Inequality, +Negative Assessment"/>
            <filter val="+Inf, +Negative Assessment"/>
            <filter val="+Lack of information, +Assessment in relation to knowledge"/>
            <filter val="+Large quantity, +Assessment in relation to norms and expectations, +Assessment in relation to quantification"/>
            <filter val="+Large quantity, +Booster, +Both Negative and Positive assessment, +Assessment specific to people"/>
            <filter val="+Limitation"/>
            <filter val="+Liquid, +Mass noun, +Small quantity"/>
            <filter val="+Location"/>
            <filter val="+Maleficiary"/>
            <filter val="+Manner"/>
            <filter val="+Manner, +Booster"/>
            <filter val="+Mass noun"/>
            <filter val="+Maximizer"/>
            <filter val="+Mental Attitude, -Distance, -Path:Goal"/>
            <filter val="+Mental state, +Inanimacy"/>
            <filter val="+Minimizer: Absence"/>
            <filter val="+Minimizer: Absence, +Swearing, +Negative Assessmen"/>
            <filter val="+Minimizer: Low, +Location"/>
            <filter val="+Multiplicative"/>
            <filter val="+Narrative"/>
            <filter val="+Near future"/>
            <filter val="+Negation"/>
            <filter val="+Negation, +Antiresultative"/>
            <filter val="+negation, +negative assessment"/>
            <filter val="+Negation, +Negative Assessment, +Apprehensive"/>
            <filter val="+Negation, +Swearing, +Negative Assessment, +Prohibitive"/>
            <filter val="+Negative Assessment"/>
            <filter val="+Negative Assessment, +Assessment in relation to quantification, +Personality"/>
            <filter val="+Negative Assessment, +Booster"/>
            <filter val="+Negative Assessment, +Diminisher, -Positive Assessment, -Booster"/>
            <filter val="+Negative Assessment, +Dissatisfaction"/>
            <filter val="+Negative assessment, +General Assessment, +Evidenciality, +Colloquial"/>
            <filter val="+Negative Assessment, +Mental Attitude, +Multiplicative"/>
            <filter val="+Negative assessment, +Scalarity, +Negation, +Concession, +Assessment specific to people"/>
            <filter val="+Parenthetical Expression"/>
            <filter val="+Past"/>
            <filter val="+Path:Goal"/>
            <filter val="+Path:Goal, +Assessment in relation to knowledge, +Essence, +Functionality, +Inequality, +Negative Assessment"/>
            <filter val="+Personality"/>
            <filter val="+Physical action"/>
            <filter val="+Physical movement"/>
            <filter val="+Physical state"/>
            <filter val="+Possession"/>
            <filter val="+Possession, +Purpose"/>
            <filter val="+Present"/>
            <filter val="+Process"/>
            <filter val="+Prohibitive"/>
            <filter val="+Proportional"/>
            <filter val="+Proportional, +Large quantity"/>
            <filter val="+Purpose"/>
            <filter val="+Quantity, +Distributive, +Negation"/>
            <filter val="+Raritive"/>
            <filter val="+Refusal, +Dialogue, +Colloquial"/>
            <filter val="+Refusal, -Causation: Indirect"/>
            <filter val="+Refusal, -Dissatisfaction"/>
            <filter val="+Saturative"/>
            <filter val="+Self-evidence, -Negation, -Negative Assessment"/>
            <filter val="+Similarity, +Absence"/>
            <filter val="+Small quantity"/>
            <filter val="+Sporadic"/>
            <filter val="+State"/>
            <filter val="+Swearing, +Obscenity"/>
            <filter val="+Telicity"/>
            <filter val="+Temporal boundary"/>
            <filter val="+Time Period, -Temporal boundary"/>
            <filter val="+Universal"/>
            <filter val="+Universal: Free Choice"/>
            <filter val="+Volition"/>
            <filter val="-Addressee"/>
            <filter val="-Beneficiary"/>
            <filter val="-Concession"/>
            <filter val="-Control"/>
            <filter val="-Distributive, -Universal: Free Choice, +Negative assesment, +Assessment in relation to norms and expectations"/>
            <filter val="-Inf"/>
            <filter val="-Location"/>
            <filter val="-Location, +Exact"/>
            <filter val="-Location, +Exact, '+Appropriateness"/>
            <filter val="-Mass noun"/>
            <filter val="-Negation"/>
            <filter val="Negative"/>
            <filter val="-Negative Assessment"/>
            <filter val="-Physical action, +Distributive, +Universal: Free Choice"/>
            <filter val="-Possession"/>
            <filter val="-Present"/>
            <filter val="-Temporary characteristics: Control"/>
            <filter val="-Universal"/>
          </filters>
        </filterColumn>
      </autoFilter>
    </customSheetView>
  </customSheetViews>
  <dataValidations count="2">
    <dataValidation type="list" allowBlank="1" sqref="E399:E435 E218:E395 E460:E475 E440:E458 E2:E216 E626:E1854 E477:E624" xr:uid="{00000000-0002-0000-0200-000000000000}">
      <formula1>"synt,sem"</formula1>
    </dataValidation>
    <dataValidation type="list" allowBlank="1" showErrorMessage="1" sqref="F399:F435 F218:F395 F2:F216 F668:F1854 F440:F662" xr:uid="{00000000-0002-0000-0200-000001000000}">
      <formula1>"change in inner syntax,change in outer syntax,change in anchor,new idiomatic use,source,change in semantic compatibility,change in pragmatics"</formula1>
    </dataValidation>
  </dataValidations>
  <hyperlinks>
    <hyperlink ref="L592" r:id="rId1" xr:uid="{00000000-0004-0000-0200-000001000000}"/>
    <hyperlink ref="L451" r:id="rId2" xr:uid="{00000000-0004-0000-0200-000002000000}"/>
    <hyperlink ref="L452" r:id="rId3" xr:uid="{00000000-0004-0000-0200-000003000000}"/>
    <hyperlink ref="L453" r:id="rId4" xr:uid="{00000000-0004-0000-0200-000004000000}"/>
    <hyperlink ref="L454" r:id="rId5" xr:uid="{00000000-0004-0000-0200-000005000000}"/>
    <hyperlink ref="L455" r:id="rId6" xr:uid="{00000000-0004-0000-0200-000006000000}"/>
    <hyperlink ref="L456" r:id="rId7" xr:uid="{00000000-0004-0000-0200-000007000000}"/>
    <hyperlink ref="L457" r:id="rId8" xr:uid="{00000000-0004-0000-0200-000008000000}"/>
    <hyperlink ref="L458" r:id="rId9" xr:uid="{00000000-0004-0000-0200-000009000000}"/>
  </hyperlinks>
  <pageMargins left="0.7" right="0.7" top="0.75" bottom="0.75" header="0.3" footer="0.3"/>
  <pageSetup paperSize="9" orientation="portrait" r:id="rId10"/>
  <legacyDrawing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0"/>
  <sheetViews>
    <sheetView workbookViewId="0"/>
  </sheetViews>
  <sheetFormatPr defaultColWidth="12.7109375" defaultRowHeight="15.95" customHeight="1"/>
  <cols>
    <col min="2" max="2" width="74.85546875" customWidth="1"/>
    <col min="3" max="3" width="38.85546875" customWidth="1"/>
  </cols>
  <sheetData>
    <row r="1" spans="1:26" ht="15.95" customHeight="1">
      <c r="A1" s="191" t="s">
        <v>3780</v>
      </c>
      <c r="B1" s="16"/>
      <c r="C1" s="16"/>
      <c r="D1" s="16"/>
      <c r="E1" s="16"/>
      <c r="F1" s="16"/>
      <c r="G1" s="16"/>
      <c r="H1" s="16"/>
      <c r="I1" s="16"/>
      <c r="J1" s="16"/>
      <c r="K1" s="16"/>
      <c r="L1" s="16"/>
      <c r="M1" s="16"/>
      <c r="N1" s="16"/>
      <c r="O1" s="16"/>
      <c r="P1" s="16"/>
      <c r="Q1" s="16"/>
      <c r="R1" s="16"/>
      <c r="S1" s="16"/>
      <c r="T1" s="16"/>
      <c r="U1" s="16"/>
      <c r="V1" s="16"/>
      <c r="W1" s="16"/>
      <c r="X1" s="16"/>
      <c r="Y1" s="16"/>
      <c r="Z1" s="16"/>
    </row>
    <row r="2" spans="1:26" ht="15.95" customHeight="1">
      <c r="A2" s="172" t="s">
        <v>3781</v>
      </c>
      <c r="B2" s="16"/>
      <c r="C2" s="16"/>
      <c r="D2" s="16"/>
      <c r="E2" s="16"/>
      <c r="F2" s="16"/>
      <c r="G2" s="16"/>
      <c r="H2" s="16"/>
      <c r="I2" s="16"/>
      <c r="J2" s="16"/>
      <c r="K2" s="16"/>
      <c r="L2" s="16"/>
      <c r="M2" s="16"/>
      <c r="N2" s="16"/>
      <c r="O2" s="16"/>
      <c r="P2" s="16"/>
      <c r="Q2" s="16"/>
      <c r="R2" s="16"/>
      <c r="S2" s="16"/>
      <c r="T2" s="16"/>
      <c r="U2" s="16"/>
      <c r="V2" s="16"/>
      <c r="W2" s="16"/>
      <c r="X2" s="16"/>
      <c r="Y2" s="16"/>
      <c r="Z2" s="16"/>
    </row>
    <row r="3" spans="1:26" ht="15.95" customHeight="1">
      <c r="A3" s="172" t="s">
        <v>3782</v>
      </c>
      <c r="B3" s="16"/>
      <c r="C3" s="16"/>
      <c r="D3" s="16"/>
      <c r="E3" s="16"/>
      <c r="F3" s="16"/>
      <c r="G3" s="16"/>
      <c r="H3" s="16"/>
      <c r="I3" s="16"/>
      <c r="J3" s="16"/>
      <c r="K3" s="16"/>
      <c r="L3" s="16"/>
      <c r="M3" s="16"/>
      <c r="N3" s="16"/>
      <c r="O3" s="16"/>
      <c r="P3" s="16"/>
      <c r="Q3" s="16"/>
      <c r="R3" s="16"/>
      <c r="S3" s="16"/>
      <c r="T3" s="16"/>
      <c r="U3" s="16"/>
      <c r="V3" s="16"/>
      <c r="W3" s="16"/>
      <c r="X3" s="16"/>
      <c r="Y3" s="16"/>
      <c r="Z3" s="16"/>
    </row>
    <row r="4" spans="1:26" ht="15.95" customHeight="1">
      <c r="A4" s="16"/>
      <c r="B4" s="185" t="s">
        <v>3783</v>
      </c>
      <c r="C4" s="16"/>
      <c r="D4" s="16"/>
      <c r="E4" s="16"/>
      <c r="F4" s="16"/>
      <c r="G4" s="16"/>
      <c r="H4" s="16"/>
      <c r="I4" s="16"/>
      <c r="J4" s="16"/>
      <c r="K4" s="16"/>
      <c r="L4" s="16"/>
      <c r="M4" s="16"/>
      <c r="N4" s="16"/>
      <c r="O4" s="16"/>
      <c r="P4" s="16"/>
      <c r="Q4" s="16"/>
      <c r="R4" s="16"/>
      <c r="S4" s="16"/>
      <c r="T4" s="16"/>
      <c r="U4" s="16"/>
      <c r="V4" s="16"/>
      <c r="W4" s="16"/>
      <c r="X4" s="16"/>
      <c r="Y4" s="16"/>
      <c r="Z4" s="16"/>
    </row>
    <row r="5" spans="1:26" ht="15.95" customHeight="1">
      <c r="A5" s="16"/>
      <c r="B5" s="185" t="s">
        <v>3784</v>
      </c>
      <c r="C5" s="16"/>
      <c r="D5" s="16"/>
      <c r="E5" s="16"/>
      <c r="F5" s="16"/>
      <c r="G5" s="16"/>
      <c r="H5" s="16"/>
      <c r="I5" s="16"/>
      <c r="J5" s="16"/>
      <c r="K5" s="16"/>
      <c r="L5" s="16"/>
      <c r="M5" s="16"/>
      <c r="N5" s="16"/>
      <c r="O5" s="16"/>
      <c r="P5" s="16"/>
      <c r="Q5" s="16"/>
      <c r="R5" s="16"/>
      <c r="S5" s="16"/>
      <c r="T5" s="16"/>
      <c r="U5" s="16"/>
      <c r="V5" s="16"/>
      <c r="W5" s="16"/>
      <c r="X5" s="16"/>
      <c r="Y5" s="16"/>
      <c r="Z5" s="16"/>
    </row>
    <row r="6" spans="1:26" ht="15.95" customHeight="1">
      <c r="A6" s="16"/>
      <c r="B6" s="185" t="s">
        <v>3785</v>
      </c>
      <c r="C6" s="16"/>
      <c r="D6" s="16"/>
      <c r="E6" s="16"/>
      <c r="F6" s="16"/>
      <c r="G6" s="16"/>
      <c r="H6" s="16"/>
      <c r="I6" s="16"/>
      <c r="J6" s="16"/>
      <c r="K6" s="16"/>
      <c r="L6" s="16"/>
      <c r="M6" s="16"/>
      <c r="N6" s="16"/>
      <c r="O6" s="16"/>
      <c r="P6" s="16"/>
      <c r="Q6" s="16"/>
      <c r="R6" s="16"/>
      <c r="S6" s="16"/>
      <c r="T6" s="16"/>
      <c r="U6" s="16"/>
      <c r="V6" s="16"/>
      <c r="W6" s="16"/>
      <c r="X6" s="16"/>
      <c r="Y6" s="16"/>
      <c r="Z6" s="16"/>
    </row>
    <row r="7" spans="1:26" ht="15.95" customHeight="1">
      <c r="A7" s="16"/>
      <c r="B7" s="185" t="s">
        <v>3786</v>
      </c>
      <c r="C7" s="16"/>
      <c r="D7" s="16"/>
      <c r="E7" s="16"/>
      <c r="F7" s="16"/>
      <c r="G7" s="16"/>
      <c r="H7" s="16"/>
      <c r="I7" s="16"/>
      <c r="J7" s="16"/>
      <c r="K7" s="16"/>
      <c r="L7" s="16"/>
      <c r="M7" s="16"/>
      <c r="N7" s="16"/>
      <c r="O7" s="16"/>
      <c r="P7" s="16"/>
      <c r="Q7" s="16"/>
      <c r="R7" s="16"/>
      <c r="S7" s="16"/>
      <c r="T7" s="16"/>
      <c r="U7" s="16"/>
      <c r="V7" s="16"/>
      <c r="W7" s="16"/>
      <c r="X7" s="16"/>
      <c r="Y7" s="16"/>
      <c r="Z7" s="16"/>
    </row>
    <row r="8" spans="1:26" ht="15.95" customHeight="1">
      <c r="A8" s="16"/>
      <c r="B8" s="185" t="s">
        <v>3787</v>
      </c>
      <c r="C8" s="16"/>
      <c r="D8" s="16"/>
      <c r="E8" s="16"/>
      <c r="F8" s="16"/>
      <c r="G8" s="16"/>
      <c r="H8" s="16"/>
      <c r="I8" s="16"/>
      <c r="J8" s="16"/>
      <c r="K8" s="16"/>
      <c r="L8" s="16"/>
      <c r="M8" s="16"/>
      <c r="N8" s="16"/>
      <c r="O8" s="16"/>
      <c r="P8" s="16"/>
      <c r="Q8" s="16"/>
      <c r="R8" s="16"/>
      <c r="S8" s="16"/>
      <c r="T8" s="16"/>
      <c r="U8" s="16"/>
      <c r="V8" s="16"/>
      <c r="W8" s="16"/>
      <c r="X8" s="16"/>
      <c r="Y8" s="16"/>
      <c r="Z8" s="16"/>
    </row>
    <row r="9" spans="1:26" ht="15.95" customHeight="1">
      <c r="A9" s="16"/>
      <c r="B9" s="16"/>
      <c r="C9" s="185" t="s">
        <v>3788</v>
      </c>
      <c r="D9" s="16"/>
      <c r="E9" s="16"/>
      <c r="F9" s="16"/>
      <c r="G9" s="16"/>
      <c r="H9" s="16"/>
      <c r="I9" s="16"/>
      <c r="J9" s="16"/>
      <c r="K9" s="16"/>
      <c r="L9" s="16"/>
      <c r="M9" s="16"/>
      <c r="N9" s="16"/>
      <c r="O9" s="16"/>
      <c r="P9" s="16"/>
      <c r="Q9" s="16"/>
      <c r="R9" s="16"/>
      <c r="S9" s="16"/>
      <c r="T9" s="16"/>
      <c r="U9" s="16"/>
      <c r="V9" s="16"/>
      <c r="W9" s="16"/>
      <c r="X9" s="16"/>
      <c r="Y9" s="16"/>
      <c r="Z9" s="16"/>
    </row>
    <row r="10" spans="1:26" ht="15.95" customHeight="1">
      <c r="A10" s="16"/>
      <c r="B10" s="185" t="s">
        <v>3789</v>
      </c>
      <c r="C10" s="16"/>
      <c r="D10" s="16"/>
      <c r="E10" s="16"/>
      <c r="F10" s="16"/>
      <c r="G10" s="16"/>
      <c r="H10" s="16"/>
      <c r="I10" s="16"/>
      <c r="J10" s="16"/>
      <c r="K10" s="16"/>
      <c r="L10" s="16"/>
      <c r="M10" s="16"/>
      <c r="N10" s="16"/>
      <c r="O10" s="16"/>
      <c r="P10" s="16"/>
      <c r="Q10" s="16"/>
      <c r="R10" s="16"/>
      <c r="S10" s="16"/>
      <c r="T10" s="16"/>
      <c r="U10" s="16"/>
      <c r="V10" s="16"/>
      <c r="W10" s="16"/>
      <c r="X10" s="16"/>
      <c r="Y10" s="16"/>
      <c r="Z10" s="16"/>
    </row>
    <row r="11" spans="1:26" ht="15.95" customHeight="1">
      <c r="A11" s="16"/>
      <c r="B11" s="185" t="s">
        <v>3790</v>
      </c>
      <c r="C11" s="16"/>
      <c r="D11" s="16"/>
      <c r="E11" s="16"/>
      <c r="F11" s="16"/>
      <c r="G11" s="16"/>
      <c r="H11" s="16"/>
      <c r="I11" s="16"/>
      <c r="J11" s="16"/>
      <c r="K11" s="16"/>
      <c r="L11" s="16"/>
      <c r="M11" s="16"/>
      <c r="N11" s="16"/>
      <c r="O11" s="16"/>
      <c r="P11" s="16"/>
      <c r="Q11" s="16"/>
      <c r="R11" s="16"/>
      <c r="S11" s="16"/>
      <c r="T11" s="16"/>
      <c r="U11" s="16"/>
      <c r="V11" s="16"/>
      <c r="W11" s="16"/>
      <c r="X11" s="16"/>
      <c r="Y11" s="16"/>
      <c r="Z11" s="16"/>
    </row>
    <row r="12" spans="1:26" ht="15.95" customHeight="1">
      <c r="A12" s="16"/>
      <c r="B12" s="185" t="s">
        <v>3791</v>
      </c>
      <c r="C12" s="16"/>
      <c r="D12" s="16"/>
      <c r="E12" s="16"/>
      <c r="F12" s="16"/>
      <c r="G12" s="16"/>
      <c r="H12" s="16"/>
      <c r="I12" s="16"/>
      <c r="J12" s="16"/>
      <c r="K12" s="16"/>
      <c r="L12" s="16"/>
      <c r="M12" s="16"/>
      <c r="N12" s="16"/>
      <c r="O12" s="16"/>
      <c r="P12" s="16"/>
      <c r="Q12" s="16"/>
      <c r="R12" s="16"/>
      <c r="S12" s="16"/>
      <c r="T12" s="16"/>
      <c r="U12" s="16"/>
      <c r="V12" s="16"/>
      <c r="W12" s="16"/>
      <c r="X12" s="16"/>
      <c r="Y12" s="16"/>
      <c r="Z12" s="16"/>
    </row>
    <row r="13" spans="1:26" ht="15.95" customHeight="1">
      <c r="A13" s="16"/>
      <c r="B13" s="185" t="s">
        <v>3792</v>
      </c>
      <c r="C13" s="16"/>
      <c r="D13" s="16"/>
      <c r="E13" s="16"/>
      <c r="F13" s="16"/>
      <c r="G13" s="16"/>
      <c r="H13" s="16"/>
      <c r="I13" s="16"/>
      <c r="J13" s="16"/>
      <c r="K13" s="16"/>
      <c r="L13" s="16"/>
      <c r="M13" s="16"/>
      <c r="N13" s="16"/>
      <c r="O13" s="16"/>
      <c r="P13" s="16"/>
      <c r="Q13" s="16"/>
      <c r="R13" s="16"/>
      <c r="S13" s="16"/>
      <c r="T13" s="16"/>
      <c r="U13" s="16"/>
      <c r="V13" s="16"/>
      <c r="W13" s="16"/>
      <c r="X13" s="16"/>
      <c r="Y13" s="16"/>
      <c r="Z13" s="16"/>
    </row>
    <row r="14" spans="1:26" ht="15.95" customHeight="1">
      <c r="A14" s="191" t="s">
        <v>3793</v>
      </c>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spans="1:26" ht="15.95" customHeight="1">
      <c r="A15" s="172" t="s">
        <v>3794</v>
      </c>
      <c r="B15" s="16"/>
      <c r="C15" s="16"/>
      <c r="D15" s="16"/>
      <c r="E15" s="16"/>
      <c r="F15" s="16"/>
      <c r="G15" s="16"/>
      <c r="H15" s="16"/>
      <c r="I15" s="16"/>
      <c r="J15" s="16"/>
      <c r="K15" s="16"/>
      <c r="L15" s="16"/>
      <c r="M15" s="16"/>
      <c r="N15" s="16"/>
      <c r="O15" s="16"/>
      <c r="P15" s="16"/>
      <c r="Q15" s="16"/>
      <c r="R15" s="16"/>
      <c r="S15" s="16"/>
      <c r="T15" s="16"/>
      <c r="U15" s="16"/>
      <c r="V15" s="16"/>
      <c r="W15" s="16"/>
      <c r="X15" s="16"/>
      <c r="Y15" s="16"/>
      <c r="Z15" s="16"/>
    </row>
    <row r="16" spans="1:26" ht="15.95" customHeight="1">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row>
    <row r="17" spans="1:26" ht="15.95" customHeight="1">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row>
    <row r="18" spans="1:26" ht="15.9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spans="1:26" ht="15.95" customHeight="1">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spans="1:26" ht="15.95" customHeight="1">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row>
    <row r="21" spans="1:26" ht="15.95" customHeight="1">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row>
    <row r="22" spans="1:26" ht="15.95" customHeight="1">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row>
    <row r="23" spans="1:26" ht="12.7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row>
    <row r="24" spans="1:26" ht="12.75">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spans="1:26" ht="12.75">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spans="1:26" ht="12.75">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spans="1:26" ht="12.75">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spans="1:26" ht="12.75">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spans="1:26" ht="12.75">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spans="1:26" ht="12.75">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spans="1:26" ht="12.75">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spans="1:26" ht="12.75">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spans="1:26" ht="12.75">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spans="1:26" ht="12.75">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spans="1:26" ht="12.75">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spans="1:26" ht="12.75">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spans="1:26" ht="12.75">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spans="1:26" ht="12.75">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spans="1:26" ht="12.75">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spans="1:26" ht="12.75">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spans="1:26" ht="12.75">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spans="1:26" ht="12.75">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spans="1:26" ht="12.75">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spans="1:26" ht="12.75">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spans="1:26" ht="12.75">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spans="1:26" ht="12.75">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spans="1:26" ht="12.75">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spans="1:26" ht="12.75">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spans="1:26" ht="12.75">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spans="1:26" ht="12.75">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spans="1:26" ht="12.75">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spans="1:26" ht="12.75">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spans="1:26" ht="12.75">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spans="1:26" ht="12.75">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spans="1:26" ht="12.7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spans="1:26" ht="12.7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spans="1:26" ht="12.75">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spans="1:26" ht="12.75">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spans="1:26" ht="12.75">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spans="1:26" ht="12.75">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spans="1:26" ht="12.75">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spans="1:26" ht="12.75">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spans="1:26" ht="12.75">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spans="1:26" ht="12.75">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spans="1:26" ht="12.7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spans="1:26" ht="12.75">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spans="1:26" ht="12.75">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spans="1:26" ht="12.75">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spans="1:26" ht="12.75">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spans="1:26" ht="12.75">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spans="1:26" ht="12.75">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spans="1:26" ht="12.75">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spans="1:26" ht="12.75">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spans="1:26" ht="12.75">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spans="1:26" ht="12.7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spans="1:26" ht="12.75">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spans="1:26" ht="12.75">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spans="1:26" ht="12.7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spans="1:26" ht="12.75">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spans="1:26" ht="12.7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spans="1:26" ht="12.75">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spans="1:26" ht="12.7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spans="1:26" ht="12.75">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spans="1:26" ht="12.75">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spans="1:26" ht="12.7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spans="1:26" ht="12.75">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spans="1:26" ht="12.75">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spans="1:26" ht="12.7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spans="1:26" ht="12.7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spans="1:26" ht="12.75">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spans="1:26" ht="12.7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spans="1:26" ht="12.75">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spans="1:26" ht="12.75">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spans="1:26" ht="12.75">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spans="1:26" ht="12.7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spans="1:26" ht="12.75">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spans="1:26" ht="12.75">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spans="1:26" ht="12.75">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spans="1:26" ht="12.75">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spans="1:26" ht="12.75">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spans="1:26" ht="12.75">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spans="1:26" ht="12.75">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spans="1:26" ht="12.75">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spans="1:26" ht="12.75">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spans="1:26" ht="12.7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spans="1:26" ht="12.75">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spans="1:26" ht="12.75">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spans="1:26" ht="12.75">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spans="1:26" ht="12.75">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spans="1:26" ht="12.75">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spans="1:26" ht="12.75">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spans="1:26" ht="12.75">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spans="1:26" ht="12.75">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spans="1:26" ht="12.75">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spans="1:26" ht="12.7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spans="1:26" ht="12.75">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spans="1:26" ht="12.75">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spans="1:26" ht="12.75">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spans="1:26" ht="12.75">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spans="1:26" ht="12.75">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spans="1:26" ht="12.75">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spans="1:26" ht="12.75">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spans="1:26" ht="12.75">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spans="1:26" ht="12.75">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spans="1:26" ht="12.7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spans="1:26" ht="12.75">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spans="1:26" ht="12.75">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spans="1:26" ht="12.75">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spans="1:26" ht="12.75">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spans="1:26" ht="12.75">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spans="1:26" ht="12.75">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spans="1:26" ht="12.75">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spans="1:26" ht="12.75">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spans="1:26" ht="12.75">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spans="1:26" ht="12.7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spans="1:26" ht="12.75">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spans="1:26" ht="12.75">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spans="1:26" ht="12.75">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spans="1:26" ht="12.7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spans="1:26" ht="12.75">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spans="1:26" ht="12.7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spans="1:26" ht="12.75">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spans="1:26" ht="12.75">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spans="1:26" ht="12.75">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spans="1:26" ht="12.7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spans="1:26" ht="12.75">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spans="1:26" ht="12.75">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spans="1:26" ht="12.7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spans="1:26" ht="12.75">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spans="1:26" ht="12.75">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spans="1:26" ht="12.75">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spans="1:26" ht="12.75">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spans="1:26" ht="12.75">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spans="1:26" ht="12.75">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spans="1:26" ht="12.7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spans="1:26" ht="12.75">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spans="1:26" ht="12.7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spans="1:26" ht="12.75">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spans="1:26" ht="12.75">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spans="1:26" ht="12.75">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spans="1:26" ht="12.75">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spans="1:26" ht="12.75">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spans="1:26" ht="12.75">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spans="1:26" ht="12.75">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spans="1:26" ht="12.7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spans="1:26" ht="12.75">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spans="1:26" ht="12.7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spans="1:26" ht="12.75">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spans="1:26" ht="12.75">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spans="1:26" ht="12.75">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spans="1:26" ht="12.7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spans="1:26" ht="12.7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spans="1:26" ht="12.7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spans="1:26" ht="12.7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spans="1:26" ht="12.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spans="1:26" ht="12.7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spans="1:26" ht="12.7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spans="1:26" ht="12.7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spans="1:26" ht="12.7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spans="1:26" ht="12.7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spans="1:26" ht="12.7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spans="1:26" ht="12.7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spans="1:26" ht="12.7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spans="1:26" ht="12.7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spans="1:26" ht="12.7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spans="1:26" ht="12.7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spans="1:26" ht="12.7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spans="1:26" ht="12.7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spans="1:26" ht="12.7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spans="1:26" ht="12.7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spans="1:26" ht="12.7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spans="1:26" ht="12.7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spans="1:26" ht="12.7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spans="1:26" ht="12.7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spans="1:26" ht="12.7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spans="1:26" ht="12.7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spans="1:26" ht="12.7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spans="1:26" ht="12.7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spans="1:26" ht="12.7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spans="1:26" ht="12.7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spans="1:26" ht="12.7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spans="1:26" ht="12.7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spans="1:26" ht="12.7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spans="1:26" ht="12.7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spans="1:26" ht="12.7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spans="1:26" ht="12.7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spans="1:26" ht="12.7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spans="1:26" ht="12.7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spans="1:26" ht="12.7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spans="1:26" ht="12.7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spans="1:26" ht="12.7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spans="1:26" ht="12.7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spans="1:26" ht="12.7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spans="1:26" ht="12.7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spans="1:26" ht="12.7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spans="1:26" ht="12.7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spans="1:26" ht="12.7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spans="1:26" ht="12.7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spans="1:26" ht="12.7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spans="1:26" ht="12.7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spans="1:26" ht="12.7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spans="1:26" ht="12.7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spans="1:26" ht="12.7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spans="1:26" ht="12.7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spans="1:26" ht="12.7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spans="1:26" ht="12.7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spans="1:26" ht="12.7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spans="1:26" ht="12.7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spans="1:26" ht="12.7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spans="1:26" ht="12.7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spans="1:26" ht="12.7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spans="1:26" ht="12.7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spans="1:26" ht="12.7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spans="1:26" ht="12.7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spans="1:26" ht="12.7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spans="1:26" ht="12.7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spans="1:26" ht="12.7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spans="1:26" ht="12.7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spans="1:26" ht="12.7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spans="1:26" ht="12.7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spans="1:26" ht="12.7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spans="1:26" ht="12.7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spans="1:26" ht="12.7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spans="1:26" ht="12.7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spans="1:26" ht="12.7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spans="1:26" ht="12.7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spans="1:26" ht="12.7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spans="1:26" ht="12.7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spans="1:26" ht="12.7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spans="1:26" ht="12.7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spans="1:26" ht="12.7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spans="1:26" ht="12.7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spans="1:26" ht="12.7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spans="1:26" ht="12.7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spans="1:26" ht="12.7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spans="1:26" ht="12.7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spans="1:26" ht="12.7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spans="1:26" ht="12.7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ht="12.7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spans="1:26" ht="12.7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spans="1:26" ht="12.7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spans="1:26" ht="12.7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spans="1:26" ht="12.7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spans="1:26" ht="12.7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spans="1:26" ht="12.7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spans="1:26" ht="12.7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spans="1:26" ht="12.7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spans="1:26" ht="12.7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spans="1:26" ht="12.7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spans="1:26" ht="12.7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spans="1:26" ht="12.7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spans="1:26" ht="12.7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spans="1:26" ht="12.7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spans="1:26" ht="12.7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spans="1:26" ht="1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spans="1:26" ht="12.7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spans="1:26" ht="12.7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spans="1:26" ht="12.7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spans="1:26" ht="12.7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spans="1:26" ht="12.7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spans="1:26" ht="12.7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spans="1:26" ht="12.7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spans="1:26" ht="12.7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spans="1:26" ht="12.7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spans="1:26" ht="12.7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spans="1:26" ht="12.7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spans="1:26" ht="12.7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spans="1:26" ht="12.7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spans="1:26" ht="12.7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spans="1:26" ht="12.7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spans="1:26" ht="12.7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spans="1:26" ht="12.7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spans="1:26" ht="12.7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spans="1:26" ht="12.7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spans="1:26" ht="12.7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spans="1:26" ht="12.7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spans="1:26" ht="12.7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spans="1:26" ht="12.7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spans="1:26" ht="12.7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spans="1:26" ht="12.7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spans="1:26" ht="12.7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spans="1:26" ht="12.7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spans="1:26" ht="12.7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spans="1:26" ht="12.7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spans="1:26" ht="12.7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spans="1:26" ht="12.7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spans="1:26" ht="12.7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spans="1:26" ht="12.7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ht="12.7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spans="1:26" ht="12.7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spans="1:26" ht="12.7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spans="1:26" ht="12.7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spans="1:26" ht="12.7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spans="1:26" ht="12.7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spans="1:26" ht="12.7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spans="1:26" ht="12.7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spans="1:26" ht="12.7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spans="1:26" ht="12.7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spans="1:26" ht="12.7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ht="12.7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ht="12.7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ht="12.7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ht="12.7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ht="12.7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ht="12.7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ht="12.7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ht="12.7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ht="12.7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ht="12.7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ht="12.7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ht="12.7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ht="12.7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ht="12.7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ht="12.7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ht="12.7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ht="12.7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ht="12.7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ht="12.7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ht="12.7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ht="12.7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ht="12.7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ht="12.7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ht="12.7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ht="12.7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ht="12.7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ht="12.7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ht="12.7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ht="12.7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ht="12.7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ht="12.7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ht="12.7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ht="12.7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ht="12.7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ht="12.7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ht="12.7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ht="12.7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ht="12.7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ht="12.7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ht="12.7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ht="12.7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ht="12.7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ht="12.7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ht="12.7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ht="12.7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ht="12.7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ht="12.7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ht="12.7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ht="12.7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ht="12.7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ht="12.7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ht="12.7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ht="12.7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ht="12.7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ht="12.7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ht="12.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ht="12.7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ht="12.7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ht="12.7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ht="12.7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ht="12.7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ht="12.7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ht="12.7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ht="12.7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ht="12.7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ht="12.7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ht="12.7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ht="12.7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ht="12.7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ht="12.7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ht="12.7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ht="12.7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ht="12.7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ht="12.7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ht="12.7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ht="12.7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ht="12.7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ht="12.7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ht="12.7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ht="12.7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ht="12.7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ht="12.7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ht="12.7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ht="12.7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ht="12.7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ht="12.7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ht="12.7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ht="12.7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ht="12.7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ht="12.7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ht="12.7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ht="12.7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ht="12.7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ht="12.7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ht="12.7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ht="12.7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ht="12.7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ht="12.7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ht="12.7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ht="12.7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ht="12.7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ht="12.7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ht="12.7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ht="12.7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ht="12.7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ht="12.7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ht="12.7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ht="12.7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ht="12.7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ht="12.7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2.7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2.7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2.7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2.7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2.7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2.7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2.7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2.7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2.7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2.7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2.7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2.7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2.7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2.7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2.7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2.7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2.7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2.7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2.7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2.7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2.7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2.7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2.7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2.7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2.7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2.7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2.7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2.7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2.7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2.7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2.7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2.7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2.7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2.7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2.7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2.7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2.7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2.7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2.7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12.7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ht="12.7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ht="12.7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ht="12.7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ht="12.7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ht="12.7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ht="12.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ht="12.7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ht="12.7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ht="12.7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ht="12.7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ht="12.7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ht="12.7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ht="12.7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ht="12.7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ht="12.7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ht="12.7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ht="12.7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ht="12.7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ht="12.7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ht="12.7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ht="12.7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ht="12.7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ht="12.7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ht="12.7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ht="12.7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ht="12.7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ht="12.7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ht="12.7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ht="12.7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ht="12.7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ht="12.7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ht="12.7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ht="12.7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ht="12.7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ht="12.7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ht="12.7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ht="12.7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ht="12.7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ht="12.7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ht="12.7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ht="12.7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ht="12.7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ht="12.7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ht="12.7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ht="12.7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ht="12.7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ht="12.7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ht="12.7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ht="12.7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ht="12.7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ht="12.7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ht="12.7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ht="12.7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ht="12.7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ht="12.7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ht="12.7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ht="12.7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ht="12.7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ht="12.7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ht="12.7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ht="12.7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ht="12.7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ht="12.7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ht="12.7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ht="12.7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ht="12.7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ht="12.7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ht="12.7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ht="12.7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ht="12.7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ht="12.7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ht="12.7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ht="12.7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ht="12.7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ht="12.7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ht="12.7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ht="12.7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ht="12.7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ht="12.7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ht="12.7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ht="12.7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ht="12.7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ht="12.7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ht="12.7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ht="12.7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ht="12.7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ht="12.7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ht="12.7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ht="12.7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ht="12.7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ht="12.7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ht="12.7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ht="12.7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ht="12.7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ht="12.7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ht="12.7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ht="12.7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ht="12.7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ht="12.7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ht="12.7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ht="12.7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ht="12.7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ht="12.7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ht="12.7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ht="12.7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ht="12.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ht="12.7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ht="12.7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ht="12.7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ht="12.7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ht="12.7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ht="12.7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ht="12.7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ht="12.7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ht="12.7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ht="12.7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ht="12.7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ht="12.7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ht="12.7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ht="12.7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ht="12.7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ht="12.7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ht="12.7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ht="12.7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ht="12.7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ht="12.7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ht="12.7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ht="12.7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ht="12.7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ht="12.7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ht="12.7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ht="12.7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ht="12.7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ht="12.7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ht="12.7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ht="12.7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ht="12.7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ht="12.7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ht="12.7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ht="12.7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ht="12.7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ht="12.7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ht="12.7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ht="12.7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ht="12.7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ht="12.7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ht="12.7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ht="12.7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ht="12.7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ht="12.7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ht="12.7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ht="12.7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ht="12.7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ht="12.7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ht="12.7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ht="12.7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ht="12.7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ht="12.7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ht="12.7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ht="12.7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ht="12.7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ht="12.7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ht="12.7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ht="12.7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ht="12.7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ht="12.7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ht="12.7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ht="12.7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ht="12.7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ht="12.7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ht="12.7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ht="12.7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ht="12.7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ht="12.7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ht="12.7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ht="12.7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ht="12.7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ht="12.7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ht="12.7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ht="12.7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ht="12.7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ht="12.7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ht="12.7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ht="12.7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ht="12.7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ht="12.7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ht="12.7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ht="12.7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ht="12.7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ht="12.7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ht="12.7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ht="12.7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ht="12.7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ht="12.7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ht="12.7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ht="12.7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ht="12.7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ht="12.7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ht="12.7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ht="12.7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ht="12.7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ht="12.7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ht="12.7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ht="12.7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ht="12.7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ht="12.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ht="12.7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ht="12.7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ht="12.7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ht="12.7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ht="12.7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ht="12.7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ht="12.7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ht="12.7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ht="12.7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ht="12.7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ht="12.7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ht="12.7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ht="12.7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ht="12.7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ht="12.7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ht="12.7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ht="12.7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ht="12.7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ht="12.7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ht="12.7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ht="12.7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ht="12.7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ht="12.7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ht="12.7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ht="12.7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ht="12.7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ht="12.7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ht="12.7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ht="12.7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ht="12.7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ht="12.7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ht="12.7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ht="12.7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ht="12.7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ht="12.7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ht="12.7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ht="12.7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ht="12.7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ht="12.7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ht="12.7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ht="12.7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ht="12.7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ht="12.7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ht="12.7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ht="12.7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ht="12.7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ht="12.7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ht="12.7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ht="12.7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ht="12.7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ht="12.7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ht="12.7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ht="12.7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ht="12.7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ht="12.7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ht="12.7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ht="12.7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ht="12.7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ht="12.7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ht="12.7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ht="12.7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ht="12.7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ht="12.7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ht="12.7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ht="12.7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ht="12.7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ht="12.7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ht="12.7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ht="12.7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ht="12.7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ht="12.7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ht="12.7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ht="12.7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ht="12.7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ht="12.7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ht="12.7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ht="12.7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ht="12.7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ht="12.7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ht="12.7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ht="12.7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ht="12.7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ht="12.7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ht="12.7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ht="12.7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ht="12.7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ht="12.7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ht="12.7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ht="12.7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ht="12.7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ht="12.7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ht="12.7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ht="12.7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ht="12.7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ht="12.7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ht="12.7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ht="12.7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ht="12.7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ht="12.7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ht="12.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ht="12.7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ht="12.7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ht="12.7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ht="12.7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ht="12.7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ht="12.7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ht="12.7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ht="12.7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ht="12.7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ht="12.7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ht="12.7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ht="12.7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ht="12.7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ht="12.7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ht="12.7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ht="12.7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ht="12.7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ht="12.7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ht="12.7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ht="12.7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ht="12.7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ht="12.7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ht="12.7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ht="12.7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ht="12.7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ht="12.7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ht="12.7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ht="12.7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ht="12.7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ht="12.7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ht="12.7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ht="12.7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ht="12.7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ht="12.7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ht="12.7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ht="12.7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ht="12.7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ht="12.7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ht="12.7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ht="12.7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ht="12.7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ht="12.7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ht="12.7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ht="12.7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ht="12.7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ht="12.7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ht="12.7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ht="12.7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ht="12.7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ht="12.7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ht="12.7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ht="12.7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ht="12.7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ht="12.7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ht="12.7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ht="12.7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ht="12.7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ht="12.7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ht="12.7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ht="12.7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ht="12.7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ht="12.7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ht="12.7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ht="12.7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ht="12.7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ht="12.7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ht="12.7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ht="12.7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ht="12.7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ht="12.7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ht="12.7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ht="12.7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ht="12.7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ht="12.7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ht="12.7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ht="12.7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ht="12.7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ht="12.7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ht="12.7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ht="12.7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ht="12.7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ht="12.7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ht="12.7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ht="12.7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ht="12.7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ht="12.7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ht="12.7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ht="12.7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ht="12.7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ht="12.7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ht="12.7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ht="12.7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ht="12.7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ht="12.7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ht="12.7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ht="12.7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ht="12.7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ht="12.7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ht="12.7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ht="12.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ht="12.7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ht="12.7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ht="12.7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ht="12.7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ht="12.7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ht="12.7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ht="12.7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ht="12.7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ht="12.7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ht="12.7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ht="12.7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ht="12.7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ht="12.7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ht="12.7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ht="12.7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ht="12.7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ht="12.7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ht="12.7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ht="12.7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ht="12.7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ht="12.7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ht="12.7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ht="12.7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ht="12.7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ht="12.7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ht="12.7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ht="12.7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ht="12.7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ht="12.7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ht="12.7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ht="12.7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ht="12.7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ht="12.7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ht="12.7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ht="12.7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ht="12.7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ht="12.7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ht="12.7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ht="12.7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ht="12.7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ht="12.7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ht="12.7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ht="12.7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ht="12.7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ht="12.7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ht="12.7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ht="12.7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ht="12.7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ht="12.7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ht="12.7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ht="12.7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ht="12.7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ht="12.7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ht="12.7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ht="12.7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ht="12.7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ht="12.7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ht="12.7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ht="12.7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ht="12.7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ht="12.7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ht="12.7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ht="12.7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ht="12.7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ht="12.7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ht="12.7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ht="12.7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ht="12.7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ht="12.7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ht="12.7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ht="12.7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ht="12.7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ht="12.7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ht="12.7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ht="12.7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ht="12.7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ht="12.7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ht="12.7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ht="12.7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ht="12.7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ht="12.7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ht="12.7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ht="12.7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ht="12.7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ht="12.7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ht="12.7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ht="12.7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ht="12.7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ht="12.7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ht="12.7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ht="12.7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ht="12.7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ht="12.7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ht="12.7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ht="12.7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ht="12.7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ht="12.7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ht="12.7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ht="12.7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ht="12.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ht="12.7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ht="12.7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ht="12.7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ht="12.7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ht="12.7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ht="12.7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ht="12.7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ht="12.7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ht="12.7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ht="12.7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ht="12.7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ht="12.7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ht="12.7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spans="1:26" ht="12.7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spans="1:26" ht="12.7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spans="1:26" ht="12.7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spans="1:26" ht="12.7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spans="1:26" ht="12.7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spans="1:26" ht="12.7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spans="1:26" ht="12.7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spans="1:26" ht="12.7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spans="1:26" ht="12.7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spans="1:26" ht="12.7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spans="1:26" ht="12.7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spans="1:26" ht="12.7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1017"/>
  <sheetViews>
    <sheetView workbookViewId="0"/>
  </sheetViews>
  <sheetFormatPr defaultColWidth="12.7109375" defaultRowHeight="15.95" customHeight="1"/>
  <sheetData>
    <row r="1" spans="1:26">
      <c r="A1" s="212" t="s">
        <v>3795</v>
      </c>
      <c r="B1" s="213"/>
      <c r="C1" s="213"/>
      <c r="D1" s="213"/>
      <c r="E1" s="213"/>
      <c r="F1" s="213"/>
      <c r="G1" s="213"/>
      <c r="H1" s="213"/>
      <c r="I1" s="213"/>
      <c r="J1" s="213"/>
      <c r="K1" s="213"/>
      <c r="L1" s="213"/>
      <c r="M1" s="213"/>
      <c r="N1" s="213"/>
      <c r="O1" s="213"/>
      <c r="P1" s="213"/>
      <c r="Q1" s="213"/>
      <c r="R1" s="213"/>
      <c r="S1" s="213"/>
      <c r="T1" s="213"/>
      <c r="U1" s="213"/>
      <c r="V1" s="213"/>
      <c r="W1" s="213"/>
      <c r="X1" s="213"/>
      <c r="Y1" s="213"/>
      <c r="Z1" s="213"/>
    </row>
    <row r="2" spans="1:26">
      <c r="A2" s="214"/>
      <c r="B2" s="213"/>
      <c r="C2" s="213"/>
      <c r="D2" s="213"/>
      <c r="E2" s="213"/>
      <c r="F2" s="213"/>
      <c r="G2" s="213"/>
      <c r="H2" s="213"/>
      <c r="I2" s="213"/>
      <c r="J2" s="213"/>
      <c r="K2" s="213"/>
      <c r="L2" s="213"/>
      <c r="M2" s="213"/>
      <c r="N2" s="213"/>
      <c r="O2" s="213"/>
      <c r="P2" s="213"/>
      <c r="Q2" s="213"/>
      <c r="R2" s="213"/>
      <c r="S2" s="213"/>
      <c r="T2" s="213"/>
      <c r="U2" s="213"/>
      <c r="V2" s="213"/>
      <c r="W2" s="213"/>
      <c r="X2" s="213"/>
      <c r="Y2" s="213"/>
      <c r="Z2" s="213"/>
    </row>
    <row r="3" spans="1:26">
      <c r="A3" s="212" t="s">
        <v>3796</v>
      </c>
      <c r="B3" s="213"/>
      <c r="C3" s="213"/>
      <c r="D3" s="213"/>
      <c r="E3" s="213"/>
      <c r="F3" s="213"/>
      <c r="G3" s="213"/>
      <c r="H3" s="213"/>
      <c r="I3" s="213"/>
      <c r="J3" s="213"/>
      <c r="K3" s="213"/>
      <c r="L3" s="213"/>
      <c r="M3" s="213"/>
      <c r="N3" s="213"/>
      <c r="O3" s="213"/>
      <c r="P3" s="213"/>
      <c r="Q3" s="213"/>
      <c r="R3" s="213"/>
      <c r="S3" s="213"/>
      <c r="T3" s="213"/>
      <c r="U3" s="213"/>
      <c r="V3" s="213"/>
      <c r="W3" s="213"/>
      <c r="X3" s="213"/>
      <c r="Y3" s="213"/>
      <c r="Z3" s="213"/>
    </row>
    <row r="4" spans="1:26">
      <c r="A4" s="214"/>
      <c r="B4" s="213"/>
      <c r="C4" s="213"/>
      <c r="D4" s="213"/>
      <c r="E4" s="213"/>
      <c r="F4" s="213"/>
      <c r="G4" s="213"/>
      <c r="H4" s="213"/>
      <c r="I4" s="213"/>
      <c r="J4" s="213"/>
      <c r="K4" s="213"/>
      <c r="L4" s="213"/>
      <c r="M4" s="213"/>
      <c r="N4" s="213"/>
      <c r="O4" s="213"/>
      <c r="P4" s="213"/>
      <c r="Q4" s="213"/>
      <c r="R4" s="213"/>
      <c r="S4" s="213"/>
      <c r="T4" s="213"/>
      <c r="U4" s="213"/>
      <c r="V4" s="213"/>
      <c r="W4" s="213"/>
      <c r="X4" s="213"/>
      <c r="Y4" s="213"/>
      <c r="Z4" s="213"/>
    </row>
    <row r="5" spans="1:26" ht="15.95" customHeight="1">
      <c r="A5" s="215" t="s">
        <v>3797</v>
      </c>
      <c r="B5" s="216"/>
      <c r="C5" s="216"/>
      <c r="D5" s="216"/>
      <c r="E5" s="216"/>
      <c r="F5" s="216"/>
      <c r="G5" s="216"/>
      <c r="H5" s="216"/>
      <c r="I5" s="216"/>
      <c r="J5" s="216"/>
      <c r="K5" s="216"/>
      <c r="L5" s="216"/>
      <c r="M5" s="216"/>
      <c r="N5" s="216"/>
      <c r="O5" s="216"/>
      <c r="P5" s="216"/>
      <c r="Q5" s="216"/>
      <c r="R5" s="216"/>
      <c r="S5" s="216"/>
      <c r="T5" s="216"/>
      <c r="U5" s="216"/>
      <c r="V5" s="216"/>
      <c r="W5" s="216"/>
      <c r="X5" s="216"/>
      <c r="Y5" s="216"/>
      <c r="Z5" s="216"/>
    </row>
    <row r="6" spans="1:26">
      <c r="A6" s="213"/>
      <c r="B6" s="212" t="s">
        <v>3798</v>
      </c>
      <c r="C6" s="213"/>
      <c r="D6" s="213"/>
      <c r="E6" s="213"/>
      <c r="F6" s="213"/>
      <c r="G6" s="213"/>
      <c r="H6" s="213"/>
      <c r="I6" s="213"/>
      <c r="J6" s="213"/>
      <c r="K6" s="213"/>
      <c r="L6" s="213"/>
      <c r="M6" s="213"/>
      <c r="N6" s="213"/>
      <c r="O6" s="213"/>
      <c r="P6" s="213"/>
      <c r="Q6" s="213"/>
      <c r="R6" s="213"/>
      <c r="S6" s="213"/>
      <c r="T6" s="213"/>
      <c r="U6" s="213"/>
      <c r="V6" s="213"/>
      <c r="W6" s="213"/>
      <c r="X6" s="213"/>
      <c r="Y6" s="213"/>
      <c r="Z6" s="213"/>
    </row>
    <row r="7" spans="1:26">
      <c r="A7" s="213"/>
      <c r="B7" s="212" t="s">
        <v>3799</v>
      </c>
      <c r="C7" s="213"/>
      <c r="D7" s="213"/>
      <c r="E7" s="213"/>
      <c r="F7" s="213"/>
      <c r="G7" s="213"/>
      <c r="H7" s="213"/>
      <c r="I7" s="213"/>
      <c r="J7" s="213"/>
      <c r="K7" s="213"/>
      <c r="L7" s="213"/>
      <c r="M7" s="213"/>
      <c r="N7" s="213"/>
      <c r="O7" s="213"/>
      <c r="P7" s="213"/>
      <c r="Q7" s="213"/>
      <c r="R7" s="213"/>
      <c r="S7" s="213"/>
      <c r="T7" s="213"/>
      <c r="U7" s="213"/>
      <c r="V7" s="213"/>
      <c r="W7" s="213"/>
      <c r="X7" s="213"/>
      <c r="Y7" s="213"/>
      <c r="Z7" s="213"/>
    </row>
    <row r="8" spans="1:26">
      <c r="A8" s="214"/>
      <c r="B8" s="217" t="s">
        <v>3800</v>
      </c>
      <c r="C8" s="213"/>
      <c r="D8" s="213"/>
      <c r="E8" s="213"/>
      <c r="F8" s="213"/>
      <c r="G8" s="213"/>
      <c r="H8" s="213"/>
      <c r="I8" s="213"/>
      <c r="J8" s="213"/>
      <c r="K8" s="213"/>
      <c r="L8" s="213"/>
      <c r="M8" s="213"/>
      <c r="N8" s="213"/>
      <c r="O8" s="213"/>
      <c r="P8" s="213"/>
      <c r="Q8" s="213"/>
      <c r="R8" s="213"/>
      <c r="S8" s="213"/>
      <c r="T8" s="213"/>
      <c r="U8" s="213"/>
      <c r="V8" s="213"/>
      <c r="W8" s="213"/>
      <c r="X8" s="213"/>
      <c r="Y8" s="213"/>
      <c r="Z8" s="213"/>
    </row>
    <row r="9" spans="1:26">
      <c r="A9" s="214"/>
      <c r="B9" s="217" t="s">
        <v>3801</v>
      </c>
      <c r="C9" s="213"/>
      <c r="D9" s="213"/>
      <c r="E9" s="213"/>
      <c r="F9" s="213"/>
      <c r="G9" s="213"/>
      <c r="H9" s="213"/>
      <c r="I9" s="213"/>
      <c r="J9" s="213"/>
      <c r="K9" s="213"/>
      <c r="L9" s="213"/>
      <c r="M9" s="213"/>
      <c r="N9" s="213"/>
      <c r="O9" s="213"/>
      <c r="P9" s="213"/>
      <c r="Q9" s="213"/>
      <c r="R9" s="213"/>
      <c r="S9" s="213"/>
      <c r="T9" s="213"/>
      <c r="U9" s="213"/>
      <c r="V9" s="213"/>
      <c r="W9" s="213"/>
      <c r="X9" s="213"/>
      <c r="Y9" s="213"/>
      <c r="Z9" s="213"/>
    </row>
    <row r="10" spans="1:26">
      <c r="A10" s="214"/>
      <c r="B10" s="217" t="s">
        <v>3802</v>
      </c>
      <c r="C10" s="213"/>
      <c r="D10" s="213"/>
      <c r="E10" s="213"/>
      <c r="F10" s="213"/>
      <c r="G10" s="213"/>
      <c r="H10" s="213"/>
      <c r="I10" s="213"/>
      <c r="J10" s="213"/>
      <c r="K10" s="213"/>
      <c r="L10" s="213"/>
      <c r="M10" s="213"/>
      <c r="N10" s="213"/>
      <c r="O10" s="213"/>
      <c r="P10" s="213"/>
      <c r="Q10" s="213"/>
      <c r="R10" s="213"/>
      <c r="S10" s="213"/>
      <c r="T10" s="213"/>
      <c r="U10" s="213"/>
      <c r="V10" s="213"/>
      <c r="W10" s="213"/>
      <c r="X10" s="213"/>
      <c r="Y10" s="213"/>
      <c r="Z10" s="213"/>
    </row>
    <row r="11" spans="1:26">
      <c r="A11" s="214"/>
      <c r="B11" s="217" t="s">
        <v>3803</v>
      </c>
      <c r="C11" s="213"/>
      <c r="D11" s="213"/>
      <c r="E11" s="213"/>
      <c r="F11" s="213"/>
      <c r="G11" s="213"/>
      <c r="H11" s="213"/>
      <c r="I11" s="213"/>
      <c r="J11" s="213"/>
      <c r="K11" s="213"/>
      <c r="L11" s="213"/>
      <c r="M11" s="213"/>
      <c r="N11" s="213"/>
      <c r="O11" s="213"/>
      <c r="P11" s="213"/>
      <c r="Q11" s="213"/>
      <c r="R11" s="213"/>
      <c r="S11" s="213"/>
      <c r="T11" s="213"/>
      <c r="U11" s="213"/>
      <c r="V11" s="213"/>
      <c r="W11" s="213"/>
      <c r="X11" s="213"/>
      <c r="Y11" s="213"/>
      <c r="Z11" s="213"/>
    </row>
    <row r="12" spans="1:26">
      <c r="A12" s="214"/>
      <c r="B12" s="217" t="s">
        <v>3804</v>
      </c>
      <c r="C12" s="213"/>
      <c r="D12" s="213"/>
      <c r="E12" s="213"/>
      <c r="F12" s="213"/>
      <c r="G12" s="213"/>
      <c r="H12" s="213"/>
      <c r="I12" s="213"/>
      <c r="J12" s="213"/>
      <c r="K12" s="213"/>
      <c r="L12" s="213"/>
      <c r="M12" s="213"/>
      <c r="N12" s="213"/>
      <c r="O12" s="213"/>
      <c r="P12" s="213"/>
      <c r="Q12" s="213"/>
      <c r="R12" s="213"/>
      <c r="S12" s="213"/>
      <c r="T12" s="213"/>
      <c r="U12" s="213"/>
      <c r="V12" s="213"/>
      <c r="W12" s="213"/>
      <c r="X12" s="213"/>
      <c r="Y12" s="213"/>
      <c r="Z12" s="213"/>
    </row>
    <row r="13" spans="1:26">
      <c r="A13" s="214"/>
      <c r="B13" s="217" t="s">
        <v>3805</v>
      </c>
      <c r="C13" s="213"/>
      <c r="D13" s="213"/>
      <c r="E13" s="213"/>
      <c r="F13" s="213"/>
      <c r="G13" s="213"/>
      <c r="H13" s="213"/>
      <c r="I13" s="213"/>
      <c r="J13" s="213"/>
      <c r="K13" s="213"/>
      <c r="L13" s="213"/>
      <c r="M13" s="213"/>
      <c r="N13" s="213"/>
      <c r="O13" s="213"/>
      <c r="P13" s="213"/>
      <c r="Q13" s="213"/>
      <c r="R13" s="213"/>
      <c r="S13" s="213"/>
      <c r="T13" s="213"/>
      <c r="U13" s="213"/>
      <c r="V13" s="213"/>
      <c r="W13" s="213"/>
      <c r="X13" s="213"/>
      <c r="Y13" s="213"/>
      <c r="Z13" s="213"/>
    </row>
    <row r="14" spans="1:26">
      <c r="A14" s="214"/>
      <c r="B14" s="218" t="s">
        <v>3806</v>
      </c>
      <c r="C14" s="213"/>
      <c r="D14" s="213"/>
      <c r="E14" s="213"/>
      <c r="F14" s="213"/>
      <c r="G14" s="213"/>
      <c r="H14" s="213"/>
      <c r="I14" s="213"/>
      <c r="J14" s="213"/>
      <c r="K14" s="213"/>
      <c r="L14" s="213"/>
      <c r="M14" s="213"/>
      <c r="N14" s="213"/>
      <c r="O14" s="213"/>
      <c r="P14" s="213"/>
      <c r="Q14" s="213"/>
      <c r="R14" s="213"/>
      <c r="S14" s="213"/>
      <c r="T14" s="213"/>
      <c r="U14" s="213"/>
      <c r="V14" s="213"/>
      <c r="W14" s="213"/>
      <c r="X14" s="213"/>
      <c r="Y14" s="213"/>
      <c r="Z14" s="213"/>
    </row>
    <row r="15" spans="1:26">
      <c r="A15" s="214"/>
      <c r="B15" s="218" t="s">
        <v>3807</v>
      </c>
      <c r="C15" s="213"/>
      <c r="D15" s="213"/>
      <c r="E15" s="213"/>
      <c r="F15" s="213"/>
      <c r="G15" s="213"/>
      <c r="H15" s="213"/>
      <c r="I15" s="213"/>
      <c r="J15" s="213"/>
      <c r="K15" s="213"/>
      <c r="L15" s="213"/>
      <c r="M15" s="213"/>
      <c r="N15" s="213"/>
      <c r="O15" s="213"/>
      <c r="P15" s="213"/>
      <c r="Q15" s="213"/>
      <c r="R15" s="213"/>
      <c r="S15" s="213"/>
      <c r="T15" s="213"/>
      <c r="U15" s="213"/>
      <c r="V15" s="213"/>
      <c r="W15" s="213"/>
      <c r="X15" s="213"/>
      <c r="Y15" s="213"/>
      <c r="Z15" s="213"/>
    </row>
    <row r="16" spans="1:26">
      <c r="A16" s="214"/>
      <c r="B16" s="218" t="s">
        <v>3808</v>
      </c>
      <c r="C16" s="213"/>
      <c r="D16" s="213"/>
      <c r="E16" s="213"/>
      <c r="F16" s="213"/>
      <c r="G16" s="213"/>
      <c r="H16" s="213"/>
      <c r="I16" s="213"/>
      <c r="J16" s="213"/>
      <c r="K16" s="213"/>
      <c r="L16" s="213"/>
      <c r="M16" s="213"/>
      <c r="N16" s="213"/>
      <c r="O16" s="213"/>
      <c r="P16" s="213"/>
      <c r="Q16" s="213"/>
      <c r="R16" s="213"/>
      <c r="S16" s="213"/>
      <c r="T16" s="213"/>
      <c r="U16" s="213"/>
      <c r="V16" s="213"/>
      <c r="W16" s="213"/>
      <c r="X16" s="213"/>
      <c r="Y16" s="213"/>
      <c r="Z16" s="213"/>
    </row>
    <row r="17" spans="1:26">
      <c r="A17" s="214"/>
      <c r="B17" s="217" t="s">
        <v>3809</v>
      </c>
      <c r="C17" s="213"/>
      <c r="D17" s="213"/>
      <c r="E17" s="213"/>
      <c r="F17" s="213"/>
      <c r="G17" s="213"/>
      <c r="H17" s="213"/>
      <c r="I17" s="213"/>
      <c r="J17" s="213"/>
      <c r="K17" s="213"/>
      <c r="L17" s="213"/>
      <c r="M17" s="213"/>
      <c r="N17" s="213"/>
      <c r="O17" s="213"/>
      <c r="P17" s="213"/>
      <c r="Q17" s="213"/>
      <c r="R17" s="213"/>
      <c r="S17" s="213"/>
      <c r="T17" s="213"/>
      <c r="U17" s="213"/>
      <c r="V17" s="213"/>
      <c r="W17" s="213"/>
      <c r="X17" s="213"/>
      <c r="Y17" s="213"/>
      <c r="Z17" s="213"/>
    </row>
    <row r="18" spans="1:26">
      <c r="A18" s="214"/>
      <c r="B18" s="217" t="s">
        <v>3810</v>
      </c>
      <c r="C18" s="213"/>
      <c r="D18" s="213"/>
      <c r="E18" s="213"/>
      <c r="F18" s="213"/>
      <c r="G18" s="213"/>
      <c r="H18" s="213"/>
      <c r="I18" s="213"/>
      <c r="J18" s="213"/>
      <c r="K18" s="213"/>
      <c r="L18" s="213"/>
      <c r="M18" s="213"/>
      <c r="N18" s="213"/>
      <c r="O18" s="213"/>
      <c r="P18" s="213"/>
      <c r="Q18" s="213"/>
      <c r="R18" s="213"/>
      <c r="S18" s="213"/>
      <c r="T18" s="213"/>
      <c r="U18" s="213"/>
      <c r="V18" s="213"/>
      <c r="W18" s="213"/>
      <c r="X18" s="213"/>
      <c r="Y18" s="213"/>
      <c r="Z18" s="213"/>
    </row>
    <row r="19" spans="1:26">
      <c r="A19" s="214"/>
      <c r="B19" s="213"/>
      <c r="C19" s="213"/>
      <c r="D19" s="213"/>
      <c r="E19" s="213"/>
      <c r="F19" s="213"/>
      <c r="G19" s="213"/>
      <c r="H19" s="213"/>
      <c r="I19" s="213"/>
      <c r="J19" s="213"/>
      <c r="K19" s="213"/>
      <c r="L19" s="213"/>
      <c r="M19" s="213"/>
      <c r="N19" s="213"/>
      <c r="O19" s="213"/>
      <c r="P19" s="213"/>
      <c r="Q19" s="213"/>
      <c r="R19" s="213"/>
      <c r="S19" s="213"/>
      <c r="T19" s="213"/>
      <c r="U19" s="213"/>
      <c r="V19" s="213"/>
      <c r="W19" s="213"/>
      <c r="X19" s="213"/>
      <c r="Y19" s="213"/>
      <c r="Z19" s="213"/>
    </row>
    <row r="20" spans="1:26" ht="15.95" customHeight="1">
      <c r="A20" s="215" t="s">
        <v>3811</v>
      </c>
      <c r="B20" s="216"/>
      <c r="C20" s="216"/>
      <c r="D20" s="216"/>
      <c r="E20" s="216"/>
      <c r="F20" s="216"/>
      <c r="G20" s="216"/>
      <c r="H20" s="216"/>
      <c r="I20" s="216"/>
      <c r="J20" s="216"/>
      <c r="K20" s="216"/>
      <c r="L20" s="216"/>
      <c r="M20" s="216"/>
      <c r="N20" s="216"/>
      <c r="O20" s="216"/>
      <c r="P20" s="216"/>
      <c r="Q20" s="216"/>
      <c r="R20" s="216"/>
      <c r="S20" s="216"/>
      <c r="T20" s="216"/>
      <c r="U20" s="216"/>
      <c r="V20" s="216"/>
      <c r="W20" s="216"/>
      <c r="X20" s="216"/>
      <c r="Y20" s="216"/>
      <c r="Z20" s="216"/>
    </row>
    <row r="21" spans="1:26">
      <c r="A21" s="213"/>
      <c r="B21" s="212" t="s">
        <v>3812</v>
      </c>
      <c r="C21" s="213"/>
      <c r="D21" s="213"/>
      <c r="E21" s="213"/>
      <c r="F21" s="213"/>
      <c r="G21" s="213"/>
      <c r="H21" s="213"/>
      <c r="I21" s="213"/>
      <c r="J21" s="213"/>
      <c r="K21" s="213"/>
      <c r="L21" s="213"/>
      <c r="M21" s="213"/>
      <c r="N21" s="213"/>
      <c r="O21" s="213"/>
      <c r="P21" s="213"/>
      <c r="Q21" s="213"/>
      <c r="R21" s="213"/>
      <c r="S21" s="213"/>
      <c r="T21" s="213"/>
      <c r="U21" s="213"/>
      <c r="V21" s="213"/>
      <c r="W21" s="213"/>
      <c r="X21" s="213"/>
      <c r="Y21" s="213"/>
      <c r="Z21" s="213"/>
    </row>
    <row r="22" spans="1:26">
      <c r="A22" s="213"/>
      <c r="B22" s="212" t="s">
        <v>3813</v>
      </c>
      <c r="C22" s="213"/>
      <c r="D22" s="213"/>
      <c r="E22" s="213"/>
      <c r="F22" s="213"/>
      <c r="G22" s="213"/>
      <c r="H22" s="213"/>
      <c r="I22" s="213"/>
      <c r="J22" s="213"/>
      <c r="K22" s="213"/>
      <c r="L22" s="213"/>
      <c r="M22" s="213"/>
      <c r="N22" s="213"/>
      <c r="O22" s="213"/>
      <c r="P22" s="213"/>
      <c r="Q22" s="213"/>
      <c r="R22" s="213"/>
      <c r="S22" s="213"/>
      <c r="T22" s="213"/>
      <c r="U22" s="213"/>
      <c r="V22" s="213"/>
      <c r="W22" s="213"/>
      <c r="X22" s="213"/>
      <c r="Y22" s="213"/>
      <c r="Z22" s="213"/>
    </row>
    <row r="23" spans="1:26">
      <c r="A23" s="213"/>
      <c r="B23" s="212" t="s">
        <v>3814</v>
      </c>
      <c r="C23" s="213"/>
      <c r="D23" s="213"/>
      <c r="E23" s="213"/>
      <c r="F23" s="213"/>
      <c r="G23" s="213"/>
      <c r="H23" s="213"/>
      <c r="I23" s="213"/>
      <c r="J23" s="213"/>
      <c r="K23" s="213"/>
      <c r="L23" s="213"/>
      <c r="M23" s="213"/>
      <c r="N23" s="213"/>
      <c r="O23" s="213"/>
      <c r="P23" s="213"/>
      <c r="Q23" s="213"/>
      <c r="R23" s="213"/>
      <c r="S23" s="213"/>
      <c r="T23" s="213"/>
      <c r="U23" s="213"/>
      <c r="V23" s="213"/>
      <c r="W23" s="213"/>
      <c r="X23" s="213"/>
      <c r="Y23" s="213"/>
      <c r="Z23" s="213"/>
    </row>
    <row r="24" spans="1:26">
      <c r="A24" s="213"/>
      <c r="B24" s="212" t="s">
        <v>3815</v>
      </c>
      <c r="C24" s="213"/>
      <c r="D24" s="213"/>
      <c r="E24" s="213"/>
      <c r="F24" s="213"/>
      <c r="G24" s="213"/>
      <c r="H24" s="213"/>
      <c r="I24" s="213"/>
      <c r="J24" s="213"/>
      <c r="K24" s="213"/>
      <c r="L24" s="213"/>
      <c r="M24" s="213"/>
      <c r="N24" s="213"/>
      <c r="O24" s="213"/>
      <c r="P24" s="213"/>
      <c r="Q24" s="213"/>
      <c r="R24" s="213"/>
      <c r="S24" s="213"/>
      <c r="T24" s="213"/>
      <c r="U24" s="213"/>
      <c r="V24" s="213"/>
      <c r="W24" s="213"/>
      <c r="X24" s="213"/>
      <c r="Y24" s="213"/>
      <c r="Z24" s="213"/>
    </row>
    <row r="25" spans="1:26">
      <c r="A25" s="213"/>
      <c r="B25" s="212" t="s">
        <v>3816</v>
      </c>
      <c r="C25" s="213"/>
      <c r="D25" s="213"/>
      <c r="E25" s="213"/>
      <c r="F25" s="213"/>
      <c r="G25" s="213"/>
      <c r="H25" s="213"/>
      <c r="I25" s="213"/>
      <c r="J25" s="213"/>
      <c r="K25" s="213"/>
      <c r="L25" s="213"/>
      <c r="M25" s="213"/>
      <c r="N25" s="213"/>
      <c r="O25" s="213"/>
      <c r="P25" s="213"/>
      <c r="Q25" s="213"/>
      <c r="R25" s="213"/>
      <c r="S25" s="213"/>
      <c r="T25" s="213"/>
      <c r="U25" s="213"/>
      <c r="V25" s="213"/>
      <c r="W25" s="213"/>
      <c r="X25" s="213"/>
      <c r="Y25" s="213"/>
      <c r="Z25" s="213"/>
    </row>
    <row r="26" spans="1:26">
      <c r="A26" s="213"/>
      <c r="B26" s="212" t="s">
        <v>3817</v>
      </c>
      <c r="C26" s="213"/>
      <c r="D26" s="213"/>
      <c r="E26" s="213"/>
      <c r="F26" s="213"/>
      <c r="G26" s="213"/>
      <c r="H26" s="213"/>
      <c r="I26" s="213"/>
      <c r="J26" s="213"/>
      <c r="K26" s="213"/>
      <c r="L26" s="213"/>
      <c r="M26" s="213"/>
      <c r="N26" s="213"/>
      <c r="O26" s="213"/>
      <c r="P26" s="213"/>
      <c r="Q26" s="213"/>
      <c r="R26" s="213"/>
      <c r="S26" s="213"/>
      <c r="T26" s="213"/>
      <c r="U26" s="213"/>
      <c r="V26" s="213"/>
      <c r="W26" s="213"/>
      <c r="X26" s="213"/>
      <c r="Y26" s="213"/>
      <c r="Z26" s="213"/>
    </row>
    <row r="27" spans="1:26">
      <c r="A27" s="213"/>
      <c r="B27" s="212" t="s">
        <v>3818</v>
      </c>
      <c r="C27" s="213"/>
      <c r="D27" s="213"/>
      <c r="E27" s="213"/>
      <c r="F27" s="213"/>
      <c r="G27" s="213"/>
      <c r="H27" s="213"/>
      <c r="I27" s="213"/>
      <c r="J27" s="213"/>
      <c r="K27" s="213"/>
      <c r="L27" s="213"/>
      <c r="M27" s="213"/>
      <c r="N27" s="213"/>
      <c r="O27" s="213"/>
      <c r="P27" s="213"/>
      <c r="Q27" s="213"/>
      <c r="R27" s="213"/>
      <c r="S27" s="213"/>
      <c r="T27" s="213"/>
      <c r="U27" s="213"/>
      <c r="V27" s="213"/>
      <c r="W27" s="213"/>
      <c r="X27" s="213"/>
      <c r="Y27" s="213"/>
      <c r="Z27" s="213"/>
    </row>
    <row r="28" spans="1:26" ht="14.25">
      <c r="A28" s="213"/>
      <c r="B28" s="212" t="s">
        <v>3819</v>
      </c>
      <c r="C28" s="213"/>
      <c r="D28" s="213"/>
      <c r="E28" s="213"/>
      <c r="F28" s="213"/>
      <c r="G28" s="213"/>
      <c r="H28" s="213"/>
      <c r="I28" s="213"/>
      <c r="J28" s="213"/>
      <c r="K28" s="213"/>
      <c r="L28" s="213"/>
      <c r="M28" s="213"/>
      <c r="N28" s="213"/>
      <c r="O28" s="213"/>
      <c r="P28" s="213"/>
      <c r="Q28" s="213"/>
      <c r="R28" s="213"/>
      <c r="S28" s="213"/>
      <c r="T28" s="213"/>
      <c r="U28" s="213"/>
      <c r="V28" s="213"/>
      <c r="W28" s="213"/>
      <c r="X28" s="213"/>
      <c r="Y28" s="213"/>
      <c r="Z28" s="213"/>
    </row>
    <row r="29" spans="1:26" ht="14.25">
      <c r="A29" s="213"/>
      <c r="B29" s="212" t="s">
        <v>3820</v>
      </c>
      <c r="C29" s="213"/>
      <c r="D29" s="213"/>
      <c r="E29" s="213"/>
      <c r="F29" s="213"/>
      <c r="G29" s="213"/>
      <c r="H29" s="213"/>
      <c r="I29" s="213"/>
      <c r="J29" s="213"/>
      <c r="K29" s="213"/>
      <c r="L29" s="213"/>
      <c r="M29" s="213"/>
      <c r="N29" s="213"/>
      <c r="O29" s="213"/>
      <c r="P29" s="213"/>
      <c r="Q29" s="213"/>
      <c r="R29" s="213"/>
      <c r="S29" s="213"/>
      <c r="T29" s="213"/>
      <c r="U29" s="213"/>
      <c r="V29" s="213"/>
      <c r="W29" s="213"/>
      <c r="X29" s="213"/>
      <c r="Y29" s="213"/>
      <c r="Z29" s="213"/>
    </row>
    <row r="30" spans="1:26" ht="14.25">
      <c r="A30" s="213"/>
      <c r="B30" s="212" t="s">
        <v>3821</v>
      </c>
      <c r="C30" s="213"/>
      <c r="D30" s="213"/>
      <c r="E30" s="213"/>
      <c r="F30" s="213"/>
      <c r="G30" s="213"/>
      <c r="H30" s="213"/>
      <c r="I30" s="213"/>
      <c r="J30" s="213"/>
      <c r="K30" s="213"/>
      <c r="L30" s="213"/>
      <c r="M30" s="213"/>
      <c r="N30" s="213"/>
      <c r="O30" s="213"/>
      <c r="P30" s="213"/>
      <c r="Q30" s="213"/>
      <c r="R30" s="213"/>
      <c r="S30" s="213"/>
      <c r="T30" s="213"/>
      <c r="U30" s="213"/>
      <c r="V30" s="213"/>
      <c r="W30" s="213"/>
      <c r="X30" s="213"/>
      <c r="Y30" s="213"/>
      <c r="Z30" s="213"/>
    </row>
    <row r="31" spans="1:26" ht="14.25">
      <c r="A31" s="214"/>
      <c r="B31" s="218" t="s">
        <v>3822</v>
      </c>
      <c r="C31" s="213"/>
      <c r="D31" s="213"/>
      <c r="E31" s="213"/>
      <c r="F31" s="213"/>
      <c r="G31" s="213"/>
      <c r="H31" s="213"/>
      <c r="I31" s="213"/>
      <c r="J31" s="213"/>
      <c r="K31" s="213"/>
      <c r="L31" s="213"/>
      <c r="M31" s="213"/>
      <c r="N31" s="213"/>
      <c r="O31" s="213"/>
      <c r="P31" s="213"/>
      <c r="Q31" s="213"/>
      <c r="R31" s="213"/>
      <c r="S31" s="213"/>
      <c r="T31" s="213"/>
      <c r="U31" s="213"/>
      <c r="V31" s="213"/>
      <c r="W31" s="213"/>
      <c r="X31" s="213"/>
      <c r="Y31" s="213"/>
      <c r="Z31" s="213"/>
    </row>
    <row r="32" spans="1:26" ht="14.25">
      <c r="A32" s="214"/>
      <c r="B32" s="218" t="s">
        <v>3823</v>
      </c>
      <c r="C32" s="213"/>
      <c r="D32" s="213"/>
      <c r="E32" s="213"/>
      <c r="F32" s="213"/>
      <c r="G32" s="213"/>
      <c r="H32" s="213"/>
      <c r="I32" s="213"/>
      <c r="J32" s="213"/>
      <c r="K32" s="213"/>
      <c r="L32" s="213"/>
      <c r="M32" s="213"/>
      <c r="N32" s="213"/>
      <c r="O32" s="213"/>
      <c r="P32" s="213"/>
      <c r="Q32" s="213"/>
      <c r="R32" s="213"/>
      <c r="S32" s="213"/>
      <c r="T32" s="213"/>
      <c r="U32" s="213"/>
      <c r="V32" s="213"/>
      <c r="W32" s="213"/>
      <c r="X32" s="213"/>
      <c r="Y32" s="213"/>
      <c r="Z32" s="213"/>
    </row>
    <row r="33" spans="1:26" ht="14.25">
      <c r="A33" s="214"/>
      <c r="B33" s="218" t="s">
        <v>3824</v>
      </c>
      <c r="C33" s="213"/>
      <c r="D33" s="213"/>
      <c r="E33" s="213"/>
      <c r="F33" s="213"/>
      <c r="G33" s="213"/>
      <c r="H33" s="213"/>
      <c r="I33" s="213"/>
      <c r="J33" s="213"/>
      <c r="K33" s="213"/>
      <c r="L33" s="213"/>
      <c r="M33" s="213"/>
      <c r="N33" s="213"/>
      <c r="O33" s="213"/>
      <c r="P33" s="213"/>
      <c r="Q33" s="213"/>
      <c r="R33" s="213"/>
      <c r="S33" s="213"/>
      <c r="T33" s="213"/>
      <c r="U33" s="213"/>
      <c r="V33" s="213"/>
      <c r="W33" s="213"/>
      <c r="X33" s="213"/>
      <c r="Y33" s="213"/>
      <c r="Z33" s="213"/>
    </row>
    <row r="34" spans="1:26" ht="14.25">
      <c r="A34" s="214"/>
      <c r="B34" s="219" t="s">
        <v>3825</v>
      </c>
      <c r="C34" s="213"/>
      <c r="D34" s="213"/>
      <c r="E34" s="213"/>
      <c r="F34" s="213"/>
      <c r="G34" s="213"/>
      <c r="H34" s="213"/>
      <c r="I34" s="213"/>
      <c r="J34" s="213"/>
      <c r="K34" s="213"/>
      <c r="L34" s="213"/>
      <c r="M34" s="213"/>
      <c r="N34" s="213"/>
      <c r="O34" s="213"/>
      <c r="P34" s="213"/>
      <c r="Q34" s="213"/>
      <c r="R34" s="213"/>
      <c r="S34" s="213"/>
      <c r="T34" s="213"/>
      <c r="U34" s="213"/>
      <c r="V34" s="213"/>
      <c r="W34" s="213"/>
      <c r="X34" s="213"/>
      <c r="Y34" s="213"/>
      <c r="Z34" s="213"/>
    </row>
    <row r="35" spans="1:26" ht="14.25">
      <c r="A35" s="214"/>
      <c r="B35" s="219" t="s">
        <v>3826</v>
      </c>
      <c r="C35" s="213"/>
      <c r="D35" s="213"/>
      <c r="E35" s="213"/>
      <c r="F35" s="213"/>
      <c r="G35" s="213"/>
      <c r="H35" s="213"/>
      <c r="I35" s="213"/>
      <c r="J35" s="213"/>
      <c r="K35" s="213"/>
      <c r="L35" s="213"/>
      <c r="M35" s="213"/>
      <c r="N35" s="213"/>
      <c r="O35" s="213"/>
      <c r="P35" s="213"/>
      <c r="Q35" s="213"/>
      <c r="R35" s="213"/>
      <c r="S35" s="213"/>
      <c r="T35" s="213"/>
      <c r="U35" s="213"/>
      <c r="V35" s="213"/>
      <c r="W35" s="213"/>
      <c r="X35" s="213"/>
      <c r="Y35" s="213"/>
      <c r="Z35" s="213"/>
    </row>
    <row r="36" spans="1:26" ht="14.25">
      <c r="A36" s="214"/>
      <c r="B36" s="219" t="s">
        <v>3827</v>
      </c>
      <c r="C36" s="213"/>
      <c r="D36" s="213"/>
      <c r="E36" s="213"/>
      <c r="F36" s="213"/>
      <c r="G36" s="213"/>
      <c r="H36" s="213"/>
      <c r="I36" s="213"/>
      <c r="J36" s="213"/>
      <c r="K36" s="213"/>
      <c r="L36" s="213"/>
      <c r="M36" s="213"/>
      <c r="N36" s="213"/>
      <c r="O36" s="213"/>
      <c r="P36" s="213"/>
      <c r="Q36" s="213"/>
      <c r="R36" s="213"/>
      <c r="S36" s="213"/>
      <c r="T36" s="213"/>
      <c r="U36" s="213"/>
      <c r="V36" s="213"/>
      <c r="W36" s="213"/>
      <c r="X36" s="213"/>
      <c r="Y36" s="213"/>
      <c r="Z36" s="213"/>
    </row>
    <row r="37" spans="1:26" ht="14.25">
      <c r="A37" s="214"/>
      <c r="B37" s="213"/>
      <c r="C37" s="213"/>
      <c r="D37" s="213"/>
      <c r="E37" s="213"/>
      <c r="F37" s="213"/>
      <c r="G37" s="213"/>
      <c r="H37" s="213"/>
      <c r="I37" s="213"/>
      <c r="J37" s="213"/>
      <c r="K37" s="213"/>
      <c r="L37" s="213"/>
      <c r="M37" s="213"/>
      <c r="N37" s="213"/>
      <c r="O37" s="213"/>
      <c r="P37" s="213"/>
      <c r="Q37" s="213"/>
      <c r="R37" s="213"/>
      <c r="S37" s="213"/>
      <c r="T37" s="213"/>
      <c r="U37" s="213"/>
      <c r="V37" s="213"/>
      <c r="W37" s="213"/>
      <c r="X37" s="213"/>
      <c r="Y37" s="213"/>
      <c r="Z37" s="213"/>
    </row>
    <row r="38" spans="1:26" ht="14.25">
      <c r="A38" s="214"/>
      <c r="B38" s="213"/>
      <c r="C38" s="213"/>
      <c r="D38" s="213"/>
      <c r="E38" s="213"/>
      <c r="F38" s="213"/>
      <c r="G38" s="213"/>
      <c r="H38" s="213"/>
      <c r="I38" s="213"/>
      <c r="J38" s="213"/>
      <c r="K38" s="213"/>
      <c r="L38" s="213"/>
      <c r="M38" s="213"/>
      <c r="N38" s="213"/>
      <c r="O38" s="213"/>
      <c r="P38" s="213"/>
      <c r="Q38" s="213"/>
      <c r="R38" s="213"/>
      <c r="S38" s="213"/>
      <c r="T38" s="213"/>
      <c r="U38" s="213"/>
      <c r="V38" s="213"/>
      <c r="W38" s="213"/>
      <c r="X38" s="213"/>
      <c r="Y38" s="213"/>
      <c r="Z38" s="213"/>
    </row>
    <row r="39" spans="1:26" ht="15">
      <c r="A39" s="215" t="s">
        <v>3828</v>
      </c>
      <c r="B39" s="216"/>
      <c r="C39" s="216"/>
      <c r="D39" s="216"/>
      <c r="E39" s="216"/>
      <c r="F39" s="216"/>
      <c r="G39" s="216"/>
      <c r="H39" s="216"/>
      <c r="I39" s="216"/>
      <c r="J39" s="216"/>
      <c r="K39" s="216"/>
      <c r="L39" s="216"/>
      <c r="M39" s="216"/>
      <c r="N39" s="216"/>
      <c r="O39" s="216"/>
      <c r="P39" s="216"/>
      <c r="Q39" s="216"/>
      <c r="R39" s="216"/>
      <c r="S39" s="216"/>
      <c r="T39" s="216"/>
      <c r="U39" s="216"/>
      <c r="V39" s="216"/>
      <c r="W39" s="216"/>
      <c r="X39" s="216"/>
      <c r="Y39" s="216"/>
      <c r="Z39" s="216"/>
    </row>
    <row r="40" spans="1:26" ht="14.25">
      <c r="A40" s="213"/>
      <c r="B40" s="212" t="s">
        <v>3829</v>
      </c>
      <c r="C40" s="213"/>
      <c r="D40" s="213"/>
      <c r="E40" s="213"/>
      <c r="F40" s="213"/>
      <c r="G40" s="213"/>
      <c r="H40" s="213"/>
      <c r="I40" s="213"/>
      <c r="J40" s="213"/>
      <c r="K40" s="213"/>
      <c r="L40" s="213"/>
      <c r="M40" s="213"/>
      <c r="N40" s="213"/>
      <c r="O40" s="213"/>
      <c r="P40" s="213"/>
      <c r="Q40" s="213"/>
      <c r="R40" s="213"/>
      <c r="S40" s="213"/>
      <c r="T40" s="213"/>
      <c r="U40" s="213"/>
      <c r="V40" s="213"/>
      <c r="W40" s="213"/>
      <c r="X40" s="213"/>
      <c r="Y40" s="213"/>
      <c r="Z40" s="213"/>
    </row>
    <row r="41" spans="1:26" ht="14.25">
      <c r="A41" s="213"/>
      <c r="B41" s="212" t="s">
        <v>3830</v>
      </c>
      <c r="C41" s="213"/>
      <c r="D41" s="213"/>
      <c r="E41" s="213"/>
      <c r="F41" s="213"/>
      <c r="G41" s="213"/>
      <c r="H41" s="213"/>
      <c r="I41" s="213"/>
      <c r="J41" s="213"/>
      <c r="K41" s="213"/>
      <c r="L41" s="213"/>
      <c r="M41" s="213"/>
      <c r="N41" s="213"/>
      <c r="O41" s="213"/>
      <c r="P41" s="213"/>
      <c r="Q41" s="213"/>
      <c r="R41" s="213"/>
      <c r="S41" s="213"/>
      <c r="T41" s="213"/>
      <c r="U41" s="213"/>
      <c r="V41" s="213"/>
      <c r="W41" s="213"/>
      <c r="X41" s="213"/>
      <c r="Y41" s="213"/>
      <c r="Z41" s="213"/>
    </row>
    <row r="42" spans="1:26" ht="14.25">
      <c r="A42" s="213"/>
      <c r="B42" s="212" t="s">
        <v>3831</v>
      </c>
      <c r="C42" s="213"/>
      <c r="D42" s="213"/>
      <c r="E42" s="213"/>
      <c r="F42" s="213"/>
      <c r="G42" s="213"/>
      <c r="H42" s="213"/>
      <c r="I42" s="213"/>
      <c r="J42" s="213"/>
      <c r="K42" s="213"/>
      <c r="L42" s="213"/>
      <c r="M42" s="213"/>
      <c r="N42" s="213"/>
      <c r="O42" s="213"/>
      <c r="P42" s="213"/>
      <c r="Q42" s="213"/>
      <c r="R42" s="213"/>
      <c r="S42" s="213"/>
      <c r="T42" s="213"/>
      <c r="U42" s="213"/>
      <c r="V42" s="213"/>
      <c r="W42" s="213"/>
      <c r="X42" s="213"/>
      <c r="Y42" s="213"/>
      <c r="Z42" s="213"/>
    </row>
    <row r="43" spans="1:26" ht="14.25">
      <c r="A43" s="214"/>
      <c r="B43" s="213"/>
      <c r="C43" s="213"/>
      <c r="D43" s="213"/>
      <c r="E43" s="213"/>
      <c r="F43" s="213"/>
      <c r="G43" s="213"/>
      <c r="H43" s="213"/>
      <c r="I43" s="213"/>
      <c r="J43" s="213"/>
      <c r="K43" s="213"/>
      <c r="L43" s="213"/>
      <c r="M43" s="213"/>
      <c r="N43" s="213"/>
      <c r="O43" s="213"/>
      <c r="P43" s="213"/>
      <c r="Q43" s="213"/>
      <c r="R43" s="213"/>
      <c r="S43" s="213"/>
      <c r="T43" s="213"/>
      <c r="U43" s="213"/>
      <c r="V43" s="213"/>
      <c r="W43" s="213"/>
      <c r="X43" s="213"/>
      <c r="Y43" s="213"/>
      <c r="Z43" s="213"/>
    </row>
    <row r="44" spans="1:26" ht="14.25">
      <c r="A44" s="214"/>
      <c r="B44" s="213"/>
      <c r="C44" s="213"/>
      <c r="D44" s="213"/>
      <c r="E44" s="213"/>
      <c r="F44" s="213"/>
      <c r="G44" s="213"/>
      <c r="H44" s="213"/>
      <c r="I44" s="213"/>
      <c r="J44" s="213"/>
      <c r="K44" s="213"/>
      <c r="L44" s="213"/>
      <c r="M44" s="213"/>
      <c r="N44" s="213"/>
      <c r="O44" s="213"/>
      <c r="P44" s="213"/>
      <c r="Q44" s="213"/>
      <c r="R44" s="213"/>
      <c r="S44" s="213"/>
      <c r="T44" s="213"/>
      <c r="U44" s="213"/>
      <c r="V44" s="213"/>
      <c r="W44" s="213"/>
      <c r="X44" s="213"/>
      <c r="Y44" s="213"/>
      <c r="Z44" s="213"/>
    </row>
    <row r="45" spans="1:26" ht="15">
      <c r="A45" s="215" t="s">
        <v>3832</v>
      </c>
      <c r="B45" s="216"/>
      <c r="C45" s="216"/>
      <c r="D45" s="216"/>
      <c r="E45" s="216"/>
      <c r="F45" s="216"/>
      <c r="G45" s="216"/>
      <c r="H45" s="216"/>
      <c r="I45" s="216"/>
      <c r="J45" s="216"/>
      <c r="K45" s="216"/>
      <c r="L45" s="216"/>
      <c r="M45" s="216"/>
      <c r="N45" s="216"/>
      <c r="O45" s="216"/>
      <c r="P45" s="216"/>
      <c r="Q45" s="216"/>
      <c r="R45" s="216"/>
      <c r="S45" s="216"/>
      <c r="T45" s="216"/>
      <c r="U45" s="216"/>
      <c r="V45" s="216"/>
      <c r="W45" s="216"/>
      <c r="X45" s="216"/>
      <c r="Y45" s="216"/>
      <c r="Z45" s="216"/>
    </row>
    <row r="46" spans="1:26" ht="14.25">
      <c r="A46" s="213"/>
      <c r="B46" s="212" t="s">
        <v>3833</v>
      </c>
      <c r="C46" s="213"/>
      <c r="D46" s="213"/>
      <c r="E46" s="213"/>
      <c r="F46" s="213"/>
      <c r="G46" s="213"/>
      <c r="H46" s="213"/>
      <c r="I46" s="213"/>
      <c r="J46" s="213"/>
      <c r="K46" s="213"/>
      <c r="L46" s="213"/>
      <c r="M46" s="213"/>
      <c r="N46" s="213"/>
      <c r="O46" s="213"/>
      <c r="P46" s="213"/>
      <c r="Q46" s="213"/>
      <c r="R46" s="213"/>
      <c r="S46" s="213"/>
      <c r="T46" s="213"/>
      <c r="U46" s="213"/>
      <c r="V46" s="213"/>
      <c r="W46" s="213"/>
      <c r="X46" s="213"/>
      <c r="Y46" s="213"/>
      <c r="Z46" s="213"/>
    </row>
    <row r="47" spans="1:26" ht="14.25">
      <c r="A47" s="213"/>
      <c r="B47" s="212" t="s">
        <v>3834</v>
      </c>
      <c r="C47" s="213"/>
      <c r="D47" s="213"/>
      <c r="E47" s="213"/>
      <c r="F47" s="213"/>
      <c r="G47" s="213"/>
      <c r="H47" s="213"/>
      <c r="I47" s="213"/>
      <c r="J47" s="213"/>
      <c r="K47" s="213"/>
      <c r="L47" s="213"/>
      <c r="M47" s="213"/>
      <c r="N47" s="213"/>
      <c r="O47" s="213"/>
      <c r="P47" s="213"/>
      <c r="Q47" s="213"/>
      <c r="R47" s="213"/>
      <c r="S47" s="213"/>
      <c r="T47" s="213"/>
      <c r="U47" s="213"/>
      <c r="V47" s="213"/>
      <c r="W47" s="213"/>
      <c r="X47" s="213"/>
      <c r="Y47" s="213"/>
      <c r="Z47" s="213"/>
    </row>
    <row r="48" spans="1:26" ht="14.25">
      <c r="A48" s="214"/>
      <c r="B48" s="213"/>
      <c r="C48" s="213"/>
      <c r="D48" s="213"/>
      <c r="E48" s="213"/>
      <c r="F48" s="213"/>
      <c r="G48" s="213"/>
      <c r="H48" s="213"/>
      <c r="I48" s="213"/>
      <c r="J48" s="213"/>
      <c r="K48" s="213"/>
      <c r="L48" s="213"/>
      <c r="M48" s="213"/>
      <c r="N48" s="213"/>
      <c r="O48" s="213"/>
      <c r="P48" s="213"/>
      <c r="Q48" s="213"/>
      <c r="R48" s="213"/>
      <c r="S48" s="213"/>
      <c r="T48" s="213"/>
      <c r="U48" s="213"/>
      <c r="V48" s="213"/>
      <c r="W48" s="213"/>
      <c r="X48" s="213"/>
      <c r="Y48" s="213"/>
      <c r="Z48" s="213"/>
    </row>
    <row r="49" spans="1:26" ht="15">
      <c r="A49" s="215" t="s">
        <v>3835</v>
      </c>
      <c r="B49" s="213"/>
      <c r="C49" s="213"/>
      <c r="D49" s="213"/>
      <c r="E49" s="213"/>
      <c r="F49" s="213"/>
      <c r="G49" s="213"/>
      <c r="H49" s="213"/>
      <c r="I49" s="213"/>
      <c r="J49" s="213"/>
      <c r="K49" s="213"/>
      <c r="L49" s="213"/>
      <c r="M49" s="213"/>
      <c r="N49" s="213"/>
      <c r="O49" s="213"/>
      <c r="P49" s="213"/>
      <c r="Q49" s="213"/>
      <c r="R49" s="213"/>
      <c r="S49" s="213"/>
      <c r="T49" s="213"/>
      <c r="U49" s="213"/>
      <c r="V49" s="213"/>
      <c r="W49" s="213"/>
      <c r="X49" s="213"/>
      <c r="Y49" s="213"/>
      <c r="Z49" s="213"/>
    </row>
    <row r="50" spans="1:26" ht="14.25">
      <c r="A50" s="213"/>
      <c r="B50" s="212" t="s">
        <v>3836</v>
      </c>
      <c r="C50" s="213"/>
      <c r="D50" s="213"/>
      <c r="E50" s="213"/>
      <c r="F50" s="213"/>
      <c r="G50" s="213"/>
      <c r="H50" s="213"/>
      <c r="I50" s="213"/>
      <c r="J50" s="213"/>
      <c r="K50" s="213"/>
      <c r="L50" s="213"/>
      <c r="M50" s="213"/>
      <c r="N50" s="213"/>
      <c r="O50" s="213"/>
      <c r="P50" s="213"/>
      <c r="Q50" s="213"/>
      <c r="R50" s="213"/>
      <c r="S50" s="213"/>
      <c r="T50" s="213"/>
      <c r="U50" s="213"/>
      <c r="V50" s="213"/>
      <c r="W50" s="213"/>
      <c r="X50" s="213"/>
      <c r="Y50" s="213"/>
      <c r="Z50" s="213"/>
    </row>
    <row r="51" spans="1:26" ht="14.25">
      <c r="A51" s="213"/>
      <c r="B51" s="212" t="s">
        <v>3837</v>
      </c>
      <c r="C51" s="213"/>
      <c r="D51" s="213"/>
      <c r="E51" s="213"/>
      <c r="F51" s="213"/>
      <c r="G51" s="213"/>
      <c r="H51" s="213"/>
      <c r="I51" s="213"/>
      <c r="J51" s="213"/>
      <c r="K51" s="213"/>
      <c r="L51" s="213"/>
      <c r="M51" s="213"/>
      <c r="N51" s="213"/>
      <c r="O51" s="213"/>
      <c r="P51" s="213"/>
      <c r="Q51" s="213"/>
      <c r="R51" s="213"/>
      <c r="S51" s="213"/>
      <c r="T51" s="213"/>
      <c r="U51" s="213"/>
      <c r="V51" s="213"/>
      <c r="W51" s="213"/>
      <c r="X51" s="213"/>
      <c r="Y51" s="213"/>
      <c r="Z51" s="213"/>
    </row>
    <row r="52" spans="1:26" ht="14.25">
      <c r="A52" s="214"/>
      <c r="B52" s="213"/>
      <c r="C52" s="213"/>
      <c r="D52" s="213"/>
      <c r="E52" s="213"/>
      <c r="F52" s="213"/>
      <c r="G52" s="213"/>
      <c r="H52" s="213"/>
      <c r="I52" s="213"/>
      <c r="J52" s="213"/>
      <c r="K52" s="213"/>
      <c r="L52" s="213"/>
      <c r="M52" s="213"/>
      <c r="N52" s="213"/>
      <c r="O52" s="213"/>
      <c r="P52" s="213"/>
      <c r="Q52" s="213"/>
      <c r="R52" s="213"/>
      <c r="S52" s="213"/>
      <c r="T52" s="213"/>
      <c r="U52" s="213"/>
      <c r="V52" s="213"/>
      <c r="W52" s="213"/>
      <c r="X52" s="213"/>
      <c r="Y52" s="213"/>
      <c r="Z52" s="213"/>
    </row>
    <row r="53" spans="1:26" ht="15">
      <c r="A53" s="215" t="s">
        <v>3838</v>
      </c>
      <c r="B53" s="216"/>
      <c r="C53" s="216"/>
      <c r="D53" s="216"/>
      <c r="E53" s="216"/>
      <c r="F53" s="216"/>
      <c r="G53" s="216"/>
      <c r="H53" s="216"/>
      <c r="I53" s="216"/>
      <c r="J53" s="216"/>
      <c r="K53" s="216"/>
      <c r="L53" s="216"/>
      <c r="M53" s="216"/>
      <c r="N53" s="216"/>
      <c r="O53" s="216"/>
      <c r="P53" s="216"/>
      <c r="Q53" s="216"/>
      <c r="R53" s="216"/>
      <c r="S53" s="216"/>
      <c r="T53" s="216"/>
      <c r="U53" s="216"/>
      <c r="V53" s="216"/>
      <c r="W53" s="216"/>
      <c r="X53" s="216"/>
      <c r="Y53" s="216"/>
      <c r="Z53" s="216"/>
    </row>
    <row r="54" spans="1:26" ht="14.25">
      <c r="A54" s="213"/>
      <c r="B54" s="212" t="s">
        <v>3839</v>
      </c>
      <c r="C54" s="213"/>
      <c r="D54" s="213"/>
      <c r="E54" s="213"/>
      <c r="F54" s="213"/>
      <c r="G54" s="213"/>
      <c r="H54" s="213"/>
      <c r="I54" s="213"/>
      <c r="J54" s="213"/>
      <c r="K54" s="213"/>
      <c r="L54" s="213"/>
      <c r="M54" s="213"/>
      <c r="N54" s="213"/>
      <c r="O54" s="213"/>
      <c r="P54" s="213"/>
      <c r="Q54" s="213"/>
      <c r="R54" s="213"/>
      <c r="S54" s="213"/>
      <c r="T54" s="213"/>
      <c r="U54" s="213"/>
      <c r="V54" s="213"/>
      <c r="W54" s="213"/>
      <c r="X54" s="213"/>
      <c r="Y54" s="213"/>
      <c r="Z54" s="213"/>
    </row>
    <row r="55" spans="1:26" ht="14.25">
      <c r="A55" s="213"/>
      <c r="B55" s="212" t="s">
        <v>3840</v>
      </c>
      <c r="C55" s="213"/>
      <c r="D55" s="213"/>
      <c r="E55" s="213"/>
      <c r="F55" s="213"/>
      <c r="G55" s="213"/>
      <c r="H55" s="213"/>
      <c r="I55" s="213"/>
      <c r="J55" s="213"/>
      <c r="K55" s="213"/>
      <c r="L55" s="213"/>
      <c r="M55" s="213"/>
      <c r="N55" s="213"/>
      <c r="O55" s="213"/>
      <c r="P55" s="213"/>
      <c r="Q55" s="213"/>
      <c r="R55" s="213"/>
      <c r="S55" s="213"/>
      <c r="T55" s="213"/>
      <c r="U55" s="213"/>
      <c r="V55" s="213"/>
      <c r="W55" s="213"/>
      <c r="X55" s="213"/>
      <c r="Y55" s="213"/>
      <c r="Z55" s="213"/>
    </row>
    <row r="56" spans="1:26" ht="14.25">
      <c r="A56" s="213"/>
      <c r="B56" s="212" t="s">
        <v>3841</v>
      </c>
      <c r="C56" s="213"/>
      <c r="D56" s="213"/>
      <c r="E56" s="213"/>
      <c r="F56" s="213"/>
      <c r="G56" s="213"/>
      <c r="H56" s="213"/>
      <c r="I56" s="213"/>
      <c r="J56" s="213"/>
      <c r="K56" s="213"/>
      <c r="L56" s="213"/>
      <c r="M56" s="213"/>
      <c r="N56" s="213"/>
      <c r="O56" s="213"/>
      <c r="P56" s="213"/>
      <c r="Q56" s="213"/>
      <c r="R56" s="213"/>
      <c r="S56" s="213"/>
      <c r="T56" s="213"/>
      <c r="U56" s="213"/>
      <c r="V56" s="213"/>
      <c r="W56" s="213"/>
      <c r="X56" s="213"/>
      <c r="Y56" s="213"/>
      <c r="Z56" s="213"/>
    </row>
    <row r="57" spans="1:26" ht="14.25">
      <c r="A57" s="213"/>
      <c r="B57" s="212" t="s">
        <v>3842</v>
      </c>
      <c r="C57" s="213"/>
      <c r="D57" s="213"/>
      <c r="E57" s="213"/>
      <c r="F57" s="213"/>
      <c r="G57" s="213"/>
      <c r="H57" s="213"/>
      <c r="I57" s="213"/>
      <c r="J57" s="213"/>
      <c r="K57" s="213"/>
      <c r="L57" s="213"/>
      <c r="M57" s="213"/>
      <c r="N57" s="213"/>
      <c r="O57" s="213"/>
      <c r="P57" s="213"/>
      <c r="Q57" s="213"/>
      <c r="R57" s="213"/>
      <c r="S57" s="213"/>
      <c r="T57" s="213"/>
      <c r="U57" s="213"/>
      <c r="V57" s="213"/>
      <c r="W57" s="213"/>
      <c r="X57" s="213"/>
      <c r="Y57" s="213"/>
      <c r="Z57" s="213"/>
    </row>
    <row r="58" spans="1:26" ht="14.25">
      <c r="A58" s="213"/>
      <c r="B58" s="212" t="s">
        <v>3843</v>
      </c>
      <c r="C58" s="213"/>
      <c r="D58" s="213"/>
      <c r="E58" s="213"/>
      <c r="F58" s="213"/>
      <c r="G58" s="213"/>
      <c r="H58" s="213"/>
      <c r="I58" s="213"/>
      <c r="J58" s="213"/>
      <c r="K58" s="213"/>
      <c r="L58" s="213"/>
      <c r="M58" s="213"/>
      <c r="N58" s="213"/>
      <c r="O58" s="213"/>
      <c r="P58" s="213"/>
      <c r="Q58" s="213"/>
      <c r="R58" s="213"/>
      <c r="S58" s="213"/>
      <c r="T58" s="213"/>
      <c r="U58" s="213"/>
      <c r="V58" s="213"/>
      <c r="W58" s="213"/>
      <c r="X58" s="213"/>
      <c r="Y58" s="213"/>
      <c r="Z58" s="213"/>
    </row>
    <row r="59" spans="1:26" ht="14.25">
      <c r="A59" s="213"/>
      <c r="B59" s="212" t="s">
        <v>3844</v>
      </c>
      <c r="C59" s="213"/>
      <c r="D59" s="213"/>
      <c r="E59" s="213"/>
      <c r="F59" s="213"/>
      <c r="G59" s="213"/>
      <c r="H59" s="213"/>
      <c r="I59" s="213"/>
      <c r="J59" s="213"/>
      <c r="K59" s="213"/>
      <c r="L59" s="213"/>
      <c r="M59" s="213"/>
      <c r="N59" s="213"/>
      <c r="O59" s="213"/>
      <c r="P59" s="213"/>
      <c r="Q59" s="213"/>
      <c r="R59" s="213"/>
      <c r="S59" s="213"/>
      <c r="T59" s="213"/>
      <c r="U59" s="213"/>
      <c r="V59" s="213"/>
      <c r="W59" s="213"/>
      <c r="X59" s="213"/>
      <c r="Y59" s="213"/>
      <c r="Z59" s="213"/>
    </row>
    <row r="60" spans="1:26" ht="14.25">
      <c r="A60" s="213"/>
      <c r="B60" s="212" t="s">
        <v>3845</v>
      </c>
      <c r="C60" s="213"/>
      <c r="D60" s="213"/>
      <c r="E60" s="213"/>
      <c r="F60" s="213"/>
      <c r="G60" s="213"/>
      <c r="H60" s="213"/>
      <c r="I60" s="213"/>
      <c r="J60" s="213"/>
      <c r="K60" s="213"/>
      <c r="L60" s="213"/>
      <c r="M60" s="213"/>
      <c r="N60" s="213"/>
      <c r="O60" s="213"/>
      <c r="P60" s="213"/>
      <c r="Q60" s="213"/>
      <c r="R60" s="213"/>
      <c r="S60" s="213"/>
      <c r="T60" s="213"/>
      <c r="U60" s="213"/>
      <c r="V60" s="213"/>
      <c r="W60" s="213"/>
      <c r="X60" s="213"/>
      <c r="Y60" s="213"/>
      <c r="Z60" s="213"/>
    </row>
    <row r="61" spans="1:26" ht="14.25">
      <c r="A61" s="213"/>
      <c r="B61" s="212" t="s">
        <v>3846</v>
      </c>
      <c r="C61" s="213"/>
      <c r="D61" s="213"/>
      <c r="E61" s="213"/>
      <c r="F61" s="213"/>
      <c r="G61" s="213"/>
      <c r="H61" s="213"/>
      <c r="I61" s="213"/>
      <c r="J61" s="213"/>
      <c r="K61" s="213"/>
      <c r="L61" s="213"/>
      <c r="M61" s="213"/>
      <c r="N61" s="213"/>
      <c r="O61" s="213"/>
      <c r="P61" s="213"/>
      <c r="Q61" s="213"/>
      <c r="R61" s="213"/>
      <c r="S61" s="213"/>
      <c r="T61" s="213"/>
      <c r="U61" s="213"/>
      <c r="V61" s="213"/>
      <c r="W61" s="213"/>
      <c r="X61" s="213"/>
      <c r="Y61" s="213"/>
      <c r="Z61" s="213"/>
    </row>
    <row r="62" spans="1:26" ht="14.25">
      <c r="A62" s="213"/>
      <c r="B62" s="212" t="s">
        <v>3847</v>
      </c>
      <c r="C62" s="213"/>
      <c r="D62" s="213"/>
      <c r="E62" s="213"/>
      <c r="F62" s="213"/>
      <c r="G62" s="213"/>
      <c r="H62" s="213"/>
      <c r="I62" s="213"/>
      <c r="J62" s="213"/>
      <c r="K62" s="213"/>
      <c r="L62" s="213"/>
      <c r="M62" s="213"/>
      <c r="N62" s="213"/>
      <c r="O62" s="213"/>
      <c r="P62" s="213"/>
      <c r="Q62" s="213"/>
      <c r="R62" s="213"/>
      <c r="S62" s="213"/>
      <c r="T62" s="213"/>
      <c r="U62" s="213"/>
      <c r="V62" s="213"/>
      <c r="W62" s="213"/>
      <c r="X62" s="213"/>
      <c r="Y62" s="213"/>
      <c r="Z62" s="213"/>
    </row>
    <row r="63" spans="1:26" ht="14.25">
      <c r="A63" s="213"/>
      <c r="B63" s="212" t="s">
        <v>3848</v>
      </c>
      <c r="C63" s="213"/>
      <c r="D63" s="213"/>
      <c r="E63" s="213"/>
      <c r="F63" s="213"/>
      <c r="G63" s="213"/>
      <c r="H63" s="213"/>
      <c r="I63" s="213"/>
      <c r="J63" s="213"/>
      <c r="K63" s="213"/>
      <c r="L63" s="213"/>
      <c r="M63" s="213"/>
      <c r="N63" s="213"/>
      <c r="O63" s="213"/>
      <c r="P63" s="213"/>
      <c r="Q63" s="213"/>
      <c r="R63" s="213"/>
      <c r="S63" s="213"/>
      <c r="T63" s="213"/>
      <c r="U63" s="213"/>
      <c r="V63" s="213"/>
      <c r="W63" s="213"/>
      <c r="X63" s="213"/>
      <c r="Y63" s="213"/>
      <c r="Z63" s="213"/>
    </row>
    <row r="64" spans="1:26" ht="14.25">
      <c r="A64" s="214"/>
      <c r="B64" s="213"/>
      <c r="C64" s="213"/>
      <c r="D64" s="213"/>
      <c r="E64" s="213"/>
      <c r="F64" s="213"/>
      <c r="G64" s="213"/>
      <c r="H64" s="213"/>
      <c r="I64" s="213"/>
      <c r="J64" s="213"/>
      <c r="K64" s="213"/>
      <c r="L64" s="213"/>
      <c r="M64" s="213"/>
      <c r="N64" s="213"/>
      <c r="O64" s="213"/>
      <c r="P64" s="213"/>
      <c r="Q64" s="213"/>
      <c r="R64" s="213"/>
      <c r="S64" s="213"/>
      <c r="T64" s="213"/>
      <c r="U64" s="213"/>
      <c r="V64" s="213"/>
      <c r="W64" s="213"/>
      <c r="X64" s="213"/>
      <c r="Y64" s="213"/>
      <c r="Z64" s="213"/>
    </row>
    <row r="65" spans="1:26" ht="15">
      <c r="A65" s="215" t="s">
        <v>3849</v>
      </c>
      <c r="B65" s="216"/>
      <c r="C65" s="216"/>
      <c r="D65" s="216"/>
      <c r="E65" s="216"/>
      <c r="F65" s="216"/>
      <c r="G65" s="216"/>
      <c r="H65" s="216"/>
      <c r="I65" s="216"/>
      <c r="J65" s="216"/>
      <c r="K65" s="216"/>
      <c r="L65" s="216"/>
      <c r="M65" s="216"/>
      <c r="N65" s="216"/>
      <c r="O65" s="216"/>
      <c r="P65" s="216"/>
      <c r="Q65" s="216"/>
      <c r="R65" s="216"/>
      <c r="S65" s="216"/>
      <c r="T65" s="216"/>
      <c r="U65" s="216"/>
      <c r="V65" s="216"/>
      <c r="W65" s="216"/>
      <c r="X65" s="216"/>
      <c r="Y65" s="216"/>
      <c r="Z65" s="216"/>
    </row>
    <row r="66" spans="1:26" ht="14.25">
      <c r="A66" s="213"/>
      <c r="B66" s="212" t="s">
        <v>3850</v>
      </c>
      <c r="C66" s="213"/>
      <c r="D66" s="213"/>
      <c r="E66" s="213"/>
      <c r="F66" s="213"/>
      <c r="G66" s="213"/>
      <c r="H66" s="213"/>
      <c r="I66" s="213"/>
      <c r="J66" s="213"/>
      <c r="K66" s="213"/>
      <c r="L66" s="213"/>
      <c r="M66" s="213"/>
      <c r="N66" s="213"/>
      <c r="O66" s="213"/>
      <c r="P66" s="213"/>
      <c r="Q66" s="213"/>
      <c r="R66" s="213"/>
      <c r="S66" s="213"/>
      <c r="T66" s="213"/>
      <c r="U66" s="213"/>
      <c r="V66" s="213"/>
      <c r="W66" s="213"/>
      <c r="X66" s="213"/>
      <c r="Y66" s="213"/>
      <c r="Z66" s="213"/>
    </row>
    <row r="67" spans="1:26" ht="14.25">
      <c r="A67" s="214"/>
      <c r="B67" s="213"/>
      <c r="C67" s="213"/>
      <c r="D67" s="213"/>
      <c r="E67" s="213"/>
      <c r="F67" s="213"/>
      <c r="G67" s="213"/>
      <c r="H67" s="213"/>
      <c r="I67" s="213"/>
      <c r="J67" s="213"/>
      <c r="K67" s="213"/>
      <c r="L67" s="213"/>
      <c r="M67" s="213"/>
      <c r="N67" s="213"/>
      <c r="O67" s="213"/>
      <c r="P67" s="213"/>
      <c r="Q67" s="213"/>
      <c r="R67" s="213"/>
      <c r="S67" s="213"/>
      <c r="T67" s="213"/>
      <c r="U67" s="213"/>
      <c r="V67" s="213"/>
      <c r="W67" s="213"/>
      <c r="X67" s="213"/>
      <c r="Y67" s="213"/>
      <c r="Z67" s="213"/>
    </row>
    <row r="68" spans="1:26" ht="15">
      <c r="A68" s="215" t="s">
        <v>3851</v>
      </c>
      <c r="B68" s="216"/>
      <c r="C68" s="216"/>
      <c r="D68" s="216"/>
      <c r="E68" s="216"/>
      <c r="F68" s="216"/>
      <c r="G68" s="216"/>
      <c r="H68" s="216"/>
      <c r="I68" s="216"/>
      <c r="J68" s="216"/>
      <c r="K68" s="216"/>
      <c r="L68" s="216"/>
      <c r="M68" s="216"/>
      <c r="N68" s="216"/>
      <c r="O68" s="216"/>
      <c r="P68" s="216"/>
      <c r="Q68" s="216"/>
      <c r="R68" s="216"/>
      <c r="S68" s="216"/>
      <c r="T68" s="216"/>
      <c r="U68" s="216"/>
      <c r="V68" s="216"/>
      <c r="W68" s="216"/>
      <c r="X68" s="216"/>
      <c r="Y68" s="216"/>
      <c r="Z68" s="216"/>
    </row>
    <row r="69" spans="1:26" ht="14.25">
      <c r="A69" s="213"/>
      <c r="B69" s="212" t="s">
        <v>3852</v>
      </c>
      <c r="C69" s="213"/>
      <c r="D69" s="213"/>
      <c r="E69" s="213"/>
      <c r="F69" s="213"/>
      <c r="G69" s="213"/>
      <c r="H69" s="213"/>
      <c r="I69" s="213"/>
      <c r="J69" s="213"/>
      <c r="K69" s="213"/>
      <c r="L69" s="213"/>
      <c r="M69" s="213"/>
      <c r="N69" s="213"/>
      <c r="O69" s="213"/>
      <c r="P69" s="213"/>
      <c r="Q69" s="213"/>
      <c r="R69" s="213"/>
      <c r="S69" s="213"/>
      <c r="T69" s="213"/>
      <c r="U69" s="213"/>
      <c r="V69" s="213"/>
      <c r="W69" s="213"/>
      <c r="X69" s="213"/>
      <c r="Y69" s="213"/>
      <c r="Z69" s="213"/>
    </row>
    <row r="70" spans="1:26" ht="14.25">
      <c r="A70" s="213"/>
      <c r="B70" s="212" t="s">
        <v>3853</v>
      </c>
      <c r="C70" s="213"/>
      <c r="D70" s="213"/>
      <c r="E70" s="213"/>
      <c r="F70" s="213"/>
      <c r="G70" s="213"/>
      <c r="H70" s="213"/>
      <c r="I70" s="213"/>
      <c r="J70" s="213"/>
      <c r="K70" s="213"/>
      <c r="L70" s="213"/>
      <c r="M70" s="213"/>
      <c r="N70" s="213"/>
      <c r="O70" s="213"/>
      <c r="P70" s="213"/>
      <c r="Q70" s="213"/>
      <c r="R70" s="213"/>
      <c r="S70" s="213"/>
      <c r="T70" s="213"/>
      <c r="U70" s="213"/>
      <c r="V70" s="213"/>
      <c r="W70" s="213"/>
      <c r="X70" s="213"/>
      <c r="Y70" s="213"/>
      <c r="Z70" s="213"/>
    </row>
    <row r="71" spans="1:26" ht="14.25">
      <c r="A71" s="213"/>
      <c r="B71" s="212" t="s">
        <v>3854</v>
      </c>
      <c r="C71" s="213"/>
      <c r="D71" s="213"/>
      <c r="E71" s="213"/>
      <c r="F71" s="213"/>
      <c r="G71" s="213"/>
      <c r="H71" s="213"/>
      <c r="I71" s="213"/>
      <c r="J71" s="213"/>
      <c r="K71" s="213"/>
      <c r="L71" s="213"/>
      <c r="M71" s="213"/>
      <c r="N71" s="213"/>
      <c r="O71" s="213"/>
      <c r="P71" s="213"/>
      <c r="Q71" s="213"/>
      <c r="R71" s="213"/>
      <c r="S71" s="213"/>
      <c r="T71" s="213"/>
      <c r="U71" s="213"/>
      <c r="V71" s="213"/>
      <c r="W71" s="213"/>
      <c r="X71" s="213"/>
      <c r="Y71" s="213"/>
      <c r="Z71" s="213"/>
    </row>
    <row r="72" spans="1:26" ht="14.25">
      <c r="A72" s="214"/>
      <c r="B72" s="213"/>
      <c r="C72" s="213"/>
      <c r="D72" s="213"/>
      <c r="E72" s="213"/>
      <c r="F72" s="213"/>
      <c r="G72" s="213"/>
      <c r="H72" s="213"/>
      <c r="I72" s="213"/>
      <c r="J72" s="213"/>
      <c r="K72" s="213"/>
      <c r="L72" s="213"/>
      <c r="M72" s="213"/>
      <c r="N72" s="213"/>
      <c r="O72" s="213"/>
      <c r="P72" s="213"/>
      <c r="Q72" s="213"/>
      <c r="R72" s="213"/>
      <c r="S72" s="213"/>
      <c r="T72" s="213"/>
      <c r="U72" s="213"/>
      <c r="V72" s="213"/>
      <c r="W72" s="213"/>
      <c r="X72" s="213"/>
      <c r="Y72" s="213"/>
      <c r="Z72" s="213"/>
    </row>
    <row r="73" spans="1:26" ht="15">
      <c r="A73" s="215" t="s">
        <v>3855</v>
      </c>
      <c r="B73" s="216"/>
      <c r="C73" s="216"/>
      <c r="D73" s="216"/>
      <c r="E73" s="216"/>
      <c r="F73" s="216"/>
      <c r="G73" s="216"/>
      <c r="H73" s="216"/>
      <c r="I73" s="216"/>
      <c r="J73" s="216"/>
      <c r="K73" s="216"/>
      <c r="L73" s="216"/>
      <c r="M73" s="216"/>
      <c r="N73" s="216"/>
      <c r="O73" s="216"/>
      <c r="P73" s="216"/>
      <c r="Q73" s="216"/>
      <c r="R73" s="216"/>
      <c r="S73" s="216"/>
      <c r="T73" s="216"/>
      <c r="U73" s="216"/>
      <c r="V73" s="216"/>
      <c r="W73" s="216"/>
      <c r="X73" s="216"/>
      <c r="Y73" s="216"/>
      <c r="Z73" s="216"/>
    </row>
    <row r="74" spans="1:26" ht="14.25">
      <c r="A74" s="213"/>
      <c r="B74" s="212" t="s">
        <v>3856</v>
      </c>
      <c r="C74" s="213"/>
      <c r="D74" s="213"/>
      <c r="E74" s="213"/>
      <c r="F74" s="213"/>
      <c r="G74" s="213"/>
      <c r="H74" s="213"/>
      <c r="I74" s="213"/>
      <c r="J74" s="213"/>
      <c r="K74" s="213"/>
      <c r="L74" s="213"/>
      <c r="M74" s="213"/>
      <c r="N74" s="213"/>
      <c r="O74" s="213"/>
      <c r="P74" s="213"/>
      <c r="Q74" s="213"/>
      <c r="R74" s="213"/>
      <c r="S74" s="213"/>
      <c r="T74" s="213"/>
      <c r="U74" s="213"/>
      <c r="V74" s="213"/>
      <c r="W74" s="213"/>
      <c r="X74" s="213"/>
      <c r="Y74" s="213"/>
      <c r="Z74" s="213"/>
    </row>
    <row r="75" spans="1:26" ht="14.25">
      <c r="A75" s="213"/>
      <c r="B75" s="212" t="s">
        <v>3857</v>
      </c>
      <c r="C75" s="213"/>
      <c r="D75" s="213"/>
      <c r="E75" s="213"/>
      <c r="F75" s="213"/>
      <c r="G75" s="213"/>
      <c r="H75" s="213"/>
      <c r="I75" s="213"/>
      <c r="J75" s="213"/>
      <c r="K75" s="213"/>
      <c r="L75" s="213"/>
      <c r="M75" s="213"/>
      <c r="N75" s="213"/>
      <c r="O75" s="213"/>
      <c r="P75" s="213"/>
      <c r="Q75" s="213"/>
      <c r="R75" s="213"/>
      <c r="S75" s="213"/>
      <c r="T75" s="213"/>
      <c r="U75" s="213"/>
      <c r="V75" s="213"/>
      <c r="W75" s="213"/>
      <c r="X75" s="213"/>
      <c r="Y75" s="213"/>
      <c r="Z75" s="213"/>
    </row>
    <row r="76" spans="1:26" ht="14.25">
      <c r="A76" s="213"/>
      <c r="B76" s="212" t="s">
        <v>3858</v>
      </c>
      <c r="C76" s="213"/>
      <c r="D76" s="213"/>
      <c r="E76" s="213"/>
      <c r="F76" s="213"/>
      <c r="G76" s="213"/>
      <c r="H76" s="213"/>
      <c r="I76" s="213"/>
      <c r="J76" s="213"/>
      <c r="K76" s="213"/>
      <c r="L76" s="213"/>
      <c r="M76" s="213"/>
      <c r="N76" s="213"/>
      <c r="O76" s="213"/>
      <c r="P76" s="213"/>
      <c r="Q76" s="213"/>
      <c r="R76" s="213"/>
      <c r="S76" s="213"/>
      <c r="T76" s="213"/>
      <c r="U76" s="213"/>
      <c r="V76" s="213"/>
      <c r="W76" s="213"/>
      <c r="X76" s="213"/>
      <c r="Y76" s="213"/>
      <c r="Z76" s="213"/>
    </row>
    <row r="77" spans="1:26" ht="14.25">
      <c r="A77" s="213"/>
      <c r="B77" s="212" t="s">
        <v>3859</v>
      </c>
      <c r="C77" s="213"/>
      <c r="D77" s="213"/>
      <c r="E77" s="213"/>
      <c r="F77" s="213"/>
      <c r="G77" s="213"/>
      <c r="H77" s="213"/>
      <c r="I77" s="213"/>
      <c r="J77" s="213"/>
      <c r="K77" s="213"/>
      <c r="L77" s="213"/>
      <c r="M77" s="213"/>
      <c r="N77" s="213"/>
      <c r="O77" s="213"/>
      <c r="P77" s="213"/>
      <c r="Q77" s="213"/>
      <c r="R77" s="213"/>
      <c r="S77" s="213"/>
      <c r="T77" s="213"/>
      <c r="U77" s="213"/>
      <c r="V77" s="213"/>
      <c r="W77" s="213"/>
      <c r="X77" s="213"/>
      <c r="Y77" s="213"/>
      <c r="Z77" s="213"/>
    </row>
    <row r="78" spans="1:26" ht="14.25">
      <c r="A78" s="213"/>
      <c r="B78" s="212" t="s">
        <v>3860</v>
      </c>
      <c r="C78" s="213"/>
      <c r="D78" s="213"/>
      <c r="E78" s="213"/>
      <c r="F78" s="213"/>
      <c r="G78" s="213"/>
      <c r="H78" s="213"/>
      <c r="I78" s="213"/>
      <c r="J78" s="213"/>
      <c r="K78" s="213"/>
      <c r="L78" s="213"/>
      <c r="M78" s="213"/>
      <c r="N78" s="213"/>
      <c r="O78" s="213"/>
      <c r="P78" s="213"/>
      <c r="Q78" s="213"/>
      <c r="R78" s="213"/>
      <c r="S78" s="213"/>
      <c r="T78" s="213"/>
      <c r="U78" s="213"/>
      <c r="V78" s="213"/>
      <c r="W78" s="213"/>
      <c r="X78" s="213"/>
      <c r="Y78" s="213"/>
      <c r="Z78" s="213"/>
    </row>
    <row r="79" spans="1:26" ht="14.25">
      <c r="A79" s="214"/>
      <c r="B79" s="213"/>
      <c r="C79" s="213"/>
      <c r="D79" s="213"/>
      <c r="E79" s="213"/>
      <c r="F79" s="213"/>
      <c r="G79" s="213"/>
      <c r="H79" s="213"/>
      <c r="I79" s="213"/>
      <c r="J79" s="213"/>
      <c r="K79" s="213"/>
      <c r="L79" s="213"/>
      <c r="M79" s="213"/>
      <c r="N79" s="213"/>
      <c r="O79" s="213"/>
      <c r="P79" s="213"/>
      <c r="Q79" s="213"/>
      <c r="R79" s="213"/>
      <c r="S79" s="213"/>
      <c r="T79" s="213"/>
      <c r="U79" s="213"/>
      <c r="V79" s="213"/>
      <c r="W79" s="213"/>
      <c r="X79" s="213"/>
      <c r="Y79" s="213"/>
      <c r="Z79" s="213"/>
    </row>
    <row r="80" spans="1:26" ht="15">
      <c r="A80" s="220" t="s">
        <v>3861</v>
      </c>
      <c r="B80" s="213"/>
      <c r="C80" s="213"/>
      <c r="D80" s="213"/>
      <c r="E80" s="213"/>
      <c r="F80" s="213"/>
      <c r="G80" s="213"/>
      <c r="H80" s="213"/>
      <c r="I80" s="213"/>
      <c r="J80" s="213"/>
      <c r="K80" s="213"/>
      <c r="L80" s="213"/>
      <c r="M80" s="213"/>
      <c r="N80" s="213"/>
      <c r="O80" s="213"/>
      <c r="P80" s="213"/>
      <c r="Q80" s="213"/>
      <c r="R80" s="213"/>
      <c r="S80" s="213"/>
      <c r="T80" s="213"/>
      <c r="U80" s="213"/>
      <c r="V80" s="213"/>
      <c r="W80" s="213"/>
      <c r="X80" s="213"/>
      <c r="Y80" s="213"/>
      <c r="Z80" s="213"/>
    </row>
    <row r="81" spans="1:26" ht="14.25">
      <c r="A81" s="213"/>
      <c r="B81" s="217" t="s">
        <v>3862</v>
      </c>
      <c r="C81" s="213"/>
      <c r="D81" s="213"/>
      <c r="E81" s="213"/>
      <c r="F81" s="213"/>
      <c r="G81" s="213"/>
      <c r="H81" s="213"/>
      <c r="I81" s="213"/>
      <c r="J81" s="213"/>
      <c r="K81" s="213"/>
      <c r="L81" s="213"/>
      <c r="M81" s="213"/>
      <c r="N81" s="213"/>
      <c r="O81" s="213"/>
      <c r="P81" s="213"/>
      <c r="Q81" s="213"/>
      <c r="R81" s="213"/>
      <c r="S81" s="213"/>
      <c r="T81" s="213"/>
      <c r="U81" s="213"/>
      <c r="V81" s="213"/>
      <c r="W81" s="213"/>
      <c r="X81" s="213"/>
      <c r="Y81" s="213"/>
      <c r="Z81" s="213"/>
    </row>
    <row r="82" spans="1:26" ht="14.25">
      <c r="A82" s="213"/>
      <c r="B82" s="217" t="s">
        <v>3863</v>
      </c>
      <c r="C82" s="213"/>
      <c r="D82" s="213"/>
      <c r="E82" s="213"/>
      <c r="F82" s="213"/>
      <c r="G82" s="213"/>
      <c r="H82" s="213"/>
      <c r="I82" s="213"/>
      <c r="J82" s="213"/>
      <c r="K82" s="213"/>
      <c r="L82" s="213"/>
      <c r="M82" s="213"/>
      <c r="N82" s="213"/>
      <c r="O82" s="213"/>
      <c r="P82" s="213"/>
      <c r="Q82" s="213"/>
      <c r="R82" s="213"/>
      <c r="S82" s="213"/>
      <c r="T82" s="213"/>
      <c r="U82" s="213"/>
      <c r="V82" s="213"/>
      <c r="W82" s="213"/>
      <c r="X82" s="213"/>
      <c r="Y82" s="213"/>
      <c r="Z82" s="213"/>
    </row>
    <row r="83" spans="1:26" ht="14.25">
      <c r="A83" s="213"/>
      <c r="B83" s="217" t="s">
        <v>3864</v>
      </c>
      <c r="C83" s="213"/>
      <c r="D83" s="213"/>
      <c r="E83" s="213"/>
      <c r="F83" s="213"/>
      <c r="G83" s="213"/>
      <c r="H83" s="213"/>
      <c r="I83" s="213"/>
      <c r="J83" s="213"/>
      <c r="K83" s="213"/>
      <c r="L83" s="213"/>
      <c r="M83" s="213"/>
      <c r="N83" s="213"/>
      <c r="O83" s="213"/>
      <c r="P83" s="213"/>
      <c r="Q83" s="213"/>
      <c r="R83" s="213"/>
      <c r="S83" s="213"/>
      <c r="T83" s="213"/>
      <c r="U83" s="213"/>
      <c r="V83" s="213"/>
      <c r="W83" s="213"/>
      <c r="X83" s="213"/>
      <c r="Y83" s="213"/>
      <c r="Z83" s="213"/>
    </row>
    <row r="84" spans="1:26" ht="14.25">
      <c r="A84" s="213"/>
      <c r="B84" s="213"/>
      <c r="C84" s="213"/>
      <c r="D84" s="213"/>
      <c r="E84" s="213"/>
      <c r="F84" s="213"/>
      <c r="G84" s="213"/>
      <c r="H84" s="213"/>
      <c r="I84" s="213"/>
      <c r="J84" s="213"/>
      <c r="K84" s="213"/>
      <c r="L84" s="213"/>
      <c r="M84" s="213"/>
      <c r="N84" s="213"/>
      <c r="O84" s="213"/>
      <c r="P84" s="213"/>
      <c r="Q84" s="213"/>
      <c r="R84" s="213"/>
      <c r="S84" s="213"/>
      <c r="T84" s="213"/>
      <c r="U84" s="213"/>
      <c r="V84" s="213"/>
      <c r="W84" s="213"/>
      <c r="X84" s="213"/>
      <c r="Y84" s="213"/>
      <c r="Z84" s="213"/>
    </row>
    <row r="85" spans="1:26" ht="15">
      <c r="A85" s="220" t="s">
        <v>3865</v>
      </c>
      <c r="B85" s="213"/>
      <c r="C85" s="213"/>
      <c r="D85" s="213"/>
      <c r="E85" s="213"/>
      <c r="F85" s="213"/>
      <c r="G85" s="213"/>
      <c r="H85" s="213"/>
      <c r="I85" s="213"/>
      <c r="J85" s="213"/>
      <c r="K85" s="213"/>
      <c r="L85" s="213"/>
      <c r="M85" s="213"/>
      <c r="N85" s="213"/>
      <c r="O85" s="213"/>
      <c r="P85" s="213"/>
      <c r="Q85" s="213"/>
      <c r="R85" s="213"/>
      <c r="S85" s="213"/>
      <c r="T85" s="213"/>
      <c r="U85" s="213"/>
      <c r="V85" s="213"/>
      <c r="W85" s="213"/>
      <c r="X85" s="213"/>
      <c r="Y85" s="213"/>
      <c r="Z85" s="213"/>
    </row>
    <row r="86" spans="1:26" ht="14.25">
      <c r="A86" s="213"/>
      <c r="B86" s="217" t="s">
        <v>3866</v>
      </c>
      <c r="C86" s="213"/>
      <c r="D86" s="213"/>
      <c r="E86" s="213"/>
      <c r="F86" s="213"/>
      <c r="G86" s="213"/>
      <c r="H86" s="213"/>
      <c r="I86" s="213"/>
      <c r="J86" s="213"/>
      <c r="K86" s="213"/>
      <c r="L86" s="213"/>
      <c r="M86" s="213"/>
      <c r="N86" s="213"/>
      <c r="O86" s="213"/>
      <c r="P86" s="213"/>
      <c r="Q86" s="213"/>
      <c r="R86" s="213"/>
      <c r="S86" s="213"/>
      <c r="T86" s="213"/>
      <c r="U86" s="213"/>
      <c r="V86" s="213"/>
      <c r="W86" s="213"/>
      <c r="X86" s="213"/>
      <c r="Y86" s="213"/>
      <c r="Z86" s="213"/>
    </row>
    <row r="87" spans="1:26" ht="14.25">
      <c r="A87" s="213"/>
      <c r="B87" s="213"/>
      <c r="C87" s="213"/>
      <c r="D87" s="213"/>
      <c r="E87" s="213"/>
      <c r="F87" s="213"/>
      <c r="G87" s="213"/>
      <c r="H87" s="213"/>
      <c r="I87" s="213"/>
      <c r="J87" s="213"/>
      <c r="K87" s="213"/>
      <c r="L87" s="213"/>
      <c r="M87" s="213"/>
      <c r="N87" s="213"/>
      <c r="O87" s="213"/>
      <c r="P87" s="213"/>
      <c r="Q87" s="213"/>
      <c r="R87" s="213"/>
      <c r="S87" s="213"/>
      <c r="T87" s="213"/>
      <c r="U87" s="213"/>
      <c r="V87" s="213"/>
      <c r="W87" s="213"/>
      <c r="X87" s="213"/>
      <c r="Y87" s="213"/>
      <c r="Z87" s="213"/>
    </row>
    <row r="88" spans="1:26" ht="15">
      <c r="A88" s="220" t="s">
        <v>3867</v>
      </c>
      <c r="B88" s="213"/>
      <c r="C88" s="213"/>
      <c r="D88" s="213"/>
      <c r="E88" s="213"/>
      <c r="F88" s="213"/>
      <c r="G88" s="213"/>
      <c r="H88" s="213"/>
      <c r="I88" s="213"/>
      <c r="J88" s="213"/>
      <c r="K88" s="213"/>
      <c r="L88" s="213"/>
      <c r="M88" s="213"/>
      <c r="N88" s="213"/>
      <c r="O88" s="213"/>
      <c r="P88" s="213"/>
      <c r="Q88" s="213"/>
      <c r="R88" s="213"/>
      <c r="S88" s="213"/>
      <c r="T88" s="213"/>
      <c r="U88" s="213"/>
      <c r="V88" s="213"/>
      <c r="W88" s="213"/>
      <c r="X88" s="213"/>
      <c r="Y88" s="213"/>
      <c r="Z88" s="213"/>
    </row>
    <row r="89" spans="1:26" ht="14.25">
      <c r="A89" s="213"/>
      <c r="B89" s="217" t="s">
        <v>3868</v>
      </c>
      <c r="C89" s="213"/>
      <c r="D89" s="217" t="s">
        <v>3869</v>
      </c>
      <c r="E89" s="213"/>
      <c r="F89" s="213"/>
      <c r="G89" s="213"/>
      <c r="H89" s="213"/>
      <c r="I89" s="213"/>
      <c r="J89" s="213"/>
      <c r="K89" s="213"/>
      <c r="L89" s="213"/>
      <c r="M89" s="213"/>
      <c r="N89" s="213"/>
      <c r="O89" s="213"/>
      <c r="P89" s="213"/>
      <c r="Q89" s="213"/>
      <c r="R89" s="213"/>
      <c r="S89" s="213"/>
      <c r="T89" s="213"/>
      <c r="U89" s="213"/>
      <c r="V89" s="213"/>
      <c r="W89" s="213"/>
      <c r="X89" s="213"/>
    </row>
    <row r="90" spans="1:26" ht="14.25">
      <c r="A90" s="213"/>
      <c r="B90" s="217" t="s">
        <v>3870</v>
      </c>
      <c r="C90" s="213"/>
      <c r="D90" s="213"/>
      <c r="E90" s="213"/>
      <c r="F90" s="213"/>
      <c r="G90" s="213"/>
      <c r="H90" s="213"/>
      <c r="I90" s="213"/>
      <c r="J90" s="213"/>
      <c r="K90" s="213"/>
      <c r="L90" s="213"/>
      <c r="M90" s="213"/>
      <c r="N90" s="213"/>
      <c r="O90" s="213"/>
      <c r="P90" s="213"/>
      <c r="Q90" s="213"/>
      <c r="R90" s="213"/>
      <c r="S90" s="213"/>
      <c r="T90" s="213"/>
      <c r="U90" s="213"/>
      <c r="V90" s="213"/>
      <c r="W90" s="213"/>
      <c r="X90" s="213"/>
      <c r="Y90" s="213"/>
      <c r="Z90" s="213"/>
    </row>
    <row r="91" spans="1:26" ht="14.25">
      <c r="A91" s="213"/>
      <c r="B91" s="217" t="s">
        <v>3871</v>
      </c>
      <c r="C91" s="213"/>
      <c r="D91" s="213"/>
      <c r="E91" s="213"/>
      <c r="F91" s="213"/>
      <c r="G91" s="213"/>
      <c r="H91" s="213"/>
      <c r="I91" s="213"/>
      <c r="J91" s="213"/>
      <c r="K91" s="213"/>
      <c r="L91" s="213"/>
      <c r="M91" s="213"/>
      <c r="N91" s="213"/>
      <c r="O91" s="213"/>
      <c r="P91" s="213"/>
      <c r="Q91" s="213"/>
      <c r="R91" s="213"/>
      <c r="S91" s="213"/>
      <c r="T91" s="213"/>
      <c r="U91" s="213"/>
      <c r="V91" s="213"/>
      <c r="W91" s="213"/>
      <c r="X91" s="213"/>
      <c r="Y91" s="213"/>
      <c r="Z91" s="213"/>
    </row>
    <row r="92" spans="1:26" ht="14.25">
      <c r="A92" s="213"/>
      <c r="B92" s="213"/>
      <c r="C92" s="213"/>
      <c r="D92" s="213"/>
      <c r="E92" s="213"/>
      <c r="F92" s="213"/>
      <c r="G92" s="213"/>
      <c r="H92" s="213"/>
      <c r="I92" s="213"/>
      <c r="J92" s="213"/>
      <c r="K92" s="213"/>
      <c r="L92" s="213"/>
      <c r="M92" s="213"/>
      <c r="N92" s="213"/>
      <c r="O92" s="213"/>
      <c r="P92" s="213"/>
      <c r="Q92" s="213"/>
      <c r="R92" s="213"/>
      <c r="S92" s="213"/>
      <c r="T92" s="213"/>
      <c r="U92" s="213"/>
      <c r="V92" s="213"/>
      <c r="W92" s="213"/>
      <c r="X92" s="213"/>
      <c r="Y92" s="213"/>
      <c r="Z92" s="213"/>
    </row>
    <row r="93" spans="1:26" ht="14.25">
      <c r="A93" s="213"/>
      <c r="B93" s="213"/>
      <c r="C93" s="213"/>
      <c r="D93" s="213"/>
      <c r="E93" s="213"/>
      <c r="F93" s="213"/>
      <c r="G93" s="213"/>
      <c r="H93" s="213"/>
      <c r="I93" s="213"/>
      <c r="J93" s="213"/>
      <c r="K93" s="213"/>
      <c r="L93" s="213"/>
      <c r="M93" s="213"/>
      <c r="N93" s="213"/>
      <c r="O93" s="213"/>
      <c r="P93" s="213"/>
      <c r="Q93" s="213"/>
      <c r="R93" s="213"/>
      <c r="S93" s="213"/>
      <c r="T93" s="213"/>
      <c r="U93" s="213"/>
      <c r="V93" s="213"/>
      <c r="W93" s="213"/>
      <c r="X93" s="213"/>
      <c r="Y93" s="213"/>
      <c r="Z93" s="213"/>
    </row>
    <row r="94" spans="1:26" ht="14.25">
      <c r="A94" s="213"/>
      <c r="B94" s="213"/>
      <c r="C94" s="213"/>
      <c r="D94" s="213"/>
      <c r="E94" s="213"/>
      <c r="F94" s="213"/>
      <c r="G94" s="213"/>
      <c r="H94" s="213"/>
      <c r="I94" s="213"/>
      <c r="J94" s="213"/>
      <c r="K94" s="213"/>
      <c r="L94" s="213"/>
      <c r="M94" s="213"/>
      <c r="N94" s="213"/>
      <c r="O94" s="213"/>
      <c r="P94" s="213"/>
      <c r="Q94" s="213"/>
      <c r="R94" s="213"/>
      <c r="S94" s="213"/>
      <c r="T94" s="213"/>
      <c r="U94" s="213"/>
      <c r="V94" s="213"/>
      <c r="W94" s="213"/>
      <c r="X94" s="213"/>
      <c r="Y94" s="213"/>
      <c r="Z94" s="213"/>
    </row>
    <row r="95" spans="1:26" ht="14.25">
      <c r="A95" s="213"/>
      <c r="B95" s="213"/>
      <c r="C95" s="213"/>
      <c r="D95" s="213"/>
      <c r="E95" s="213"/>
      <c r="F95" s="213"/>
      <c r="G95" s="213"/>
      <c r="H95" s="213"/>
      <c r="I95" s="213"/>
      <c r="J95" s="213"/>
      <c r="K95" s="213"/>
      <c r="L95" s="213"/>
      <c r="M95" s="213"/>
      <c r="N95" s="213"/>
      <c r="O95" s="213"/>
      <c r="P95" s="213"/>
      <c r="Q95" s="213"/>
      <c r="R95" s="213"/>
      <c r="S95" s="213"/>
      <c r="T95" s="213"/>
      <c r="U95" s="213"/>
      <c r="V95" s="213"/>
      <c r="W95" s="213"/>
      <c r="X95" s="213"/>
      <c r="Y95" s="213"/>
      <c r="Z95" s="213"/>
    </row>
    <row r="96" spans="1:26" ht="14.25">
      <c r="A96" s="213"/>
      <c r="B96" s="213"/>
      <c r="C96" s="213"/>
      <c r="D96" s="213"/>
      <c r="E96" s="213"/>
      <c r="F96" s="213"/>
      <c r="G96" s="213"/>
      <c r="H96" s="213"/>
      <c r="I96" s="213"/>
      <c r="J96" s="213"/>
      <c r="K96" s="213"/>
      <c r="L96" s="213"/>
      <c r="M96" s="213"/>
      <c r="N96" s="213"/>
      <c r="O96" s="213"/>
      <c r="P96" s="213"/>
      <c r="Q96" s="213"/>
      <c r="R96" s="213"/>
      <c r="S96" s="213"/>
      <c r="T96" s="213"/>
      <c r="U96" s="213"/>
      <c r="V96" s="213"/>
      <c r="W96" s="213"/>
      <c r="X96" s="213"/>
      <c r="Y96" s="213"/>
      <c r="Z96" s="213"/>
    </row>
    <row r="97" spans="1:26" ht="14.25">
      <c r="A97" s="213"/>
      <c r="B97" s="213"/>
      <c r="C97" s="213"/>
      <c r="D97" s="213"/>
      <c r="E97" s="213"/>
      <c r="F97" s="213"/>
      <c r="G97" s="213"/>
      <c r="H97" s="213"/>
      <c r="I97" s="213"/>
      <c r="J97" s="213"/>
      <c r="K97" s="213"/>
      <c r="L97" s="213"/>
      <c r="M97" s="213"/>
      <c r="N97" s="213"/>
      <c r="O97" s="213"/>
      <c r="P97" s="213"/>
      <c r="Q97" s="213"/>
      <c r="R97" s="213"/>
      <c r="S97" s="213"/>
      <c r="T97" s="213"/>
      <c r="U97" s="213"/>
      <c r="V97" s="213"/>
      <c r="W97" s="213"/>
      <c r="X97" s="213"/>
      <c r="Y97" s="213"/>
      <c r="Z97" s="213"/>
    </row>
    <row r="98" spans="1:26" ht="14.25">
      <c r="A98" s="213"/>
      <c r="B98" s="213"/>
      <c r="C98" s="213"/>
      <c r="D98" s="213"/>
      <c r="E98" s="213"/>
      <c r="F98" s="213"/>
      <c r="G98" s="213"/>
      <c r="H98" s="213"/>
      <c r="I98" s="213"/>
      <c r="J98" s="213"/>
      <c r="K98" s="213"/>
      <c r="L98" s="213"/>
      <c r="M98" s="213"/>
      <c r="N98" s="213"/>
      <c r="O98" s="213"/>
      <c r="P98" s="213"/>
      <c r="Q98" s="213"/>
      <c r="R98" s="213"/>
      <c r="S98" s="213"/>
      <c r="T98" s="213"/>
      <c r="U98" s="213"/>
      <c r="V98" s="213"/>
      <c r="W98" s="213"/>
      <c r="X98" s="213"/>
      <c r="Y98" s="213"/>
      <c r="Z98" s="213"/>
    </row>
    <row r="99" spans="1:26" ht="14.25">
      <c r="A99" s="213"/>
      <c r="B99" s="213"/>
      <c r="C99" s="213"/>
      <c r="D99" s="213"/>
      <c r="E99" s="213"/>
      <c r="F99" s="213"/>
      <c r="G99" s="213"/>
      <c r="H99" s="213"/>
      <c r="I99" s="213"/>
      <c r="J99" s="213"/>
      <c r="K99" s="213"/>
      <c r="L99" s="213"/>
      <c r="M99" s="213"/>
      <c r="N99" s="213"/>
      <c r="O99" s="213"/>
      <c r="P99" s="213"/>
      <c r="Q99" s="213"/>
      <c r="R99" s="213"/>
      <c r="S99" s="213"/>
      <c r="T99" s="213"/>
      <c r="U99" s="213"/>
      <c r="V99" s="213"/>
      <c r="W99" s="213"/>
      <c r="X99" s="213"/>
      <c r="Y99" s="213"/>
      <c r="Z99" s="213"/>
    </row>
    <row r="100" spans="1:26" ht="14.25">
      <c r="A100" s="213"/>
      <c r="B100" s="213"/>
      <c r="C100" s="213"/>
      <c r="D100" s="213"/>
      <c r="E100" s="213"/>
      <c r="F100" s="213"/>
      <c r="G100" s="213"/>
      <c r="H100" s="213"/>
      <c r="I100" s="213"/>
      <c r="J100" s="213"/>
      <c r="K100" s="213"/>
      <c r="L100" s="213"/>
      <c r="M100" s="213"/>
      <c r="N100" s="213"/>
      <c r="O100" s="213"/>
      <c r="P100" s="213"/>
      <c r="Q100" s="213"/>
      <c r="R100" s="213"/>
      <c r="S100" s="213"/>
      <c r="T100" s="213"/>
      <c r="U100" s="213"/>
      <c r="V100" s="213"/>
      <c r="W100" s="213"/>
      <c r="X100" s="213"/>
      <c r="Y100" s="213"/>
      <c r="Z100" s="213"/>
    </row>
    <row r="101" spans="1:26" ht="14.25">
      <c r="A101" s="213"/>
      <c r="B101" s="213"/>
      <c r="C101" s="213"/>
      <c r="D101" s="213"/>
      <c r="E101" s="213"/>
      <c r="F101" s="213"/>
      <c r="G101" s="213"/>
      <c r="H101" s="213"/>
      <c r="I101" s="213"/>
      <c r="J101" s="213"/>
      <c r="K101" s="213"/>
      <c r="L101" s="213"/>
      <c r="M101" s="213"/>
      <c r="N101" s="213"/>
      <c r="O101" s="213"/>
      <c r="P101" s="213"/>
      <c r="Q101" s="213"/>
      <c r="R101" s="213"/>
      <c r="S101" s="213"/>
      <c r="T101" s="213"/>
      <c r="U101" s="213"/>
      <c r="V101" s="213"/>
      <c r="W101" s="213"/>
      <c r="X101" s="213"/>
      <c r="Y101" s="213"/>
      <c r="Z101" s="213"/>
    </row>
    <row r="102" spans="1:26" ht="14.25">
      <c r="A102" s="213"/>
      <c r="B102" s="213"/>
      <c r="C102" s="213"/>
      <c r="D102" s="213"/>
      <c r="E102" s="213"/>
      <c r="F102" s="213"/>
      <c r="G102" s="213"/>
      <c r="H102" s="213"/>
      <c r="I102" s="213"/>
      <c r="J102" s="213"/>
      <c r="K102" s="213"/>
      <c r="L102" s="213"/>
      <c r="M102" s="213"/>
      <c r="N102" s="213"/>
      <c r="O102" s="213"/>
      <c r="P102" s="213"/>
      <c r="Q102" s="213"/>
      <c r="R102" s="213"/>
      <c r="S102" s="213"/>
      <c r="T102" s="213"/>
      <c r="U102" s="213"/>
      <c r="V102" s="213"/>
      <c r="W102" s="213"/>
      <c r="X102" s="213"/>
      <c r="Y102" s="213"/>
      <c r="Z102" s="213"/>
    </row>
    <row r="103" spans="1:26" ht="14.25">
      <c r="A103" s="213"/>
      <c r="B103" s="213"/>
      <c r="C103" s="213"/>
      <c r="D103" s="213"/>
      <c r="E103" s="213"/>
      <c r="F103" s="213"/>
      <c r="G103" s="213"/>
      <c r="H103" s="213"/>
      <c r="I103" s="213"/>
      <c r="J103" s="213"/>
      <c r="K103" s="213"/>
      <c r="L103" s="213"/>
      <c r="M103" s="213"/>
      <c r="N103" s="213"/>
      <c r="O103" s="213"/>
      <c r="P103" s="213"/>
      <c r="Q103" s="213"/>
      <c r="R103" s="213"/>
      <c r="S103" s="213"/>
      <c r="T103" s="213"/>
      <c r="U103" s="213"/>
      <c r="V103" s="213"/>
      <c r="W103" s="213"/>
      <c r="X103" s="213"/>
      <c r="Y103" s="213"/>
      <c r="Z103" s="213"/>
    </row>
    <row r="104" spans="1:26" ht="14.25">
      <c r="A104" s="213"/>
      <c r="B104" s="213"/>
      <c r="C104" s="213"/>
      <c r="D104" s="213"/>
      <c r="E104" s="213"/>
      <c r="F104" s="213"/>
      <c r="G104" s="213"/>
      <c r="H104" s="213"/>
      <c r="I104" s="213"/>
      <c r="J104" s="213"/>
      <c r="K104" s="213"/>
      <c r="L104" s="213"/>
      <c r="M104" s="213"/>
      <c r="N104" s="213"/>
      <c r="O104" s="213"/>
      <c r="P104" s="213"/>
      <c r="Q104" s="213"/>
      <c r="R104" s="213"/>
      <c r="S104" s="213"/>
      <c r="T104" s="213"/>
      <c r="U104" s="213"/>
      <c r="V104" s="213"/>
      <c r="W104" s="213"/>
      <c r="X104" s="213"/>
      <c r="Y104" s="213"/>
      <c r="Z104" s="213"/>
    </row>
    <row r="105" spans="1:26" ht="14.25">
      <c r="A105" s="213"/>
      <c r="B105" s="213"/>
      <c r="C105" s="213"/>
      <c r="D105" s="213"/>
      <c r="E105" s="213"/>
      <c r="F105" s="213"/>
      <c r="G105" s="213"/>
      <c r="H105" s="213"/>
      <c r="I105" s="213"/>
      <c r="J105" s="213"/>
      <c r="K105" s="213"/>
      <c r="L105" s="213"/>
      <c r="M105" s="213"/>
      <c r="N105" s="213"/>
      <c r="O105" s="213"/>
      <c r="P105" s="213"/>
      <c r="Q105" s="213"/>
      <c r="R105" s="213"/>
      <c r="S105" s="213"/>
      <c r="T105" s="213"/>
      <c r="U105" s="213"/>
      <c r="V105" s="213"/>
      <c r="W105" s="213"/>
      <c r="X105" s="213"/>
      <c r="Y105" s="213"/>
      <c r="Z105" s="213"/>
    </row>
    <row r="106" spans="1:26" ht="14.25">
      <c r="A106" s="213"/>
      <c r="B106" s="213"/>
      <c r="C106" s="213"/>
      <c r="D106" s="213"/>
      <c r="E106" s="213"/>
      <c r="F106" s="213"/>
      <c r="G106" s="213"/>
      <c r="H106" s="213"/>
      <c r="I106" s="213"/>
      <c r="J106" s="213"/>
      <c r="K106" s="213"/>
      <c r="L106" s="213"/>
      <c r="M106" s="213"/>
      <c r="N106" s="213"/>
      <c r="O106" s="213"/>
      <c r="P106" s="213"/>
      <c r="Q106" s="213"/>
      <c r="R106" s="213"/>
      <c r="S106" s="213"/>
      <c r="T106" s="213"/>
      <c r="U106" s="213"/>
      <c r="V106" s="213"/>
      <c r="W106" s="213"/>
      <c r="X106" s="213"/>
      <c r="Y106" s="213"/>
      <c r="Z106" s="213"/>
    </row>
    <row r="107" spans="1:26" ht="14.25">
      <c r="A107" s="213"/>
      <c r="B107" s="213"/>
      <c r="C107" s="213"/>
      <c r="D107" s="213"/>
      <c r="E107" s="213"/>
      <c r="F107" s="213"/>
      <c r="G107" s="213"/>
      <c r="H107" s="213"/>
      <c r="I107" s="213"/>
      <c r="J107" s="213"/>
      <c r="K107" s="213"/>
      <c r="L107" s="213"/>
      <c r="M107" s="213"/>
      <c r="N107" s="213"/>
      <c r="O107" s="213"/>
      <c r="P107" s="213"/>
      <c r="Q107" s="213"/>
      <c r="R107" s="213"/>
      <c r="S107" s="213"/>
      <c r="T107" s="213"/>
      <c r="U107" s="213"/>
      <c r="V107" s="213"/>
      <c r="W107" s="213"/>
      <c r="X107" s="213"/>
      <c r="Y107" s="213"/>
      <c r="Z107" s="213"/>
    </row>
    <row r="108" spans="1:26" ht="14.25">
      <c r="A108" s="213"/>
      <c r="B108" s="213"/>
      <c r="C108" s="213"/>
      <c r="D108" s="213"/>
      <c r="E108" s="213"/>
      <c r="F108" s="213"/>
      <c r="G108" s="213"/>
      <c r="H108" s="213"/>
      <c r="I108" s="213"/>
      <c r="J108" s="213"/>
      <c r="K108" s="213"/>
      <c r="L108" s="213"/>
      <c r="M108" s="213"/>
      <c r="N108" s="213"/>
      <c r="O108" s="213"/>
      <c r="P108" s="213"/>
      <c r="Q108" s="213"/>
      <c r="R108" s="213"/>
      <c r="S108" s="213"/>
      <c r="T108" s="213"/>
      <c r="U108" s="213"/>
      <c r="V108" s="213"/>
      <c r="W108" s="213"/>
      <c r="X108" s="213"/>
      <c r="Y108" s="213"/>
      <c r="Z108" s="213"/>
    </row>
    <row r="109" spans="1:26" ht="14.25">
      <c r="A109" s="213"/>
      <c r="B109" s="213"/>
      <c r="C109" s="213"/>
      <c r="D109" s="213"/>
      <c r="E109" s="213"/>
      <c r="F109" s="213"/>
      <c r="G109" s="213"/>
      <c r="H109" s="213"/>
      <c r="I109" s="213"/>
      <c r="J109" s="213"/>
      <c r="K109" s="213"/>
      <c r="L109" s="213"/>
      <c r="M109" s="213"/>
      <c r="N109" s="213"/>
      <c r="O109" s="213"/>
      <c r="P109" s="213"/>
      <c r="Q109" s="213"/>
      <c r="R109" s="213"/>
      <c r="S109" s="213"/>
      <c r="T109" s="213"/>
      <c r="U109" s="213"/>
      <c r="V109" s="213"/>
      <c r="W109" s="213"/>
      <c r="X109" s="213"/>
      <c r="Y109" s="213"/>
      <c r="Z109" s="213"/>
    </row>
    <row r="110" spans="1:26" ht="14.25">
      <c r="A110" s="213"/>
      <c r="B110" s="213"/>
      <c r="C110" s="213"/>
      <c r="D110" s="213"/>
      <c r="E110" s="213"/>
      <c r="F110" s="213"/>
      <c r="G110" s="213"/>
      <c r="H110" s="213"/>
      <c r="I110" s="213"/>
      <c r="J110" s="213"/>
      <c r="K110" s="213"/>
      <c r="L110" s="213"/>
      <c r="M110" s="213"/>
      <c r="N110" s="213"/>
      <c r="O110" s="213"/>
      <c r="P110" s="213"/>
      <c r="Q110" s="213"/>
      <c r="R110" s="213"/>
      <c r="S110" s="213"/>
      <c r="T110" s="213"/>
      <c r="U110" s="213"/>
      <c r="V110" s="213"/>
      <c r="W110" s="213"/>
      <c r="X110" s="213"/>
      <c r="Y110" s="213"/>
      <c r="Z110" s="213"/>
    </row>
    <row r="111" spans="1:26" ht="14.25">
      <c r="A111" s="213"/>
      <c r="B111" s="213"/>
      <c r="C111" s="213"/>
      <c r="D111" s="213"/>
      <c r="E111" s="213"/>
      <c r="F111" s="213"/>
      <c r="G111" s="213"/>
      <c r="H111" s="213"/>
      <c r="I111" s="213"/>
      <c r="J111" s="213"/>
      <c r="K111" s="213"/>
      <c r="L111" s="213"/>
      <c r="M111" s="213"/>
      <c r="N111" s="213"/>
      <c r="O111" s="213"/>
      <c r="P111" s="213"/>
      <c r="Q111" s="213"/>
      <c r="R111" s="213"/>
      <c r="S111" s="213"/>
      <c r="T111" s="213"/>
      <c r="U111" s="213"/>
      <c r="V111" s="213"/>
      <c r="W111" s="213"/>
      <c r="X111" s="213"/>
      <c r="Y111" s="213"/>
      <c r="Z111" s="213"/>
    </row>
    <row r="112" spans="1:26" ht="14.25">
      <c r="A112" s="213"/>
      <c r="B112" s="213"/>
      <c r="C112" s="213"/>
      <c r="D112" s="213"/>
      <c r="E112" s="213"/>
      <c r="F112" s="213"/>
      <c r="G112" s="213"/>
      <c r="H112" s="213"/>
      <c r="I112" s="213"/>
      <c r="J112" s="213"/>
      <c r="K112" s="213"/>
      <c r="L112" s="213"/>
      <c r="M112" s="213"/>
      <c r="N112" s="213"/>
      <c r="O112" s="213"/>
      <c r="P112" s="213"/>
      <c r="Q112" s="213"/>
      <c r="R112" s="213"/>
      <c r="S112" s="213"/>
      <c r="T112" s="213"/>
      <c r="U112" s="213"/>
      <c r="V112" s="213"/>
      <c r="W112" s="213"/>
      <c r="X112" s="213"/>
      <c r="Y112" s="213"/>
      <c r="Z112" s="213"/>
    </row>
    <row r="113" spans="1:26" ht="14.25">
      <c r="A113" s="213"/>
      <c r="B113" s="213"/>
      <c r="C113" s="213"/>
      <c r="D113" s="213"/>
      <c r="E113" s="213"/>
      <c r="F113" s="213"/>
      <c r="G113" s="213"/>
      <c r="H113" s="213"/>
      <c r="I113" s="213"/>
      <c r="J113" s="213"/>
      <c r="K113" s="213"/>
      <c r="L113" s="213"/>
      <c r="M113" s="213"/>
      <c r="N113" s="213"/>
      <c r="O113" s="213"/>
      <c r="P113" s="213"/>
      <c r="Q113" s="213"/>
      <c r="R113" s="213"/>
      <c r="S113" s="213"/>
      <c r="T113" s="213"/>
      <c r="U113" s="213"/>
      <c r="V113" s="213"/>
      <c r="W113" s="213"/>
      <c r="X113" s="213"/>
      <c r="Y113" s="213"/>
      <c r="Z113" s="213"/>
    </row>
    <row r="114" spans="1:26" ht="14.25">
      <c r="A114" s="213"/>
      <c r="B114" s="213"/>
      <c r="C114" s="213"/>
      <c r="D114" s="213"/>
      <c r="E114" s="213"/>
      <c r="F114" s="213"/>
      <c r="G114" s="213"/>
      <c r="H114" s="213"/>
      <c r="I114" s="213"/>
      <c r="J114" s="213"/>
      <c r="K114" s="213"/>
      <c r="L114" s="213"/>
      <c r="M114" s="213"/>
      <c r="N114" s="213"/>
      <c r="O114" s="213"/>
      <c r="P114" s="213"/>
      <c r="Q114" s="213"/>
      <c r="R114" s="213"/>
      <c r="S114" s="213"/>
      <c r="T114" s="213"/>
      <c r="U114" s="213"/>
      <c r="V114" s="213"/>
      <c r="W114" s="213"/>
      <c r="X114" s="213"/>
      <c r="Y114" s="213"/>
      <c r="Z114" s="213"/>
    </row>
    <row r="115" spans="1:26" ht="14.25">
      <c r="A115" s="213"/>
      <c r="B115" s="213"/>
      <c r="C115" s="213"/>
      <c r="D115" s="213"/>
      <c r="E115" s="213"/>
      <c r="F115" s="213"/>
      <c r="G115" s="213"/>
      <c r="H115" s="213"/>
      <c r="I115" s="213"/>
      <c r="J115" s="213"/>
      <c r="K115" s="213"/>
      <c r="L115" s="213"/>
      <c r="M115" s="213"/>
      <c r="N115" s="213"/>
      <c r="O115" s="213"/>
      <c r="P115" s="213"/>
      <c r="Q115" s="213"/>
      <c r="R115" s="213"/>
      <c r="S115" s="213"/>
      <c r="T115" s="213"/>
      <c r="U115" s="213"/>
      <c r="V115" s="213"/>
      <c r="W115" s="213"/>
      <c r="X115" s="213"/>
      <c r="Y115" s="213"/>
      <c r="Z115" s="213"/>
    </row>
    <row r="116" spans="1:26" ht="14.25">
      <c r="A116" s="213"/>
      <c r="B116" s="213"/>
      <c r="C116" s="213"/>
      <c r="D116" s="213"/>
      <c r="E116" s="213"/>
      <c r="F116" s="213"/>
      <c r="G116" s="213"/>
      <c r="H116" s="213"/>
      <c r="I116" s="213"/>
      <c r="J116" s="213"/>
      <c r="K116" s="213"/>
      <c r="L116" s="213"/>
      <c r="M116" s="213"/>
      <c r="N116" s="213"/>
      <c r="O116" s="213"/>
      <c r="P116" s="213"/>
      <c r="Q116" s="213"/>
      <c r="R116" s="213"/>
      <c r="S116" s="213"/>
      <c r="T116" s="213"/>
      <c r="U116" s="213"/>
      <c r="V116" s="213"/>
      <c r="W116" s="213"/>
      <c r="X116" s="213"/>
      <c r="Y116" s="213"/>
      <c r="Z116" s="213"/>
    </row>
    <row r="117" spans="1:26" ht="14.25">
      <c r="A117" s="213"/>
      <c r="B117" s="213"/>
      <c r="C117" s="213"/>
      <c r="D117" s="213"/>
      <c r="E117" s="213"/>
      <c r="F117" s="213"/>
      <c r="G117" s="213"/>
      <c r="H117" s="213"/>
      <c r="I117" s="213"/>
      <c r="J117" s="213"/>
      <c r="K117" s="213"/>
      <c r="L117" s="213"/>
      <c r="M117" s="213"/>
      <c r="N117" s="213"/>
      <c r="O117" s="213"/>
      <c r="P117" s="213"/>
      <c r="Q117" s="213"/>
      <c r="R117" s="213"/>
      <c r="S117" s="213"/>
      <c r="T117" s="213"/>
      <c r="U117" s="213"/>
      <c r="V117" s="213"/>
      <c r="W117" s="213"/>
      <c r="X117" s="213"/>
      <c r="Y117" s="213"/>
      <c r="Z117" s="213"/>
    </row>
    <row r="118" spans="1:26" ht="14.25">
      <c r="A118" s="213"/>
      <c r="B118" s="213"/>
      <c r="C118" s="213"/>
      <c r="D118" s="213"/>
      <c r="E118" s="213"/>
      <c r="F118" s="213"/>
      <c r="G118" s="213"/>
      <c r="H118" s="213"/>
      <c r="I118" s="213"/>
      <c r="J118" s="213"/>
      <c r="K118" s="213"/>
      <c r="L118" s="213"/>
      <c r="M118" s="213"/>
      <c r="N118" s="213"/>
      <c r="O118" s="213"/>
      <c r="P118" s="213"/>
      <c r="Q118" s="213"/>
      <c r="R118" s="213"/>
      <c r="S118" s="213"/>
      <c r="T118" s="213"/>
      <c r="U118" s="213"/>
      <c r="V118" s="213"/>
      <c r="W118" s="213"/>
      <c r="X118" s="213"/>
      <c r="Y118" s="213"/>
      <c r="Z118" s="213"/>
    </row>
    <row r="119" spans="1:26" ht="14.25">
      <c r="A119" s="213"/>
      <c r="B119" s="213"/>
      <c r="C119" s="213"/>
      <c r="D119" s="213"/>
      <c r="E119" s="213"/>
      <c r="F119" s="213"/>
      <c r="G119" s="213"/>
      <c r="H119" s="213"/>
      <c r="I119" s="213"/>
      <c r="J119" s="213"/>
      <c r="K119" s="213"/>
      <c r="L119" s="213"/>
      <c r="M119" s="213"/>
      <c r="N119" s="213"/>
      <c r="O119" s="213"/>
      <c r="P119" s="213"/>
      <c r="Q119" s="213"/>
      <c r="R119" s="213"/>
      <c r="S119" s="213"/>
      <c r="T119" s="213"/>
      <c r="U119" s="213"/>
      <c r="V119" s="213"/>
      <c r="W119" s="213"/>
      <c r="X119" s="213"/>
      <c r="Y119" s="213"/>
      <c r="Z119" s="213"/>
    </row>
    <row r="120" spans="1:26" ht="14.25">
      <c r="A120" s="213"/>
      <c r="B120" s="213"/>
      <c r="C120" s="213"/>
      <c r="D120" s="213"/>
      <c r="E120" s="213"/>
      <c r="F120" s="213"/>
      <c r="G120" s="213"/>
      <c r="H120" s="213"/>
      <c r="I120" s="213"/>
      <c r="J120" s="213"/>
      <c r="K120" s="213"/>
      <c r="L120" s="213"/>
      <c r="M120" s="213"/>
      <c r="N120" s="213"/>
      <c r="O120" s="213"/>
      <c r="P120" s="213"/>
      <c r="Q120" s="213"/>
      <c r="R120" s="213"/>
      <c r="S120" s="213"/>
      <c r="T120" s="213"/>
      <c r="U120" s="213"/>
      <c r="V120" s="213"/>
      <c r="W120" s="213"/>
      <c r="X120" s="213"/>
      <c r="Y120" s="213"/>
      <c r="Z120" s="213"/>
    </row>
    <row r="121" spans="1:26" ht="14.25">
      <c r="A121" s="213"/>
      <c r="B121" s="213"/>
      <c r="C121" s="213"/>
      <c r="D121" s="213"/>
      <c r="E121" s="213"/>
      <c r="F121" s="213"/>
      <c r="G121" s="213"/>
      <c r="H121" s="213"/>
      <c r="I121" s="213"/>
      <c r="J121" s="213"/>
      <c r="K121" s="213"/>
      <c r="L121" s="213"/>
      <c r="M121" s="213"/>
      <c r="N121" s="213"/>
      <c r="O121" s="213"/>
      <c r="P121" s="213"/>
      <c r="Q121" s="213"/>
      <c r="R121" s="213"/>
      <c r="S121" s="213"/>
      <c r="T121" s="213"/>
      <c r="U121" s="213"/>
      <c r="V121" s="213"/>
      <c r="W121" s="213"/>
      <c r="X121" s="213"/>
      <c r="Y121" s="213"/>
      <c r="Z121" s="213"/>
    </row>
    <row r="122" spans="1:26" ht="14.25">
      <c r="A122" s="213"/>
      <c r="B122" s="213"/>
      <c r="C122" s="213"/>
      <c r="D122" s="213"/>
      <c r="E122" s="213"/>
      <c r="F122" s="213"/>
      <c r="G122" s="213"/>
      <c r="H122" s="213"/>
      <c r="I122" s="213"/>
      <c r="J122" s="213"/>
      <c r="K122" s="213"/>
      <c r="L122" s="213"/>
      <c r="M122" s="213"/>
      <c r="N122" s="213"/>
      <c r="O122" s="213"/>
      <c r="P122" s="213"/>
      <c r="Q122" s="213"/>
      <c r="R122" s="213"/>
      <c r="S122" s="213"/>
      <c r="T122" s="213"/>
      <c r="U122" s="213"/>
      <c r="V122" s="213"/>
      <c r="W122" s="213"/>
      <c r="X122" s="213"/>
      <c r="Y122" s="213"/>
      <c r="Z122" s="213"/>
    </row>
    <row r="123" spans="1:26" ht="14.25">
      <c r="A123" s="213"/>
      <c r="B123" s="213"/>
      <c r="C123" s="213"/>
      <c r="D123" s="213"/>
      <c r="E123" s="213"/>
      <c r="F123" s="213"/>
      <c r="G123" s="213"/>
      <c r="H123" s="213"/>
      <c r="I123" s="213"/>
      <c r="J123" s="213"/>
      <c r="K123" s="213"/>
      <c r="L123" s="213"/>
      <c r="M123" s="213"/>
      <c r="N123" s="213"/>
      <c r="O123" s="213"/>
      <c r="P123" s="213"/>
      <c r="Q123" s="213"/>
      <c r="R123" s="213"/>
      <c r="S123" s="213"/>
      <c r="T123" s="213"/>
      <c r="U123" s="213"/>
      <c r="V123" s="213"/>
      <c r="W123" s="213"/>
      <c r="X123" s="213"/>
      <c r="Y123" s="213"/>
      <c r="Z123" s="213"/>
    </row>
    <row r="124" spans="1:26" ht="14.25">
      <c r="A124" s="213"/>
      <c r="B124" s="213"/>
      <c r="C124" s="213"/>
      <c r="D124" s="213"/>
      <c r="E124" s="213"/>
      <c r="F124" s="213"/>
      <c r="G124" s="213"/>
      <c r="H124" s="213"/>
      <c r="I124" s="213"/>
      <c r="J124" s="213"/>
      <c r="K124" s="213"/>
      <c r="L124" s="213"/>
      <c r="M124" s="213"/>
      <c r="N124" s="213"/>
      <c r="O124" s="213"/>
      <c r="P124" s="213"/>
      <c r="Q124" s="213"/>
      <c r="R124" s="213"/>
      <c r="S124" s="213"/>
      <c r="T124" s="213"/>
      <c r="U124" s="213"/>
      <c r="V124" s="213"/>
      <c r="W124" s="213"/>
      <c r="X124" s="213"/>
      <c r="Y124" s="213"/>
      <c r="Z124" s="213"/>
    </row>
    <row r="125" spans="1:26" ht="14.25">
      <c r="A125" s="213"/>
      <c r="B125" s="213"/>
      <c r="C125" s="213"/>
      <c r="D125" s="213"/>
      <c r="E125" s="213"/>
      <c r="F125" s="213"/>
      <c r="G125" s="213"/>
      <c r="H125" s="213"/>
      <c r="I125" s="213"/>
      <c r="J125" s="213"/>
      <c r="K125" s="213"/>
      <c r="L125" s="213"/>
      <c r="M125" s="213"/>
      <c r="N125" s="213"/>
      <c r="O125" s="213"/>
      <c r="P125" s="213"/>
      <c r="Q125" s="213"/>
      <c r="R125" s="213"/>
      <c r="S125" s="213"/>
      <c r="T125" s="213"/>
      <c r="U125" s="213"/>
      <c r="V125" s="213"/>
      <c r="W125" s="213"/>
      <c r="X125" s="213"/>
      <c r="Y125" s="213"/>
      <c r="Z125" s="213"/>
    </row>
    <row r="126" spans="1:26" ht="14.25">
      <c r="A126" s="213"/>
      <c r="B126" s="213"/>
      <c r="C126" s="213"/>
      <c r="D126" s="213"/>
      <c r="E126" s="213"/>
      <c r="F126" s="213"/>
      <c r="G126" s="213"/>
      <c r="H126" s="213"/>
      <c r="I126" s="213"/>
      <c r="J126" s="213"/>
      <c r="K126" s="213"/>
      <c r="L126" s="213"/>
      <c r="M126" s="213"/>
      <c r="N126" s="213"/>
      <c r="O126" s="213"/>
      <c r="P126" s="213"/>
      <c r="Q126" s="213"/>
      <c r="R126" s="213"/>
      <c r="S126" s="213"/>
      <c r="T126" s="213"/>
      <c r="U126" s="213"/>
      <c r="V126" s="213"/>
      <c r="W126" s="213"/>
      <c r="X126" s="213"/>
      <c r="Y126" s="213"/>
      <c r="Z126" s="213"/>
    </row>
    <row r="127" spans="1:26" ht="14.25">
      <c r="A127" s="213"/>
      <c r="B127" s="213"/>
      <c r="C127" s="213"/>
      <c r="D127" s="213"/>
      <c r="E127" s="213"/>
      <c r="F127" s="213"/>
      <c r="G127" s="213"/>
      <c r="H127" s="213"/>
      <c r="I127" s="213"/>
      <c r="J127" s="213"/>
      <c r="K127" s="213"/>
      <c r="L127" s="213"/>
      <c r="M127" s="213"/>
      <c r="N127" s="213"/>
      <c r="O127" s="213"/>
      <c r="P127" s="213"/>
      <c r="Q127" s="213"/>
      <c r="R127" s="213"/>
      <c r="S127" s="213"/>
      <c r="T127" s="213"/>
      <c r="U127" s="213"/>
      <c r="V127" s="213"/>
      <c r="W127" s="213"/>
      <c r="X127" s="213"/>
      <c r="Y127" s="213"/>
      <c r="Z127" s="213"/>
    </row>
    <row r="128" spans="1:26" ht="14.25">
      <c r="A128" s="213"/>
      <c r="B128" s="213"/>
      <c r="C128" s="213"/>
      <c r="D128" s="213"/>
      <c r="E128" s="213"/>
      <c r="F128" s="213"/>
      <c r="G128" s="213"/>
      <c r="H128" s="213"/>
      <c r="I128" s="213"/>
      <c r="J128" s="213"/>
      <c r="K128" s="213"/>
      <c r="L128" s="213"/>
      <c r="M128" s="213"/>
      <c r="N128" s="213"/>
      <c r="O128" s="213"/>
      <c r="P128" s="213"/>
      <c r="Q128" s="213"/>
      <c r="R128" s="213"/>
      <c r="S128" s="213"/>
      <c r="T128" s="213"/>
      <c r="U128" s="213"/>
      <c r="V128" s="213"/>
      <c r="W128" s="213"/>
      <c r="X128" s="213"/>
      <c r="Y128" s="213"/>
      <c r="Z128" s="213"/>
    </row>
    <row r="129" spans="1:26" ht="14.25">
      <c r="A129" s="213"/>
      <c r="B129" s="213"/>
      <c r="C129" s="213"/>
      <c r="D129" s="213"/>
      <c r="E129" s="213"/>
      <c r="F129" s="213"/>
      <c r="G129" s="213"/>
      <c r="H129" s="213"/>
      <c r="I129" s="213"/>
      <c r="J129" s="213"/>
      <c r="K129" s="213"/>
      <c r="L129" s="213"/>
      <c r="M129" s="213"/>
      <c r="N129" s="213"/>
      <c r="O129" s="213"/>
      <c r="P129" s="213"/>
      <c r="Q129" s="213"/>
      <c r="R129" s="213"/>
      <c r="S129" s="213"/>
      <c r="T129" s="213"/>
      <c r="U129" s="213"/>
      <c r="V129" s="213"/>
      <c r="W129" s="213"/>
      <c r="X129" s="213"/>
      <c r="Y129" s="213"/>
      <c r="Z129" s="213"/>
    </row>
    <row r="130" spans="1:26" ht="14.25">
      <c r="A130" s="213"/>
      <c r="B130" s="213"/>
      <c r="C130" s="213"/>
      <c r="D130" s="213"/>
      <c r="E130" s="213"/>
      <c r="F130" s="213"/>
      <c r="G130" s="213"/>
      <c r="H130" s="213"/>
      <c r="I130" s="213"/>
      <c r="J130" s="213"/>
      <c r="K130" s="213"/>
      <c r="L130" s="213"/>
      <c r="M130" s="213"/>
      <c r="N130" s="213"/>
      <c r="O130" s="213"/>
      <c r="P130" s="213"/>
      <c r="Q130" s="213"/>
      <c r="R130" s="213"/>
      <c r="S130" s="213"/>
      <c r="T130" s="213"/>
      <c r="U130" s="213"/>
      <c r="V130" s="213"/>
      <c r="W130" s="213"/>
      <c r="X130" s="213"/>
      <c r="Y130" s="213"/>
      <c r="Z130" s="213"/>
    </row>
    <row r="131" spans="1:26" ht="14.25">
      <c r="A131" s="213"/>
      <c r="B131" s="213"/>
      <c r="C131" s="213"/>
      <c r="D131" s="213"/>
      <c r="E131" s="213"/>
      <c r="F131" s="213"/>
      <c r="G131" s="213"/>
      <c r="H131" s="213"/>
      <c r="I131" s="213"/>
      <c r="J131" s="213"/>
      <c r="K131" s="213"/>
      <c r="L131" s="213"/>
      <c r="M131" s="213"/>
      <c r="N131" s="213"/>
      <c r="O131" s="213"/>
      <c r="P131" s="213"/>
      <c r="Q131" s="213"/>
      <c r="R131" s="213"/>
      <c r="S131" s="213"/>
      <c r="T131" s="213"/>
      <c r="U131" s="213"/>
      <c r="V131" s="213"/>
      <c r="W131" s="213"/>
      <c r="X131" s="213"/>
      <c r="Y131" s="213"/>
      <c r="Z131" s="213"/>
    </row>
    <row r="132" spans="1:26" ht="14.25">
      <c r="A132" s="213"/>
      <c r="B132" s="213"/>
      <c r="C132" s="213"/>
      <c r="D132" s="213"/>
      <c r="E132" s="213"/>
      <c r="F132" s="213"/>
      <c r="G132" s="213"/>
      <c r="H132" s="213"/>
      <c r="I132" s="213"/>
      <c r="J132" s="213"/>
      <c r="K132" s="213"/>
      <c r="L132" s="213"/>
      <c r="M132" s="213"/>
      <c r="N132" s="213"/>
      <c r="O132" s="213"/>
      <c r="P132" s="213"/>
      <c r="Q132" s="213"/>
      <c r="R132" s="213"/>
      <c r="S132" s="213"/>
      <c r="T132" s="213"/>
      <c r="U132" s="213"/>
      <c r="V132" s="213"/>
      <c r="W132" s="213"/>
      <c r="X132" s="213"/>
      <c r="Y132" s="213"/>
      <c r="Z132" s="213"/>
    </row>
    <row r="133" spans="1:26" ht="14.25">
      <c r="A133" s="213"/>
      <c r="B133" s="213"/>
      <c r="C133" s="213"/>
      <c r="D133" s="213"/>
      <c r="E133" s="213"/>
      <c r="F133" s="213"/>
      <c r="G133" s="213"/>
      <c r="H133" s="213"/>
      <c r="I133" s="213"/>
      <c r="J133" s="213"/>
      <c r="K133" s="213"/>
      <c r="L133" s="213"/>
      <c r="M133" s="213"/>
      <c r="N133" s="213"/>
      <c r="O133" s="213"/>
      <c r="P133" s="213"/>
      <c r="Q133" s="213"/>
      <c r="R133" s="213"/>
      <c r="S133" s="213"/>
      <c r="T133" s="213"/>
      <c r="U133" s="213"/>
      <c r="V133" s="213"/>
      <c r="W133" s="213"/>
      <c r="X133" s="213"/>
      <c r="Y133" s="213"/>
      <c r="Z133" s="213"/>
    </row>
    <row r="134" spans="1:26" ht="14.25">
      <c r="A134" s="213"/>
      <c r="B134" s="213"/>
      <c r="C134" s="213"/>
      <c r="D134" s="213"/>
      <c r="E134" s="213"/>
      <c r="F134" s="213"/>
      <c r="G134" s="213"/>
      <c r="H134" s="213"/>
      <c r="I134" s="213"/>
      <c r="J134" s="213"/>
      <c r="K134" s="213"/>
      <c r="L134" s="213"/>
      <c r="M134" s="213"/>
      <c r="N134" s="213"/>
      <c r="O134" s="213"/>
      <c r="P134" s="213"/>
      <c r="Q134" s="213"/>
      <c r="R134" s="213"/>
      <c r="S134" s="213"/>
      <c r="T134" s="213"/>
      <c r="U134" s="213"/>
      <c r="V134" s="213"/>
      <c r="W134" s="213"/>
      <c r="X134" s="213"/>
      <c r="Y134" s="213"/>
      <c r="Z134" s="213"/>
    </row>
    <row r="135" spans="1:26" ht="14.25">
      <c r="A135" s="213"/>
      <c r="B135" s="213"/>
      <c r="C135" s="213"/>
      <c r="D135" s="213"/>
      <c r="E135" s="213"/>
      <c r="F135" s="213"/>
      <c r="G135" s="213"/>
      <c r="H135" s="213"/>
      <c r="I135" s="213"/>
      <c r="J135" s="213"/>
      <c r="K135" s="213"/>
      <c r="L135" s="213"/>
      <c r="M135" s="213"/>
      <c r="N135" s="213"/>
      <c r="O135" s="213"/>
      <c r="P135" s="213"/>
      <c r="Q135" s="213"/>
      <c r="R135" s="213"/>
      <c r="S135" s="213"/>
      <c r="T135" s="213"/>
      <c r="U135" s="213"/>
      <c r="V135" s="213"/>
      <c r="W135" s="213"/>
      <c r="X135" s="213"/>
      <c r="Y135" s="213"/>
      <c r="Z135" s="213"/>
    </row>
    <row r="136" spans="1:26" ht="14.25">
      <c r="A136" s="213"/>
      <c r="B136" s="213"/>
      <c r="C136" s="213"/>
      <c r="D136" s="213"/>
      <c r="E136" s="213"/>
      <c r="F136" s="213"/>
      <c r="G136" s="213"/>
      <c r="H136" s="213"/>
      <c r="I136" s="213"/>
      <c r="J136" s="213"/>
      <c r="K136" s="213"/>
      <c r="L136" s="213"/>
      <c r="M136" s="213"/>
      <c r="N136" s="213"/>
      <c r="O136" s="213"/>
      <c r="P136" s="213"/>
      <c r="Q136" s="213"/>
      <c r="R136" s="213"/>
      <c r="S136" s="213"/>
      <c r="T136" s="213"/>
      <c r="U136" s="213"/>
      <c r="V136" s="213"/>
      <c r="W136" s="213"/>
      <c r="X136" s="213"/>
      <c r="Y136" s="213"/>
      <c r="Z136" s="213"/>
    </row>
    <row r="137" spans="1:26" ht="14.25">
      <c r="A137" s="213"/>
      <c r="B137" s="213"/>
      <c r="C137" s="213"/>
      <c r="D137" s="213"/>
      <c r="E137" s="213"/>
      <c r="F137" s="213"/>
      <c r="G137" s="213"/>
      <c r="H137" s="213"/>
      <c r="I137" s="213"/>
      <c r="J137" s="213"/>
      <c r="K137" s="213"/>
      <c r="L137" s="213"/>
      <c r="M137" s="213"/>
      <c r="N137" s="213"/>
      <c r="O137" s="213"/>
      <c r="P137" s="213"/>
      <c r="Q137" s="213"/>
      <c r="R137" s="213"/>
      <c r="S137" s="213"/>
      <c r="T137" s="213"/>
      <c r="U137" s="213"/>
      <c r="V137" s="213"/>
      <c r="W137" s="213"/>
      <c r="X137" s="213"/>
      <c r="Y137" s="213"/>
      <c r="Z137" s="213"/>
    </row>
    <row r="138" spans="1:26" ht="14.25">
      <c r="A138" s="213"/>
      <c r="B138" s="213"/>
      <c r="C138" s="213"/>
      <c r="D138" s="213"/>
      <c r="E138" s="213"/>
      <c r="F138" s="213"/>
      <c r="G138" s="213"/>
      <c r="H138" s="213"/>
      <c r="I138" s="213"/>
      <c r="J138" s="213"/>
      <c r="K138" s="213"/>
      <c r="L138" s="213"/>
      <c r="M138" s="213"/>
      <c r="N138" s="213"/>
      <c r="O138" s="213"/>
      <c r="P138" s="213"/>
      <c r="Q138" s="213"/>
      <c r="R138" s="213"/>
      <c r="S138" s="213"/>
      <c r="T138" s="213"/>
      <c r="U138" s="213"/>
      <c r="V138" s="213"/>
      <c r="W138" s="213"/>
      <c r="X138" s="213"/>
      <c r="Y138" s="213"/>
      <c r="Z138" s="213"/>
    </row>
    <row r="139" spans="1:26" ht="14.25">
      <c r="A139" s="213"/>
      <c r="B139" s="213"/>
      <c r="C139" s="213"/>
      <c r="D139" s="213"/>
      <c r="E139" s="213"/>
      <c r="F139" s="213"/>
      <c r="G139" s="213"/>
      <c r="H139" s="213"/>
      <c r="I139" s="213"/>
      <c r="J139" s="213"/>
      <c r="K139" s="213"/>
      <c r="L139" s="213"/>
      <c r="M139" s="213"/>
      <c r="N139" s="213"/>
      <c r="O139" s="213"/>
      <c r="P139" s="213"/>
      <c r="Q139" s="213"/>
      <c r="R139" s="213"/>
      <c r="S139" s="213"/>
      <c r="T139" s="213"/>
      <c r="U139" s="213"/>
      <c r="V139" s="213"/>
      <c r="W139" s="213"/>
      <c r="X139" s="213"/>
      <c r="Y139" s="213"/>
      <c r="Z139" s="213"/>
    </row>
    <row r="140" spans="1:26" ht="14.25">
      <c r="A140" s="213"/>
      <c r="B140" s="213"/>
      <c r="C140" s="213"/>
      <c r="D140" s="213"/>
      <c r="E140" s="213"/>
      <c r="F140" s="213"/>
      <c r="G140" s="213"/>
      <c r="H140" s="213"/>
      <c r="I140" s="213"/>
      <c r="J140" s="213"/>
      <c r="K140" s="213"/>
      <c r="L140" s="213"/>
      <c r="M140" s="213"/>
      <c r="N140" s="213"/>
      <c r="O140" s="213"/>
      <c r="P140" s="213"/>
      <c r="Q140" s="213"/>
      <c r="R140" s="213"/>
      <c r="S140" s="213"/>
      <c r="T140" s="213"/>
      <c r="U140" s="213"/>
      <c r="V140" s="213"/>
      <c r="W140" s="213"/>
      <c r="X140" s="213"/>
      <c r="Y140" s="213"/>
      <c r="Z140" s="213"/>
    </row>
    <row r="141" spans="1:26" ht="14.25">
      <c r="A141" s="213"/>
      <c r="B141" s="213"/>
      <c r="C141" s="213"/>
      <c r="D141" s="213"/>
      <c r="E141" s="213"/>
      <c r="F141" s="213"/>
      <c r="G141" s="213"/>
      <c r="H141" s="213"/>
      <c r="I141" s="213"/>
      <c r="J141" s="213"/>
      <c r="K141" s="213"/>
      <c r="L141" s="213"/>
      <c r="M141" s="213"/>
      <c r="N141" s="213"/>
      <c r="O141" s="213"/>
      <c r="P141" s="213"/>
      <c r="Q141" s="213"/>
      <c r="R141" s="213"/>
      <c r="S141" s="213"/>
      <c r="T141" s="213"/>
      <c r="U141" s="213"/>
      <c r="V141" s="213"/>
      <c r="W141" s="213"/>
      <c r="X141" s="213"/>
      <c r="Y141" s="213"/>
      <c r="Z141" s="213"/>
    </row>
    <row r="142" spans="1:26" ht="14.25">
      <c r="A142" s="213"/>
      <c r="B142" s="213"/>
      <c r="C142" s="213"/>
      <c r="D142" s="213"/>
      <c r="E142" s="213"/>
      <c r="F142" s="213"/>
      <c r="G142" s="213"/>
      <c r="H142" s="213"/>
      <c r="I142" s="213"/>
      <c r="J142" s="213"/>
      <c r="K142" s="213"/>
      <c r="L142" s="213"/>
      <c r="M142" s="213"/>
      <c r="N142" s="213"/>
      <c r="O142" s="213"/>
      <c r="P142" s="213"/>
      <c r="Q142" s="213"/>
      <c r="R142" s="213"/>
      <c r="S142" s="213"/>
      <c r="T142" s="213"/>
      <c r="U142" s="213"/>
      <c r="V142" s="213"/>
      <c r="W142" s="213"/>
      <c r="X142" s="213"/>
      <c r="Y142" s="213"/>
      <c r="Z142" s="213"/>
    </row>
    <row r="143" spans="1:26" ht="14.25">
      <c r="A143" s="213"/>
      <c r="B143" s="213"/>
      <c r="C143" s="213"/>
      <c r="D143" s="213"/>
      <c r="E143" s="213"/>
      <c r="F143" s="213"/>
      <c r="G143" s="213"/>
      <c r="H143" s="213"/>
      <c r="I143" s="213"/>
      <c r="J143" s="213"/>
      <c r="K143" s="213"/>
      <c r="L143" s="213"/>
      <c r="M143" s="213"/>
      <c r="N143" s="213"/>
      <c r="O143" s="213"/>
      <c r="P143" s="213"/>
      <c r="Q143" s="213"/>
      <c r="R143" s="213"/>
      <c r="S143" s="213"/>
      <c r="T143" s="213"/>
      <c r="U143" s="213"/>
      <c r="V143" s="213"/>
      <c r="W143" s="213"/>
      <c r="X143" s="213"/>
      <c r="Y143" s="213"/>
      <c r="Z143" s="213"/>
    </row>
    <row r="144" spans="1:26" ht="14.25">
      <c r="A144" s="213"/>
      <c r="B144" s="213"/>
      <c r="C144" s="213"/>
      <c r="D144" s="213"/>
      <c r="E144" s="213"/>
      <c r="F144" s="213"/>
      <c r="G144" s="213"/>
      <c r="H144" s="213"/>
      <c r="I144" s="213"/>
      <c r="J144" s="213"/>
      <c r="K144" s="213"/>
      <c r="L144" s="213"/>
      <c r="M144" s="213"/>
      <c r="N144" s="213"/>
      <c r="O144" s="213"/>
      <c r="P144" s="213"/>
      <c r="Q144" s="213"/>
      <c r="R144" s="213"/>
      <c r="S144" s="213"/>
      <c r="T144" s="213"/>
      <c r="U144" s="213"/>
      <c r="V144" s="213"/>
      <c r="W144" s="213"/>
      <c r="X144" s="213"/>
      <c r="Y144" s="213"/>
      <c r="Z144" s="213"/>
    </row>
    <row r="145" spans="1:26" ht="14.25">
      <c r="A145" s="213"/>
      <c r="B145" s="213"/>
      <c r="C145" s="213"/>
      <c r="D145" s="213"/>
      <c r="E145" s="213"/>
      <c r="F145" s="213"/>
      <c r="G145" s="213"/>
      <c r="H145" s="213"/>
      <c r="I145" s="213"/>
      <c r="J145" s="213"/>
      <c r="K145" s="213"/>
      <c r="L145" s="213"/>
      <c r="M145" s="213"/>
      <c r="N145" s="213"/>
      <c r="O145" s="213"/>
      <c r="P145" s="213"/>
      <c r="Q145" s="213"/>
      <c r="R145" s="213"/>
      <c r="S145" s="213"/>
      <c r="T145" s="213"/>
      <c r="U145" s="213"/>
      <c r="V145" s="213"/>
      <c r="W145" s="213"/>
      <c r="X145" s="213"/>
      <c r="Y145" s="213"/>
      <c r="Z145" s="213"/>
    </row>
    <row r="146" spans="1:26" ht="14.25">
      <c r="A146" s="213"/>
      <c r="B146" s="213"/>
      <c r="C146" s="213"/>
      <c r="D146" s="213"/>
      <c r="E146" s="213"/>
      <c r="F146" s="213"/>
      <c r="G146" s="213"/>
      <c r="H146" s="213"/>
      <c r="I146" s="213"/>
      <c r="J146" s="213"/>
      <c r="K146" s="213"/>
      <c r="L146" s="213"/>
      <c r="M146" s="213"/>
      <c r="N146" s="213"/>
      <c r="O146" s="213"/>
      <c r="P146" s="213"/>
      <c r="Q146" s="213"/>
      <c r="R146" s="213"/>
      <c r="S146" s="213"/>
      <c r="T146" s="213"/>
      <c r="U146" s="213"/>
      <c r="V146" s="213"/>
      <c r="W146" s="213"/>
      <c r="X146" s="213"/>
      <c r="Y146" s="213"/>
      <c r="Z146" s="213"/>
    </row>
    <row r="147" spans="1:26" ht="14.25">
      <c r="A147" s="213"/>
      <c r="B147" s="213"/>
      <c r="C147" s="213"/>
      <c r="D147" s="213"/>
      <c r="E147" s="213"/>
      <c r="F147" s="213"/>
      <c r="G147" s="213"/>
      <c r="H147" s="213"/>
      <c r="I147" s="213"/>
      <c r="J147" s="213"/>
      <c r="K147" s="213"/>
      <c r="L147" s="213"/>
      <c r="M147" s="213"/>
      <c r="N147" s="213"/>
      <c r="O147" s="213"/>
      <c r="P147" s="213"/>
      <c r="Q147" s="213"/>
      <c r="R147" s="213"/>
      <c r="S147" s="213"/>
      <c r="T147" s="213"/>
      <c r="U147" s="213"/>
      <c r="V147" s="213"/>
      <c r="W147" s="213"/>
      <c r="X147" s="213"/>
      <c r="Y147" s="213"/>
      <c r="Z147" s="213"/>
    </row>
    <row r="148" spans="1:26" ht="14.25">
      <c r="A148" s="213"/>
      <c r="B148" s="213"/>
      <c r="C148" s="213"/>
      <c r="D148" s="213"/>
      <c r="E148" s="213"/>
      <c r="F148" s="213"/>
      <c r="G148" s="213"/>
      <c r="H148" s="213"/>
      <c r="I148" s="213"/>
      <c r="J148" s="213"/>
      <c r="K148" s="213"/>
      <c r="L148" s="213"/>
      <c r="M148" s="213"/>
      <c r="N148" s="213"/>
      <c r="O148" s="213"/>
      <c r="P148" s="213"/>
      <c r="Q148" s="213"/>
      <c r="R148" s="213"/>
      <c r="S148" s="213"/>
      <c r="T148" s="213"/>
      <c r="U148" s="213"/>
      <c r="V148" s="213"/>
      <c r="W148" s="213"/>
      <c r="X148" s="213"/>
      <c r="Y148" s="213"/>
      <c r="Z148" s="213"/>
    </row>
    <row r="149" spans="1:26" ht="14.25">
      <c r="A149" s="213"/>
      <c r="B149" s="213"/>
      <c r="C149" s="213"/>
      <c r="D149" s="213"/>
      <c r="E149" s="213"/>
      <c r="F149" s="213"/>
      <c r="G149" s="213"/>
      <c r="H149" s="213"/>
      <c r="I149" s="213"/>
      <c r="J149" s="213"/>
      <c r="K149" s="213"/>
      <c r="L149" s="213"/>
      <c r="M149" s="213"/>
      <c r="N149" s="213"/>
      <c r="O149" s="213"/>
      <c r="P149" s="213"/>
      <c r="Q149" s="213"/>
      <c r="R149" s="213"/>
      <c r="S149" s="213"/>
      <c r="T149" s="213"/>
      <c r="U149" s="213"/>
      <c r="V149" s="213"/>
      <c r="W149" s="213"/>
      <c r="X149" s="213"/>
      <c r="Y149" s="213"/>
      <c r="Z149" s="213"/>
    </row>
    <row r="150" spans="1:26" ht="14.25">
      <c r="A150" s="213"/>
      <c r="B150" s="213"/>
      <c r="C150" s="213"/>
      <c r="D150" s="213"/>
      <c r="E150" s="213"/>
      <c r="F150" s="213"/>
      <c r="G150" s="213"/>
      <c r="H150" s="213"/>
      <c r="I150" s="213"/>
      <c r="J150" s="213"/>
      <c r="K150" s="213"/>
      <c r="L150" s="213"/>
      <c r="M150" s="213"/>
      <c r="N150" s="213"/>
      <c r="O150" s="213"/>
      <c r="P150" s="213"/>
      <c r="Q150" s="213"/>
      <c r="R150" s="213"/>
      <c r="S150" s="213"/>
      <c r="T150" s="213"/>
      <c r="U150" s="213"/>
      <c r="V150" s="213"/>
      <c r="W150" s="213"/>
      <c r="X150" s="213"/>
      <c r="Y150" s="213"/>
      <c r="Z150" s="213"/>
    </row>
    <row r="151" spans="1:26" ht="14.25">
      <c r="A151" s="213"/>
      <c r="B151" s="213"/>
      <c r="C151" s="213"/>
      <c r="D151" s="213"/>
      <c r="E151" s="213"/>
      <c r="F151" s="213"/>
      <c r="G151" s="213"/>
      <c r="H151" s="213"/>
      <c r="I151" s="213"/>
      <c r="J151" s="213"/>
      <c r="K151" s="213"/>
      <c r="L151" s="213"/>
      <c r="M151" s="213"/>
      <c r="N151" s="213"/>
      <c r="O151" s="213"/>
      <c r="P151" s="213"/>
      <c r="Q151" s="213"/>
      <c r="R151" s="213"/>
      <c r="S151" s="213"/>
      <c r="T151" s="213"/>
      <c r="U151" s="213"/>
      <c r="V151" s="213"/>
      <c r="W151" s="213"/>
      <c r="X151" s="213"/>
      <c r="Y151" s="213"/>
      <c r="Z151" s="213"/>
    </row>
    <row r="152" spans="1:26" ht="14.25">
      <c r="A152" s="213"/>
      <c r="B152" s="213"/>
      <c r="C152" s="213"/>
      <c r="D152" s="213"/>
      <c r="E152" s="213"/>
      <c r="F152" s="213"/>
      <c r="G152" s="213"/>
      <c r="H152" s="213"/>
      <c r="I152" s="213"/>
      <c r="J152" s="213"/>
      <c r="K152" s="213"/>
      <c r="L152" s="213"/>
      <c r="M152" s="213"/>
      <c r="N152" s="213"/>
      <c r="O152" s="213"/>
      <c r="P152" s="213"/>
      <c r="Q152" s="213"/>
      <c r="R152" s="213"/>
      <c r="S152" s="213"/>
      <c r="T152" s="213"/>
      <c r="U152" s="213"/>
      <c r="V152" s="213"/>
      <c r="W152" s="213"/>
      <c r="X152" s="213"/>
      <c r="Y152" s="213"/>
      <c r="Z152" s="213"/>
    </row>
    <row r="153" spans="1:26" ht="14.25">
      <c r="A153" s="213"/>
      <c r="B153" s="213"/>
      <c r="C153" s="213"/>
      <c r="D153" s="213"/>
      <c r="E153" s="213"/>
      <c r="F153" s="213"/>
      <c r="G153" s="213"/>
      <c r="H153" s="213"/>
      <c r="I153" s="213"/>
      <c r="J153" s="213"/>
      <c r="K153" s="213"/>
      <c r="L153" s="213"/>
      <c r="M153" s="213"/>
      <c r="N153" s="213"/>
      <c r="O153" s="213"/>
      <c r="P153" s="213"/>
      <c r="Q153" s="213"/>
      <c r="R153" s="213"/>
      <c r="S153" s="213"/>
      <c r="T153" s="213"/>
      <c r="U153" s="213"/>
      <c r="V153" s="213"/>
      <c r="W153" s="213"/>
      <c r="X153" s="213"/>
      <c r="Y153" s="213"/>
      <c r="Z153" s="213"/>
    </row>
    <row r="154" spans="1:26" ht="14.25">
      <c r="A154" s="213"/>
      <c r="B154" s="213"/>
      <c r="C154" s="213"/>
      <c r="D154" s="213"/>
      <c r="E154" s="213"/>
      <c r="F154" s="213"/>
      <c r="G154" s="213"/>
      <c r="H154" s="213"/>
      <c r="I154" s="213"/>
      <c r="J154" s="213"/>
      <c r="K154" s="213"/>
      <c r="L154" s="213"/>
      <c r="M154" s="213"/>
      <c r="N154" s="213"/>
      <c r="O154" s="213"/>
      <c r="P154" s="213"/>
      <c r="Q154" s="213"/>
      <c r="R154" s="213"/>
      <c r="S154" s="213"/>
      <c r="T154" s="213"/>
      <c r="U154" s="213"/>
      <c r="V154" s="213"/>
      <c r="W154" s="213"/>
      <c r="X154" s="213"/>
      <c r="Y154" s="213"/>
      <c r="Z154" s="213"/>
    </row>
    <row r="155" spans="1:26" ht="14.25">
      <c r="A155" s="213"/>
      <c r="B155" s="213"/>
      <c r="C155" s="213"/>
      <c r="D155" s="213"/>
      <c r="E155" s="213"/>
      <c r="F155" s="213"/>
      <c r="G155" s="213"/>
      <c r="H155" s="213"/>
      <c r="I155" s="213"/>
      <c r="J155" s="213"/>
      <c r="K155" s="213"/>
      <c r="L155" s="213"/>
      <c r="M155" s="213"/>
      <c r="N155" s="213"/>
      <c r="O155" s="213"/>
      <c r="P155" s="213"/>
      <c r="Q155" s="213"/>
      <c r="R155" s="213"/>
      <c r="S155" s="213"/>
      <c r="T155" s="213"/>
      <c r="U155" s="213"/>
      <c r="V155" s="213"/>
      <c r="W155" s="213"/>
      <c r="X155" s="213"/>
      <c r="Y155" s="213"/>
      <c r="Z155" s="213"/>
    </row>
    <row r="156" spans="1:26" ht="14.25">
      <c r="A156" s="213"/>
      <c r="B156" s="213"/>
      <c r="C156" s="213"/>
      <c r="D156" s="213"/>
      <c r="E156" s="213"/>
      <c r="F156" s="213"/>
      <c r="G156" s="213"/>
      <c r="H156" s="213"/>
      <c r="I156" s="213"/>
      <c r="J156" s="213"/>
      <c r="K156" s="213"/>
      <c r="L156" s="213"/>
      <c r="M156" s="213"/>
      <c r="N156" s="213"/>
      <c r="O156" s="213"/>
      <c r="P156" s="213"/>
      <c r="Q156" s="213"/>
      <c r="R156" s="213"/>
      <c r="S156" s="213"/>
      <c r="T156" s="213"/>
      <c r="U156" s="213"/>
      <c r="V156" s="213"/>
      <c r="W156" s="213"/>
      <c r="X156" s="213"/>
      <c r="Y156" s="213"/>
      <c r="Z156" s="213"/>
    </row>
    <row r="157" spans="1:26" ht="14.25">
      <c r="A157" s="213"/>
      <c r="B157" s="213"/>
      <c r="C157" s="213"/>
      <c r="D157" s="213"/>
      <c r="E157" s="213"/>
      <c r="F157" s="213"/>
      <c r="G157" s="213"/>
      <c r="H157" s="213"/>
      <c r="I157" s="213"/>
      <c r="J157" s="213"/>
      <c r="K157" s="213"/>
      <c r="L157" s="213"/>
      <c r="M157" s="213"/>
      <c r="N157" s="213"/>
      <c r="O157" s="213"/>
      <c r="P157" s="213"/>
      <c r="Q157" s="213"/>
      <c r="R157" s="213"/>
      <c r="S157" s="213"/>
      <c r="T157" s="213"/>
      <c r="U157" s="213"/>
      <c r="V157" s="213"/>
      <c r="W157" s="213"/>
      <c r="X157" s="213"/>
      <c r="Y157" s="213"/>
      <c r="Z157" s="213"/>
    </row>
    <row r="158" spans="1:26" ht="14.25">
      <c r="A158" s="213"/>
      <c r="B158" s="213"/>
      <c r="C158" s="213"/>
      <c r="D158" s="213"/>
      <c r="E158" s="213"/>
      <c r="F158" s="213"/>
      <c r="G158" s="213"/>
      <c r="H158" s="213"/>
      <c r="I158" s="213"/>
      <c r="J158" s="213"/>
      <c r="K158" s="213"/>
      <c r="L158" s="213"/>
      <c r="M158" s="213"/>
      <c r="N158" s="213"/>
      <c r="O158" s="213"/>
      <c r="P158" s="213"/>
      <c r="Q158" s="213"/>
      <c r="R158" s="213"/>
      <c r="S158" s="213"/>
      <c r="T158" s="213"/>
      <c r="U158" s="213"/>
      <c r="V158" s="213"/>
      <c r="W158" s="213"/>
      <c r="X158" s="213"/>
      <c r="Y158" s="213"/>
      <c r="Z158" s="213"/>
    </row>
    <row r="159" spans="1:26" ht="14.25">
      <c r="A159" s="213"/>
      <c r="B159" s="213"/>
      <c r="C159" s="213"/>
      <c r="D159" s="213"/>
      <c r="E159" s="213"/>
      <c r="F159" s="213"/>
      <c r="G159" s="213"/>
      <c r="H159" s="213"/>
      <c r="I159" s="213"/>
      <c r="J159" s="213"/>
      <c r="K159" s="213"/>
      <c r="L159" s="213"/>
      <c r="M159" s="213"/>
      <c r="N159" s="213"/>
      <c r="O159" s="213"/>
      <c r="P159" s="213"/>
      <c r="Q159" s="213"/>
      <c r="R159" s="213"/>
      <c r="S159" s="213"/>
      <c r="T159" s="213"/>
      <c r="U159" s="213"/>
      <c r="V159" s="213"/>
      <c r="W159" s="213"/>
      <c r="X159" s="213"/>
      <c r="Y159" s="213"/>
      <c r="Z159" s="213"/>
    </row>
    <row r="160" spans="1:26" ht="14.25">
      <c r="A160" s="213"/>
      <c r="B160" s="213"/>
      <c r="C160" s="213"/>
      <c r="D160" s="213"/>
      <c r="E160" s="213"/>
      <c r="F160" s="213"/>
      <c r="G160" s="213"/>
      <c r="H160" s="213"/>
      <c r="I160" s="213"/>
      <c r="J160" s="213"/>
      <c r="K160" s="213"/>
      <c r="L160" s="213"/>
      <c r="M160" s="213"/>
      <c r="N160" s="213"/>
      <c r="O160" s="213"/>
      <c r="P160" s="213"/>
      <c r="Q160" s="213"/>
      <c r="R160" s="213"/>
      <c r="S160" s="213"/>
      <c r="T160" s="213"/>
      <c r="U160" s="213"/>
      <c r="V160" s="213"/>
      <c r="W160" s="213"/>
      <c r="X160" s="213"/>
      <c r="Y160" s="213"/>
      <c r="Z160" s="213"/>
    </row>
    <row r="161" spans="1:26" ht="14.25">
      <c r="A161" s="213"/>
      <c r="B161" s="213"/>
      <c r="C161" s="213"/>
      <c r="D161" s="213"/>
      <c r="E161" s="213"/>
      <c r="F161" s="213"/>
      <c r="G161" s="213"/>
      <c r="H161" s="213"/>
      <c r="I161" s="213"/>
      <c r="J161" s="213"/>
      <c r="K161" s="213"/>
      <c r="L161" s="213"/>
      <c r="M161" s="213"/>
      <c r="N161" s="213"/>
      <c r="O161" s="213"/>
      <c r="P161" s="213"/>
      <c r="Q161" s="213"/>
      <c r="R161" s="213"/>
      <c r="S161" s="213"/>
      <c r="T161" s="213"/>
      <c r="U161" s="213"/>
      <c r="V161" s="213"/>
      <c r="W161" s="213"/>
      <c r="X161" s="213"/>
      <c r="Y161" s="213"/>
      <c r="Z161" s="213"/>
    </row>
    <row r="162" spans="1:26" ht="14.25">
      <c r="A162" s="213"/>
      <c r="B162" s="213"/>
      <c r="C162" s="213"/>
      <c r="D162" s="213"/>
      <c r="E162" s="213"/>
      <c r="F162" s="213"/>
      <c r="G162" s="213"/>
      <c r="H162" s="213"/>
      <c r="I162" s="213"/>
      <c r="J162" s="213"/>
      <c r="K162" s="213"/>
      <c r="L162" s="213"/>
      <c r="M162" s="213"/>
      <c r="N162" s="213"/>
      <c r="O162" s="213"/>
      <c r="P162" s="213"/>
      <c r="Q162" s="213"/>
      <c r="R162" s="213"/>
      <c r="S162" s="213"/>
      <c r="T162" s="213"/>
      <c r="U162" s="213"/>
      <c r="V162" s="213"/>
      <c r="W162" s="213"/>
      <c r="X162" s="213"/>
      <c r="Y162" s="213"/>
      <c r="Z162" s="213"/>
    </row>
    <row r="163" spans="1:26" ht="14.25">
      <c r="A163" s="213"/>
      <c r="B163" s="213"/>
      <c r="C163" s="213"/>
      <c r="D163" s="213"/>
      <c r="E163" s="213"/>
      <c r="F163" s="213"/>
      <c r="G163" s="213"/>
      <c r="H163" s="213"/>
      <c r="I163" s="213"/>
      <c r="J163" s="213"/>
      <c r="K163" s="213"/>
      <c r="L163" s="213"/>
      <c r="M163" s="213"/>
      <c r="N163" s="213"/>
      <c r="O163" s="213"/>
      <c r="P163" s="213"/>
      <c r="Q163" s="213"/>
      <c r="R163" s="213"/>
      <c r="S163" s="213"/>
      <c r="T163" s="213"/>
      <c r="U163" s="213"/>
      <c r="V163" s="213"/>
      <c r="W163" s="213"/>
      <c r="X163" s="213"/>
      <c r="Y163" s="213"/>
      <c r="Z163" s="213"/>
    </row>
    <row r="164" spans="1:26" ht="14.25">
      <c r="A164" s="213"/>
      <c r="B164" s="213"/>
      <c r="C164" s="213"/>
      <c r="D164" s="213"/>
      <c r="E164" s="213"/>
      <c r="F164" s="213"/>
      <c r="G164" s="213"/>
      <c r="H164" s="213"/>
      <c r="I164" s="213"/>
      <c r="J164" s="213"/>
      <c r="K164" s="213"/>
      <c r="L164" s="213"/>
      <c r="M164" s="213"/>
      <c r="N164" s="213"/>
      <c r="O164" s="213"/>
      <c r="P164" s="213"/>
      <c r="Q164" s="213"/>
      <c r="R164" s="213"/>
      <c r="S164" s="213"/>
      <c r="T164" s="213"/>
      <c r="U164" s="213"/>
      <c r="V164" s="213"/>
      <c r="W164" s="213"/>
      <c r="X164" s="213"/>
      <c r="Y164" s="213"/>
      <c r="Z164" s="213"/>
    </row>
    <row r="165" spans="1:26" ht="14.25">
      <c r="A165" s="213"/>
      <c r="B165" s="213"/>
      <c r="C165" s="213"/>
      <c r="D165" s="213"/>
      <c r="E165" s="213"/>
      <c r="F165" s="213"/>
      <c r="G165" s="213"/>
      <c r="H165" s="213"/>
      <c r="I165" s="213"/>
      <c r="J165" s="213"/>
      <c r="K165" s="213"/>
      <c r="L165" s="213"/>
      <c r="M165" s="213"/>
      <c r="N165" s="213"/>
      <c r="O165" s="213"/>
      <c r="P165" s="213"/>
      <c r="Q165" s="213"/>
      <c r="R165" s="213"/>
      <c r="S165" s="213"/>
      <c r="T165" s="213"/>
      <c r="U165" s="213"/>
      <c r="V165" s="213"/>
      <c r="W165" s="213"/>
      <c r="X165" s="213"/>
      <c r="Y165" s="213"/>
      <c r="Z165" s="213"/>
    </row>
    <row r="166" spans="1:26" ht="14.25">
      <c r="A166" s="213"/>
      <c r="B166" s="213"/>
      <c r="C166" s="213"/>
      <c r="D166" s="213"/>
      <c r="E166" s="213"/>
      <c r="F166" s="213"/>
      <c r="G166" s="213"/>
      <c r="H166" s="213"/>
      <c r="I166" s="213"/>
      <c r="J166" s="213"/>
      <c r="K166" s="213"/>
      <c r="L166" s="213"/>
      <c r="M166" s="213"/>
      <c r="N166" s="213"/>
      <c r="O166" s="213"/>
      <c r="P166" s="213"/>
      <c r="Q166" s="213"/>
      <c r="R166" s="213"/>
      <c r="S166" s="213"/>
      <c r="T166" s="213"/>
      <c r="U166" s="213"/>
      <c r="V166" s="213"/>
      <c r="W166" s="213"/>
      <c r="X166" s="213"/>
      <c r="Y166" s="213"/>
      <c r="Z166" s="213"/>
    </row>
    <row r="167" spans="1:26" ht="14.25">
      <c r="A167" s="213"/>
      <c r="B167" s="213"/>
      <c r="C167" s="213"/>
      <c r="D167" s="213"/>
      <c r="E167" s="213"/>
      <c r="F167" s="213"/>
      <c r="G167" s="213"/>
      <c r="H167" s="213"/>
      <c r="I167" s="213"/>
      <c r="J167" s="213"/>
      <c r="K167" s="213"/>
      <c r="L167" s="213"/>
      <c r="M167" s="213"/>
      <c r="N167" s="213"/>
      <c r="O167" s="213"/>
      <c r="P167" s="213"/>
      <c r="Q167" s="213"/>
      <c r="R167" s="213"/>
      <c r="S167" s="213"/>
      <c r="T167" s="213"/>
      <c r="U167" s="213"/>
      <c r="V167" s="213"/>
      <c r="W167" s="213"/>
      <c r="X167" s="213"/>
      <c r="Y167" s="213"/>
      <c r="Z167" s="213"/>
    </row>
    <row r="168" spans="1:26" ht="14.25">
      <c r="A168" s="213"/>
      <c r="B168" s="213"/>
      <c r="C168" s="213"/>
      <c r="D168" s="213"/>
      <c r="E168" s="213"/>
      <c r="F168" s="213"/>
      <c r="G168" s="213"/>
      <c r="H168" s="213"/>
      <c r="I168" s="213"/>
      <c r="J168" s="213"/>
      <c r="K168" s="213"/>
      <c r="L168" s="213"/>
      <c r="M168" s="213"/>
      <c r="N168" s="213"/>
      <c r="O168" s="213"/>
      <c r="P168" s="213"/>
      <c r="Q168" s="213"/>
      <c r="R168" s="213"/>
      <c r="S168" s="213"/>
      <c r="T168" s="213"/>
      <c r="U168" s="213"/>
      <c r="V168" s="213"/>
      <c r="W168" s="213"/>
      <c r="X168" s="213"/>
      <c r="Y168" s="213"/>
      <c r="Z168" s="213"/>
    </row>
    <row r="169" spans="1:26" ht="14.25">
      <c r="A169" s="213"/>
      <c r="B169" s="213"/>
      <c r="C169" s="213"/>
      <c r="D169" s="213"/>
      <c r="E169" s="213"/>
      <c r="F169" s="213"/>
      <c r="G169" s="213"/>
      <c r="H169" s="213"/>
      <c r="I169" s="213"/>
      <c r="J169" s="213"/>
      <c r="K169" s="213"/>
      <c r="L169" s="213"/>
      <c r="M169" s="213"/>
      <c r="N169" s="213"/>
      <c r="O169" s="213"/>
      <c r="P169" s="213"/>
      <c r="Q169" s="213"/>
      <c r="R169" s="213"/>
      <c r="S169" s="213"/>
      <c r="T169" s="213"/>
      <c r="U169" s="213"/>
      <c r="V169" s="213"/>
      <c r="W169" s="213"/>
      <c r="X169" s="213"/>
      <c r="Y169" s="213"/>
      <c r="Z169" s="213"/>
    </row>
    <row r="170" spans="1:26" ht="14.25">
      <c r="A170" s="213"/>
      <c r="B170" s="213"/>
      <c r="C170" s="213"/>
      <c r="D170" s="213"/>
      <c r="E170" s="213"/>
      <c r="F170" s="213"/>
      <c r="G170" s="213"/>
      <c r="H170" s="213"/>
      <c r="I170" s="213"/>
      <c r="J170" s="213"/>
      <c r="K170" s="213"/>
      <c r="L170" s="213"/>
      <c r="M170" s="213"/>
      <c r="N170" s="213"/>
      <c r="O170" s="213"/>
      <c r="P170" s="213"/>
      <c r="Q170" s="213"/>
      <c r="R170" s="213"/>
      <c r="S170" s="213"/>
      <c r="T170" s="213"/>
      <c r="U170" s="213"/>
      <c r="V170" s="213"/>
      <c r="W170" s="213"/>
      <c r="X170" s="213"/>
      <c r="Y170" s="213"/>
      <c r="Z170" s="213"/>
    </row>
    <row r="171" spans="1:26" ht="14.25">
      <c r="A171" s="213"/>
      <c r="B171" s="213"/>
      <c r="C171" s="213"/>
      <c r="D171" s="213"/>
      <c r="E171" s="213"/>
      <c r="F171" s="213"/>
      <c r="G171" s="213"/>
      <c r="H171" s="213"/>
      <c r="I171" s="213"/>
      <c r="J171" s="213"/>
      <c r="K171" s="213"/>
      <c r="L171" s="213"/>
      <c r="M171" s="213"/>
      <c r="N171" s="213"/>
      <c r="O171" s="213"/>
      <c r="P171" s="213"/>
      <c r="Q171" s="213"/>
      <c r="R171" s="213"/>
      <c r="S171" s="213"/>
      <c r="T171" s="213"/>
      <c r="U171" s="213"/>
      <c r="V171" s="213"/>
      <c r="W171" s="213"/>
      <c r="X171" s="213"/>
      <c r="Y171" s="213"/>
      <c r="Z171" s="213"/>
    </row>
    <row r="172" spans="1:26" ht="14.25">
      <c r="A172" s="213"/>
      <c r="B172" s="213"/>
      <c r="C172" s="213"/>
      <c r="D172" s="213"/>
      <c r="E172" s="213"/>
      <c r="F172" s="213"/>
      <c r="G172" s="213"/>
      <c r="H172" s="213"/>
      <c r="I172" s="213"/>
      <c r="J172" s="213"/>
      <c r="K172" s="213"/>
      <c r="L172" s="213"/>
      <c r="M172" s="213"/>
      <c r="N172" s="213"/>
      <c r="O172" s="213"/>
      <c r="P172" s="213"/>
      <c r="Q172" s="213"/>
      <c r="R172" s="213"/>
      <c r="S172" s="213"/>
      <c r="T172" s="213"/>
      <c r="U172" s="213"/>
      <c r="V172" s="213"/>
      <c r="W172" s="213"/>
      <c r="X172" s="213"/>
      <c r="Y172" s="213"/>
      <c r="Z172" s="213"/>
    </row>
    <row r="173" spans="1:26" ht="14.25">
      <c r="A173" s="213"/>
      <c r="B173" s="213"/>
      <c r="C173" s="213"/>
      <c r="D173" s="213"/>
      <c r="E173" s="213"/>
      <c r="F173" s="213"/>
      <c r="G173" s="213"/>
      <c r="H173" s="213"/>
      <c r="I173" s="213"/>
      <c r="J173" s="213"/>
      <c r="K173" s="213"/>
      <c r="L173" s="213"/>
      <c r="M173" s="213"/>
      <c r="N173" s="213"/>
      <c r="O173" s="213"/>
      <c r="P173" s="213"/>
      <c r="Q173" s="213"/>
      <c r="R173" s="213"/>
      <c r="S173" s="213"/>
      <c r="T173" s="213"/>
      <c r="U173" s="213"/>
      <c r="V173" s="213"/>
      <c r="W173" s="213"/>
      <c r="X173" s="213"/>
      <c r="Y173" s="213"/>
      <c r="Z173" s="213"/>
    </row>
    <row r="174" spans="1:26" ht="14.25">
      <c r="A174" s="213"/>
      <c r="B174" s="213"/>
      <c r="C174" s="213"/>
      <c r="D174" s="213"/>
      <c r="E174" s="213"/>
      <c r="F174" s="213"/>
      <c r="G174" s="213"/>
      <c r="H174" s="213"/>
      <c r="I174" s="213"/>
      <c r="J174" s="213"/>
      <c r="K174" s="213"/>
      <c r="L174" s="213"/>
      <c r="M174" s="213"/>
      <c r="N174" s="213"/>
      <c r="O174" s="213"/>
      <c r="P174" s="213"/>
      <c r="Q174" s="213"/>
      <c r="R174" s="213"/>
      <c r="S174" s="213"/>
      <c r="T174" s="213"/>
      <c r="U174" s="213"/>
      <c r="V174" s="213"/>
      <c r="W174" s="213"/>
      <c r="X174" s="213"/>
      <c r="Y174" s="213"/>
      <c r="Z174" s="213"/>
    </row>
    <row r="175" spans="1:26" ht="14.25">
      <c r="A175" s="213"/>
      <c r="B175" s="213"/>
      <c r="C175" s="213"/>
      <c r="D175" s="213"/>
      <c r="E175" s="213"/>
      <c r="F175" s="213"/>
      <c r="G175" s="213"/>
      <c r="H175" s="213"/>
      <c r="I175" s="213"/>
      <c r="J175" s="213"/>
      <c r="K175" s="213"/>
      <c r="L175" s="213"/>
      <c r="M175" s="213"/>
      <c r="N175" s="213"/>
      <c r="O175" s="213"/>
      <c r="P175" s="213"/>
      <c r="Q175" s="213"/>
      <c r="R175" s="213"/>
      <c r="S175" s="213"/>
      <c r="T175" s="213"/>
      <c r="U175" s="213"/>
      <c r="V175" s="213"/>
      <c r="W175" s="213"/>
      <c r="X175" s="213"/>
      <c r="Y175" s="213"/>
      <c r="Z175" s="213"/>
    </row>
    <row r="176" spans="1:26" ht="14.25">
      <c r="A176" s="213"/>
      <c r="B176" s="213"/>
      <c r="C176" s="213"/>
      <c r="D176" s="213"/>
      <c r="E176" s="213"/>
      <c r="F176" s="213"/>
      <c r="G176" s="213"/>
      <c r="H176" s="213"/>
      <c r="I176" s="213"/>
      <c r="J176" s="213"/>
      <c r="K176" s="213"/>
      <c r="L176" s="213"/>
      <c r="M176" s="213"/>
      <c r="N176" s="213"/>
      <c r="O176" s="213"/>
      <c r="P176" s="213"/>
      <c r="Q176" s="213"/>
      <c r="R176" s="213"/>
      <c r="S176" s="213"/>
      <c r="T176" s="213"/>
      <c r="U176" s="213"/>
      <c r="V176" s="213"/>
      <c r="W176" s="213"/>
      <c r="X176" s="213"/>
      <c r="Y176" s="213"/>
      <c r="Z176" s="213"/>
    </row>
    <row r="177" spans="1:26" ht="14.25">
      <c r="A177" s="213"/>
      <c r="B177" s="213"/>
      <c r="C177" s="213"/>
      <c r="D177" s="213"/>
      <c r="E177" s="213"/>
      <c r="F177" s="213"/>
      <c r="G177" s="213"/>
      <c r="H177" s="213"/>
      <c r="I177" s="213"/>
      <c r="J177" s="213"/>
      <c r="K177" s="213"/>
      <c r="L177" s="213"/>
      <c r="M177" s="213"/>
      <c r="N177" s="213"/>
      <c r="O177" s="213"/>
      <c r="P177" s="213"/>
      <c r="Q177" s="213"/>
      <c r="R177" s="213"/>
      <c r="S177" s="213"/>
      <c r="T177" s="213"/>
      <c r="U177" s="213"/>
      <c r="V177" s="213"/>
      <c r="W177" s="213"/>
      <c r="X177" s="213"/>
      <c r="Y177" s="213"/>
      <c r="Z177" s="213"/>
    </row>
    <row r="178" spans="1:26" ht="14.25">
      <c r="A178" s="213"/>
      <c r="B178" s="213"/>
      <c r="C178" s="213"/>
      <c r="D178" s="213"/>
      <c r="E178" s="213"/>
      <c r="F178" s="213"/>
      <c r="G178" s="213"/>
      <c r="H178" s="213"/>
      <c r="I178" s="213"/>
      <c r="J178" s="213"/>
      <c r="K178" s="213"/>
      <c r="L178" s="213"/>
      <c r="M178" s="213"/>
      <c r="N178" s="213"/>
      <c r="O178" s="213"/>
      <c r="P178" s="213"/>
      <c r="Q178" s="213"/>
      <c r="R178" s="213"/>
      <c r="S178" s="213"/>
      <c r="T178" s="213"/>
      <c r="U178" s="213"/>
      <c r="V178" s="213"/>
      <c r="W178" s="213"/>
      <c r="X178" s="213"/>
      <c r="Y178" s="213"/>
      <c r="Z178" s="213"/>
    </row>
    <row r="179" spans="1:26" ht="14.25">
      <c r="A179" s="213"/>
      <c r="B179" s="213"/>
      <c r="C179" s="213"/>
      <c r="D179" s="213"/>
      <c r="E179" s="213"/>
      <c r="F179" s="213"/>
      <c r="G179" s="213"/>
      <c r="H179" s="213"/>
      <c r="I179" s="213"/>
      <c r="J179" s="213"/>
      <c r="K179" s="213"/>
      <c r="L179" s="213"/>
      <c r="M179" s="213"/>
      <c r="N179" s="213"/>
      <c r="O179" s="213"/>
      <c r="P179" s="213"/>
      <c r="Q179" s="213"/>
      <c r="R179" s="213"/>
      <c r="S179" s="213"/>
      <c r="T179" s="213"/>
      <c r="U179" s="213"/>
      <c r="V179" s="213"/>
      <c r="W179" s="213"/>
      <c r="X179" s="213"/>
      <c r="Y179" s="213"/>
      <c r="Z179" s="213"/>
    </row>
    <row r="180" spans="1:26" ht="14.25">
      <c r="A180" s="213"/>
      <c r="B180" s="213"/>
      <c r="C180" s="213"/>
      <c r="D180" s="213"/>
      <c r="E180" s="213"/>
      <c r="F180" s="213"/>
      <c r="G180" s="213"/>
      <c r="H180" s="213"/>
      <c r="I180" s="213"/>
      <c r="J180" s="213"/>
      <c r="K180" s="213"/>
      <c r="L180" s="213"/>
      <c r="M180" s="213"/>
      <c r="N180" s="213"/>
      <c r="O180" s="213"/>
      <c r="P180" s="213"/>
      <c r="Q180" s="213"/>
      <c r="R180" s="213"/>
      <c r="S180" s="213"/>
      <c r="T180" s="213"/>
      <c r="U180" s="213"/>
      <c r="V180" s="213"/>
      <c r="W180" s="213"/>
      <c r="X180" s="213"/>
      <c r="Y180" s="213"/>
      <c r="Z180" s="213"/>
    </row>
    <row r="181" spans="1:26" ht="14.25">
      <c r="A181" s="213"/>
      <c r="B181" s="213"/>
      <c r="C181" s="213"/>
      <c r="D181" s="213"/>
      <c r="E181" s="213"/>
      <c r="F181" s="213"/>
      <c r="G181" s="213"/>
      <c r="H181" s="213"/>
      <c r="I181" s="213"/>
      <c r="J181" s="213"/>
      <c r="K181" s="213"/>
      <c r="L181" s="213"/>
      <c r="M181" s="213"/>
      <c r="N181" s="213"/>
      <c r="O181" s="213"/>
      <c r="P181" s="213"/>
      <c r="Q181" s="213"/>
      <c r="R181" s="213"/>
      <c r="S181" s="213"/>
      <c r="T181" s="213"/>
      <c r="U181" s="213"/>
      <c r="V181" s="213"/>
      <c r="W181" s="213"/>
      <c r="X181" s="213"/>
      <c r="Y181" s="213"/>
      <c r="Z181" s="213"/>
    </row>
    <row r="182" spans="1:26" ht="14.25">
      <c r="A182" s="213"/>
      <c r="B182" s="213"/>
      <c r="C182" s="213"/>
      <c r="D182" s="213"/>
      <c r="E182" s="213"/>
      <c r="F182" s="213"/>
      <c r="G182" s="213"/>
      <c r="H182" s="213"/>
      <c r="I182" s="213"/>
      <c r="J182" s="213"/>
      <c r="K182" s="213"/>
      <c r="L182" s="213"/>
      <c r="M182" s="213"/>
      <c r="N182" s="213"/>
      <c r="O182" s="213"/>
      <c r="P182" s="213"/>
      <c r="Q182" s="213"/>
      <c r="R182" s="213"/>
      <c r="S182" s="213"/>
      <c r="T182" s="213"/>
      <c r="U182" s="213"/>
      <c r="V182" s="213"/>
      <c r="W182" s="213"/>
      <c r="X182" s="213"/>
      <c r="Y182" s="213"/>
      <c r="Z182" s="213"/>
    </row>
    <row r="183" spans="1:26" ht="14.25">
      <c r="A183" s="213"/>
      <c r="B183" s="213"/>
      <c r="C183" s="213"/>
      <c r="D183" s="213"/>
      <c r="E183" s="213"/>
      <c r="F183" s="213"/>
      <c r="G183" s="213"/>
      <c r="H183" s="213"/>
      <c r="I183" s="213"/>
      <c r="J183" s="213"/>
      <c r="K183" s="213"/>
      <c r="L183" s="213"/>
      <c r="M183" s="213"/>
      <c r="N183" s="213"/>
      <c r="O183" s="213"/>
      <c r="P183" s="213"/>
      <c r="Q183" s="213"/>
      <c r="R183" s="213"/>
      <c r="S183" s="213"/>
      <c r="T183" s="213"/>
      <c r="U183" s="213"/>
      <c r="V183" s="213"/>
      <c r="W183" s="213"/>
      <c r="X183" s="213"/>
      <c r="Y183" s="213"/>
      <c r="Z183" s="213"/>
    </row>
    <row r="184" spans="1:26" ht="14.25">
      <c r="A184" s="213"/>
      <c r="B184" s="213"/>
      <c r="C184" s="213"/>
      <c r="D184" s="213"/>
      <c r="E184" s="213"/>
      <c r="F184" s="213"/>
      <c r="G184" s="213"/>
      <c r="H184" s="213"/>
      <c r="I184" s="213"/>
      <c r="J184" s="213"/>
      <c r="K184" s="213"/>
      <c r="L184" s="213"/>
      <c r="M184" s="213"/>
      <c r="N184" s="213"/>
      <c r="O184" s="213"/>
      <c r="P184" s="213"/>
      <c r="Q184" s="213"/>
      <c r="R184" s="213"/>
      <c r="S184" s="213"/>
      <c r="T184" s="213"/>
      <c r="U184" s="213"/>
      <c r="V184" s="213"/>
      <c r="W184" s="213"/>
      <c r="X184" s="213"/>
      <c r="Y184" s="213"/>
      <c r="Z184" s="213"/>
    </row>
    <row r="185" spans="1:26" ht="14.25">
      <c r="A185" s="213"/>
      <c r="B185" s="213"/>
      <c r="C185" s="213"/>
      <c r="D185" s="213"/>
      <c r="E185" s="213"/>
      <c r="F185" s="213"/>
      <c r="G185" s="213"/>
      <c r="H185" s="213"/>
      <c r="I185" s="213"/>
      <c r="J185" s="213"/>
      <c r="K185" s="213"/>
      <c r="L185" s="213"/>
      <c r="M185" s="213"/>
      <c r="N185" s="213"/>
      <c r="O185" s="213"/>
      <c r="P185" s="213"/>
      <c r="Q185" s="213"/>
      <c r="R185" s="213"/>
      <c r="S185" s="213"/>
      <c r="T185" s="213"/>
      <c r="U185" s="213"/>
      <c r="V185" s="213"/>
      <c r="W185" s="213"/>
      <c r="X185" s="213"/>
      <c r="Y185" s="213"/>
      <c r="Z185" s="213"/>
    </row>
    <row r="186" spans="1:26" ht="14.25">
      <c r="A186" s="213"/>
      <c r="B186" s="213"/>
      <c r="C186" s="213"/>
      <c r="D186" s="213"/>
      <c r="E186" s="213"/>
      <c r="F186" s="213"/>
      <c r="G186" s="213"/>
      <c r="H186" s="213"/>
      <c r="I186" s="213"/>
      <c r="J186" s="213"/>
      <c r="K186" s="213"/>
      <c r="L186" s="213"/>
      <c r="M186" s="213"/>
      <c r="N186" s="213"/>
      <c r="O186" s="213"/>
      <c r="P186" s="213"/>
      <c r="Q186" s="213"/>
      <c r="R186" s="213"/>
      <c r="S186" s="213"/>
      <c r="T186" s="213"/>
      <c r="U186" s="213"/>
      <c r="V186" s="213"/>
      <c r="W186" s="213"/>
      <c r="X186" s="213"/>
      <c r="Y186" s="213"/>
      <c r="Z186" s="213"/>
    </row>
    <row r="187" spans="1:26" ht="14.25">
      <c r="A187" s="213"/>
      <c r="B187" s="213"/>
      <c r="C187" s="213"/>
      <c r="D187" s="213"/>
      <c r="E187" s="213"/>
      <c r="F187" s="213"/>
      <c r="G187" s="213"/>
      <c r="H187" s="213"/>
      <c r="I187" s="213"/>
      <c r="J187" s="213"/>
      <c r="K187" s="213"/>
      <c r="L187" s="213"/>
      <c r="M187" s="213"/>
      <c r="N187" s="213"/>
      <c r="O187" s="213"/>
      <c r="P187" s="213"/>
      <c r="Q187" s="213"/>
      <c r="R187" s="213"/>
      <c r="S187" s="213"/>
      <c r="T187" s="213"/>
      <c r="U187" s="213"/>
      <c r="V187" s="213"/>
      <c r="W187" s="213"/>
      <c r="X187" s="213"/>
      <c r="Y187" s="213"/>
      <c r="Z187" s="213"/>
    </row>
    <row r="188" spans="1:26" ht="14.25">
      <c r="A188" s="213"/>
      <c r="B188" s="213"/>
      <c r="C188" s="213"/>
      <c r="D188" s="213"/>
      <c r="E188" s="213"/>
      <c r="F188" s="213"/>
      <c r="G188" s="213"/>
      <c r="H188" s="213"/>
      <c r="I188" s="213"/>
      <c r="J188" s="213"/>
      <c r="K188" s="213"/>
      <c r="L188" s="213"/>
      <c r="M188" s="213"/>
      <c r="N188" s="213"/>
      <c r="O188" s="213"/>
      <c r="P188" s="213"/>
      <c r="Q188" s="213"/>
      <c r="R188" s="213"/>
      <c r="S188" s="213"/>
      <c r="T188" s="213"/>
      <c r="U188" s="213"/>
      <c r="V188" s="213"/>
      <c r="W188" s="213"/>
      <c r="X188" s="213"/>
      <c r="Y188" s="213"/>
      <c r="Z188" s="213"/>
    </row>
    <row r="189" spans="1:26" ht="14.25">
      <c r="A189" s="213"/>
      <c r="B189" s="213"/>
      <c r="C189" s="213"/>
      <c r="D189" s="213"/>
      <c r="E189" s="213"/>
      <c r="F189" s="213"/>
      <c r="G189" s="213"/>
      <c r="H189" s="213"/>
      <c r="I189" s="213"/>
      <c r="J189" s="213"/>
      <c r="K189" s="213"/>
      <c r="L189" s="213"/>
      <c r="M189" s="213"/>
      <c r="N189" s="213"/>
      <c r="O189" s="213"/>
      <c r="P189" s="213"/>
      <c r="Q189" s="213"/>
      <c r="R189" s="213"/>
      <c r="S189" s="213"/>
      <c r="T189" s="213"/>
      <c r="U189" s="213"/>
      <c r="V189" s="213"/>
      <c r="W189" s="213"/>
      <c r="X189" s="213"/>
      <c r="Y189" s="213"/>
      <c r="Z189" s="213"/>
    </row>
    <row r="190" spans="1:26" ht="14.25">
      <c r="A190" s="213"/>
      <c r="B190" s="213"/>
      <c r="C190" s="213"/>
      <c r="D190" s="213"/>
      <c r="E190" s="213"/>
      <c r="F190" s="213"/>
      <c r="G190" s="213"/>
      <c r="H190" s="213"/>
      <c r="I190" s="213"/>
      <c r="J190" s="213"/>
      <c r="K190" s="213"/>
      <c r="L190" s="213"/>
      <c r="M190" s="213"/>
      <c r="N190" s="213"/>
      <c r="O190" s="213"/>
      <c r="P190" s="213"/>
      <c r="Q190" s="213"/>
      <c r="R190" s="213"/>
      <c r="S190" s="213"/>
      <c r="T190" s="213"/>
      <c r="U190" s="213"/>
      <c r="V190" s="213"/>
      <c r="W190" s="213"/>
      <c r="X190" s="213"/>
      <c r="Y190" s="213"/>
      <c r="Z190" s="213"/>
    </row>
    <row r="191" spans="1:26" ht="14.25">
      <c r="A191" s="213"/>
      <c r="B191" s="213"/>
      <c r="C191" s="213"/>
      <c r="D191" s="213"/>
      <c r="E191" s="213"/>
      <c r="F191" s="213"/>
      <c r="G191" s="213"/>
      <c r="H191" s="213"/>
      <c r="I191" s="213"/>
      <c r="J191" s="213"/>
      <c r="K191" s="213"/>
      <c r="L191" s="213"/>
      <c r="M191" s="213"/>
      <c r="N191" s="213"/>
      <c r="O191" s="213"/>
      <c r="P191" s="213"/>
      <c r="Q191" s="213"/>
      <c r="R191" s="213"/>
      <c r="S191" s="213"/>
      <c r="T191" s="213"/>
      <c r="U191" s="213"/>
      <c r="V191" s="213"/>
      <c r="W191" s="213"/>
      <c r="X191" s="213"/>
      <c r="Y191" s="213"/>
      <c r="Z191" s="213"/>
    </row>
    <row r="192" spans="1:26" ht="14.25">
      <c r="A192" s="213"/>
      <c r="B192" s="213"/>
      <c r="C192" s="213"/>
      <c r="D192" s="213"/>
      <c r="E192" s="213"/>
      <c r="F192" s="213"/>
      <c r="G192" s="213"/>
      <c r="H192" s="213"/>
      <c r="I192" s="213"/>
      <c r="J192" s="213"/>
      <c r="K192" s="213"/>
      <c r="L192" s="213"/>
      <c r="M192" s="213"/>
      <c r="N192" s="213"/>
      <c r="O192" s="213"/>
      <c r="P192" s="213"/>
      <c r="Q192" s="213"/>
      <c r="R192" s="213"/>
      <c r="S192" s="213"/>
      <c r="T192" s="213"/>
      <c r="U192" s="213"/>
      <c r="V192" s="213"/>
      <c r="W192" s="213"/>
      <c r="X192" s="213"/>
      <c r="Y192" s="213"/>
      <c r="Z192" s="213"/>
    </row>
    <row r="193" spans="1:26" ht="14.25">
      <c r="A193" s="213"/>
      <c r="B193" s="213"/>
      <c r="C193" s="213"/>
      <c r="D193" s="213"/>
      <c r="E193" s="213"/>
      <c r="F193" s="213"/>
      <c r="G193" s="213"/>
      <c r="H193" s="213"/>
      <c r="I193" s="213"/>
      <c r="J193" s="213"/>
      <c r="K193" s="213"/>
      <c r="L193" s="213"/>
      <c r="M193" s="213"/>
      <c r="N193" s="213"/>
      <c r="O193" s="213"/>
      <c r="P193" s="213"/>
      <c r="Q193" s="213"/>
      <c r="R193" s="213"/>
      <c r="S193" s="213"/>
      <c r="T193" s="213"/>
      <c r="U193" s="213"/>
      <c r="V193" s="213"/>
      <c r="W193" s="213"/>
      <c r="X193" s="213"/>
      <c r="Y193" s="213"/>
      <c r="Z193" s="213"/>
    </row>
    <row r="194" spans="1:26" ht="14.25">
      <c r="A194" s="213"/>
      <c r="B194" s="213"/>
      <c r="C194" s="213"/>
      <c r="D194" s="213"/>
      <c r="E194" s="213"/>
      <c r="F194" s="213"/>
      <c r="G194" s="213"/>
      <c r="H194" s="213"/>
      <c r="I194" s="213"/>
      <c r="J194" s="213"/>
      <c r="K194" s="213"/>
      <c r="L194" s="213"/>
      <c r="M194" s="213"/>
      <c r="N194" s="213"/>
      <c r="O194" s="213"/>
      <c r="P194" s="213"/>
      <c r="Q194" s="213"/>
      <c r="R194" s="213"/>
      <c r="S194" s="213"/>
      <c r="T194" s="213"/>
      <c r="U194" s="213"/>
      <c r="V194" s="213"/>
      <c r="W194" s="213"/>
      <c r="X194" s="213"/>
      <c r="Y194" s="213"/>
      <c r="Z194" s="213"/>
    </row>
    <row r="195" spans="1:26" ht="14.25">
      <c r="A195" s="213"/>
      <c r="B195" s="213"/>
      <c r="C195" s="213"/>
      <c r="D195" s="213"/>
      <c r="E195" s="213"/>
      <c r="F195" s="213"/>
      <c r="G195" s="213"/>
      <c r="H195" s="213"/>
      <c r="I195" s="213"/>
      <c r="J195" s="213"/>
      <c r="K195" s="213"/>
      <c r="L195" s="213"/>
      <c r="M195" s="213"/>
      <c r="N195" s="213"/>
      <c r="O195" s="213"/>
      <c r="P195" s="213"/>
      <c r="Q195" s="213"/>
      <c r="R195" s="213"/>
      <c r="S195" s="213"/>
      <c r="T195" s="213"/>
      <c r="U195" s="213"/>
      <c r="V195" s="213"/>
      <c r="W195" s="213"/>
      <c r="X195" s="213"/>
      <c r="Y195" s="213"/>
      <c r="Z195" s="213"/>
    </row>
    <row r="196" spans="1:26" ht="14.25">
      <c r="A196" s="213"/>
      <c r="B196" s="213"/>
      <c r="C196" s="213"/>
      <c r="D196" s="213"/>
      <c r="E196" s="213"/>
      <c r="F196" s="213"/>
      <c r="G196" s="213"/>
      <c r="H196" s="213"/>
      <c r="I196" s="213"/>
      <c r="J196" s="213"/>
      <c r="K196" s="213"/>
      <c r="L196" s="213"/>
      <c r="M196" s="213"/>
      <c r="N196" s="213"/>
      <c r="O196" s="213"/>
      <c r="P196" s="213"/>
      <c r="Q196" s="213"/>
      <c r="R196" s="213"/>
      <c r="S196" s="213"/>
      <c r="T196" s="213"/>
      <c r="U196" s="213"/>
      <c r="V196" s="213"/>
      <c r="W196" s="213"/>
      <c r="X196" s="213"/>
      <c r="Y196" s="213"/>
      <c r="Z196" s="213"/>
    </row>
    <row r="197" spans="1:26" ht="14.25">
      <c r="A197" s="213"/>
      <c r="B197" s="213"/>
      <c r="C197" s="213"/>
      <c r="D197" s="213"/>
      <c r="E197" s="213"/>
      <c r="F197" s="213"/>
      <c r="G197" s="213"/>
      <c r="H197" s="213"/>
      <c r="I197" s="213"/>
      <c r="J197" s="213"/>
      <c r="K197" s="213"/>
      <c r="L197" s="213"/>
      <c r="M197" s="213"/>
      <c r="N197" s="213"/>
      <c r="O197" s="213"/>
      <c r="P197" s="213"/>
      <c r="Q197" s="213"/>
      <c r="R197" s="213"/>
      <c r="S197" s="213"/>
      <c r="T197" s="213"/>
      <c r="U197" s="213"/>
      <c r="V197" s="213"/>
      <c r="W197" s="213"/>
      <c r="X197" s="213"/>
      <c r="Y197" s="213"/>
      <c r="Z197" s="213"/>
    </row>
    <row r="198" spans="1:26" ht="14.25">
      <c r="A198" s="213"/>
      <c r="B198" s="213"/>
      <c r="C198" s="213"/>
      <c r="D198" s="213"/>
      <c r="E198" s="213"/>
      <c r="F198" s="213"/>
      <c r="G198" s="213"/>
      <c r="H198" s="213"/>
      <c r="I198" s="213"/>
      <c r="J198" s="213"/>
      <c r="K198" s="213"/>
      <c r="L198" s="213"/>
      <c r="M198" s="213"/>
      <c r="N198" s="213"/>
      <c r="O198" s="213"/>
      <c r="P198" s="213"/>
      <c r="Q198" s="213"/>
      <c r="R198" s="213"/>
      <c r="S198" s="213"/>
      <c r="T198" s="213"/>
      <c r="U198" s="213"/>
      <c r="V198" s="213"/>
      <c r="W198" s="213"/>
      <c r="X198" s="213"/>
      <c r="Y198" s="213"/>
      <c r="Z198" s="213"/>
    </row>
    <row r="199" spans="1:26" ht="14.25">
      <c r="A199" s="213"/>
      <c r="B199" s="213"/>
      <c r="C199" s="213"/>
      <c r="D199" s="213"/>
      <c r="E199" s="213"/>
      <c r="F199" s="213"/>
      <c r="G199" s="213"/>
      <c r="H199" s="213"/>
      <c r="I199" s="213"/>
      <c r="J199" s="213"/>
      <c r="K199" s="213"/>
      <c r="L199" s="213"/>
      <c r="M199" s="213"/>
      <c r="N199" s="213"/>
      <c r="O199" s="213"/>
      <c r="P199" s="213"/>
      <c r="Q199" s="213"/>
      <c r="R199" s="213"/>
      <c r="S199" s="213"/>
      <c r="T199" s="213"/>
      <c r="U199" s="213"/>
      <c r="V199" s="213"/>
      <c r="W199" s="213"/>
      <c r="X199" s="213"/>
      <c r="Y199" s="213"/>
      <c r="Z199" s="213"/>
    </row>
    <row r="200" spans="1:26" ht="14.25">
      <c r="A200" s="213"/>
      <c r="B200" s="213"/>
      <c r="C200" s="213"/>
      <c r="D200" s="213"/>
      <c r="E200" s="213"/>
      <c r="F200" s="213"/>
      <c r="G200" s="213"/>
      <c r="H200" s="213"/>
      <c r="I200" s="213"/>
      <c r="J200" s="213"/>
      <c r="K200" s="213"/>
      <c r="L200" s="213"/>
      <c r="M200" s="213"/>
      <c r="N200" s="213"/>
      <c r="O200" s="213"/>
      <c r="P200" s="213"/>
      <c r="Q200" s="213"/>
      <c r="R200" s="213"/>
      <c r="S200" s="213"/>
      <c r="T200" s="213"/>
      <c r="U200" s="213"/>
      <c r="V200" s="213"/>
      <c r="W200" s="213"/>
      <c r="X200" s="213"/>
      <c r="Y200" s="213"/>
      <c r="Z200" s="213"/>
    </row>
    <row r="201" spans="1:26" ht="14.25">
      <c r="A201" s="213"/>
      <c r="B201" s="213"/>
      <c r="C201" s="213"/>
      <c r="D201" s="213"/>
      <c r="E201" s="213"/>
      <c r="F201" s="213"/>
      <c r="G201" s="213"/>
      <c r="H201" s="213"/>
      <c r="I201" s="213"/>
      <c r="J201" s="213"/>
      <c r="K201" s="213"/>
      <c r="L201" s="213"/>
      <c r="M201" s="213"/>
      <c r="N201" s="213"/>
      <c r="O201" s="213"/>
      <c r="P201" s="213"/>
      <c r="Q201" s="213"/>
      <c r="R201" s="213"/>
      <c r="S201" s="213"/>
      <c r="T201" s="213"/>
      <c r="U201" s="213"/>
      <c r="V201" s="213"/>
      <c r="W201" s="213"/>
      <c r="X201" s="213"/>
      <c r="Y201" s="213"/>
      <c r="Z201" s="213"/>
    </row>
    <row r="202" spans="1:26" ht="14.25">
      <c r="A202" s="213"/>
      <c r="B202" s="213"/>
      <c r="C202" s="213"/>
      <c r="D202" s="213"/>
      <c r="E202" s="213"/>
      <c r="F202" s="213"/>
      <c r="G202" s="213"/>
      <c r="H202" s="213"/>
      <c r="I202" s="213"/>
      <c r="J202" s="213"/>
      <c r="K202" s="213"/>
      <c r="L202" s="213"/>
      <c r="M202" s="213"/>
      <c r="N202" s="213"/>
      <c r="O202" s="213"/>
      <c r="P202" s="213"/>
      <c r="Q202" s="213"/>
      <c r="R202" s="213"/>
      <c r="S202" s="213"/>
      <c r="T202" s="213"/>
      <c r="U202" s="213"/>
      <c r="V202" s="213"/>
      <c r="W202" s="213"/>
      <c r="X202" s="213"/>
      <c r="Y202" s="213"/>
      <c r="Z202" s="213"/>
    </row>
    <row r="203" spans="1:26" ht="14.25">
      <c r="A203" s="213"/>
      <c r="B203" s="213"/>
      <c r="C203" s="213"/>
      <c r="D203" s="213"/>
      <c r="E203" s="213"/>
      <c r="F203" s="213"/>
      <c r="G203" s="213"/>
      <c r="H203" s="213"/>
      <c r="I203" s="213"/>
      <c r="J203" s="213"/>
      <c r="K203" s="213"/>
      <c r="L203" s="213"/>
      <c r="M203" s="213"/>
      <c r="N203" s="213"/>
      <c r="O203" s="213"/>
      <c r="P203" s="213"/>
      <c r="Q203" s="213"/>
      <c r="R203" s="213"/>
      <c r="S203" s="213"/>
      <c r="T203" s="213"/>
      <c r="U203" s="213"/>
      <c r="V203" s="213"/>
      <c r="W203" s="213"/>
      <c r="X203" s="213"/>
      <c r="Y203" s="213"/>
      <c r="Z203" s="213"/>
    </row>
    <row r="204" spans="1:26" ht="14.25">
      <c r="A204" s="213"/>
      <c r="B204" s="213"/>
      <c r="C204" s="213"/>
      <c r="D204" s="213"/>
      <c r="E204" s="213"/>
      <c r="F204" s="213"/>
      <c r="G204" s="213"/>
      <c r="H204" s="213"/>
      <c r="I204" s="213"/>
      <c r="J204" s="213"/>
      <c r="K204" s="213"/>
      <c r="L204" s="213"/>
      <c r="M204" s="213"/>
      <c r="N204" s="213"/>
      <c r="O204" s="213"/>
      <c r="P204" s="213"/>
      <c r="Q204" s="213"/>
      <c r="R204" s="213"/>
      <c r="S204" s="213"/>
      <c r="T204" s="213"/>
      <c r="U204" s="213"/>
      <c r="V204" s="213"/>
      <c r="W204" s="213"/>
      <c r="X204" s="213"/>
      <c r="Y204" s="213"/>
      <c r="Z204" s="213"/>
    </row>
    <row r="205" spans="1:26" ht="14.25">
      <c r="A205" s="213"/>
      <c r="B205" s="213"/>
      <c r="C205" s="213"/>
      <c r="D205" s="213"/>
      <c r="E205" s="213"/>
      <c r="F205" s="213"/>
      <c r="G205" s="213"/>
      <c r="H205" s="213"/>
      <c r="I205" s="213"/>
      <c r="J205" s="213"/>
      <c r="K205" s="213"/>
      <c r="L205" s="213"/>
      <c r="M205" s="213"/>
      <c r="N205" s="213"/>
      <c r="O205" s="213"/>
      <c r="P205" s="213"/>
      <c r="Q205" s="213"/>
      <c r="R205" s="213"/>
      <c r="S205" s="213"/>
      <c r="T205" s="213"/>
      <c r="U205" s="213"/>
      <c r="V205" s="213"/>
      <c r="W205" s="213"/>
      <c r="X205" s="213"/>
      <c r="Y205" s="213"/>
      <c r="Z205" s="213"/>
    </row>
    <row r="206" spans="1:26" ht="14.25">
      <c r="A206" s="213"/>
      <c r="B206" s="213"/>
      <c r="C206" s="213"/>
      <c r="D206" s="213"/>
      <c r="E206" s="213"/>
      <c r="F206" s="213"/>
      <c r="G206" s="213"/>
      <c r="H206" s="213"/>
      <c r="I206" s="213"/>
      <c r="J206" s="213"/>
      <c r="K206" s="213"/>
      <c r="L206" s="213"/>
      <c r="M206" s="213"/>
      <c r="N206" s="213"/>
      <c r="O206" s="213"/>
      <c r="P206" s="213"/>
      <c r="Q206" s="213"/>
      <c r="R206" s="213"/>
      <c r="S206" s="213"/>
      <c r="T206" s="213"/>
      <c r="U206" s="213"/>
      <c r="V206" s="213"/>
      <c r="W206" s="213"/>
      <c r="X206" s="213"/>
      <c r="Y206" s="213"/>
      <c r="Z206" s="213"/>
    </row>
    <row r="207" spans="1:26" ht="14.25">
      <c r="A207" s="213"/>
      <c r="B207" s="213"/>
      <c r="C207" s="213"/>
      <c r="D207" s="213"/>
      <c r="E207" s="213"/>
      <c r="F207" s="213"/>
      <c r="G207" s="213"/>
      <c r="H207" s="213"/>
      <c r="I207" s="213"/>
      <c r="J207" s="213"/>
      <c r="K207" s="213"/>
      <c r="L207" s="213"/>
      <c r="M207" s="213"/>
      <c r="N207" s="213"/>
      <c r="O207" s="213"/>
      <c r="P207" s="213"/>
      <c r="Q207" s="213"/>
      <c r="R207" s="213"/>
      <c r="S207" s="213"/>
      <c r="T207" s="213"/>
      <c r="U207" s="213"/>
      <c r="V207" s="213"/>
      <c r="W207" s="213"/>
      <c r="X207" s="213"/>
      <c r="Y207" s="213"/>
      <c r="Z207" s="213"/>
    </row>
    <row r="208" spans="1:26" ht="14.25">
      <c r="A208" s="213"/>
      <c r="B208" s="213"/>
      <c r="C208" s="213"/>
      <c r="D208" s="213"/>
      <c r="E208" s="213"/>
      <c r="F208" s="213"/>
      <c r="G208" s="213"/>
      <c r="H208" s="213"/>
      <c r="I208" s="213"/>
      <c r="J208" s="213"/>
      <c r="K208" s="213"/>
      <c r="L208" s="213"/>
      <c r="M208" s="213"/>
      <c r="N208" s="213"/>
      <c r="O208" s="213"/>
      <c r="P208" s="213"/>
      <c r="Q208" s="213"/>
      <c r="R208" s="213"/>
      <c r="S208" s="213"/>
      <c r="T208" s="213"/>
      <c r="U208" s="213"/>
      <c r="V208" s="213"/>
      <c r="W208" s="213"/>
      <c r="X208" s="213"/>
      <c r="Y208" s="213"/>
      <c r="Z208" s="213"/>
    </row>
    <row r="209" spans="1:26" ht="14.25">
      <c r="A209" s="213"/>
      <c r="B209" s="213"/>
      <c r="C209" s="213"/>
      <c r="D209" s="213"/>
      <c r="E209" s="213"/>
      <c r="F209" s="213"/>
      <c r="G209" s="213"/>
      <c r="H209" s="213"/>
      <c r="I209" s="213"/>
      <c r="J209" s="213"/>
      <c r="K209" s="213"/>
      <c r="L209" s="213"/>
      <c r="M209" s="213"/>
      <c r="N209" s="213"/>
      <c r="O209" s="213"/>
      <c r="P209" s="213"/>
      <c r="Q209" s="213"/>
      <c r="R209" s="213"/>
      <c r="S209" s="213"/>
      <c r="T209" s="213"/>
      <c r="U209" s="213"/>
      <c r="V209" s="213"/>
      <c r="W209" s="213"/>
      <c r="X209" s="213"/>
      <c r="Y209" s="213"/>
      <c r="Z209" s="213"/>
    </row>
    <row r="210" spans="1:26" ht="14.25">
      <c r="A210" s="213"/>
      <c r="B210" s="213"/>
      <c r="C210" s="213"/>
      <c r="D210" s="213"/>
      <c r="E210" s="213"/>
      <c r="F210" s="213"/>
      <c r="G210" s="213"/>
      <c r="H210" s="213"/>
      <c r="I210" s="213"/>
      <c r="J210" s="213"/>
      <c r="K210" s="213"/>
      <c r="L210" s="213"/>
      <c r="M210" s="213"/>
      <c r="N210" s="213"/>
      <c r="O210" s="213"/>
      <c r="P210" s="213"/>
      <c r="Q210" s="213"/>
      <c r="R210" s="213"/>
      <c r="S210" s="213"/>
      <c r="T210" s="213"/>
      <c r="U210" s="213"/>
      <c r="V210" s="213"/>
      <c r="W210" s="213"/>
      <c r="X210" s="213"/>
      <c r="Y210" s="213"/>
      <c r="Z210" s="213"/>
    </row>
    <row r="211" spans="1:26" ht="14.25">
      <c r="A211" s="213"/>
      <c r="B211" s="213"/>
      <c r="C211" s="213"/>
      <c r="D211" s="213"/>
      <c r="E211" s="213"/>
      <c r="F211" s="213"/>
      <c r="G211" s="213"/>
      <c r="H211" s="213"/>
      <c r="I211" s="213"/>
      <c r="J211" s="213"/>
      <c r="K211" s="213"/>
      <c r="L211" s="213"/>
      <c r="M211" s="213"/>
      <c r="N211" s="213"/>
      <c r="O211" s="213"/>
      <c r="P211" s="213"/>
      <c r="Q211" s="213"/>
      <c r="R211" s="213"/>
      <c r="S211" s="213"/>
      <c r="T211" s="213"/>
      <c r="U211" s="213"/>
      <c r="V211" s="213"/>
      <c r="W211" s="213"/>
      <c r="X211" s="213"/>
      <c r="Y211" s="213"/>
      <c r="Z211" s="213"/>
    </row>
    <row r="212" spans="1:26" ht="14.25">
      <c r="A212" s="213"/>
      <c r="B212" s="213"/>
      <c r="C212" s="213"/>
      <c r="D212" s="213"/>
      <c r="E212" s="213"/>
      <c r="F212" s="213"/>
      <c r="G212" s="213"/>
      <c r="H212" s="213"/>
      <c r="I212" s="213"/>
      <c r="J212" s="213"/>
      <c r="K212" s="213"/>
      <c r="L212" s="213"/>
      <c r="M212" s="213"/>
      <c r="N212" s="213"/>
      <c r="O212" s="213"/>
      <c r="P212" s="213"/>
      <c r="Q212" s="213"/>
      <c r="R212" s="213"/>
      <c r="S212" s="213"/>
      <c r="T212" s="213"/>
      <c r="U212" s="213"/>
      <c r="V212" s="213"/>
      <c r="W212" s="213"/>
      <c r="X212" s="213"/>
      <c r="Y212" s="213"/>
      <c r="Z212" s="213"/>
    </row>
    <row r="213" spans="1:26" ht="14.25">
      <c r="A213" s="213"/>
      <c r="B213" s="213"/>
      <c r="C213" s="213"/>
      <c r="D213" s="213"/>
      <c r="E213" s="213"/>
      <c r="F213" s="213"/>
      <c r="G213" s="213"/>
      <c r="H213" s="213"/>
      <c r="I213" s="213"/>
      <c r="J213" s="213"/>
      <c r="K213" s="213"/>
      <c r="L213" s="213"/>
      <c r="M213" s="213"/>
      <c r="N213" s="213"/>
      <c r="O213" s="213"/>
      <c r="P213" s="213"/>
      <c r="Q213" s="213"/>
      <c r="R213" s="213"/>
      <c r="S213" s="213"/>
      <c r="T213" s="213"/>
      <c r="U213" s="213"/>
      <c r="V213" s="213"/>
      <c r="W213" s="213"/>
      <c r="X213" s="213"/>
      <c r="Y213" s="213"/>
      <c r="Z213" s="213"/>
    </row>
    <row r="214" spans="1:26" ht="14.25">
      <c r="A214" s="213"/>
      <c r="B214" s="213"/>
      <c r="C214" s="213"/>
      <c r="D214" s="213"/>
      <c r="E214" s="213"/>
      <c r="F214" s="213"/>
      <c r="G214" s="213"/>
      <c r="H214" s="213"/>
      <c r="I214" s="213"/>
      <c r="J214" s="213"/>
      <c r="K214" s="213"/>
      <c r="L214" s="213"/>
      <c r="M214" s="213"/>
      <c r="N214" s="213"/>
      <c r="O214" s="213"/>
      <c r="P214" s="213"/>
      <c r="Q214" s="213"/>
      <c r="R214" s="213"/>
      <c r="S214" s="213"/>
      <c r="T214" s="213"/>
      <c r="U214" s="213"/>
      <c r="V214" s="213"/>
      <c r="W214" s="213"/>
      <c r="X214" s="213"/>
      <c r="Y214" s="213"/>
      <c r="Z214" s="213"/>
    </row>
    <row r="215" spans="1:26" ht="14.25">
      <c r="A215" s="213"/>
      <c r="B215" s="213"/>
      <c r="C215" s="213"/>
      <c r="D215" s="213"/>
      <c r="E215" s="213"/>
      <c r="F215" s="213"/>
      <c r="G215" s="213"/>
      <c r="H215" s="213"/>
      <c r="I215" s="213"/>
      <c r="J215" s="213"/>
      <c r="K215" s="213"/>
      <c r="L215" s="213"/>
      <c r="M215" s="213"/>
      <c r="N215" s="213"/>
      <c r="O215" s="213"/>
      <c r="P215" s="213"/>
      <c r="Q215" s="213"/>
      <c r="R215" s="213"/>
      <c r="S215" s="213"/>
      <c r="T215" s="213"/>
      <c r="U215" s="213"/>
      <c r="V215" s="213"/>
      <c r="W215" s="213"/>
      <c r="X215" s="213"/>
      <c r="Y215" s="213"/>
      <c r="Z215" s="213"/>
    </row>
    <row r="216" spans="1:26" ht="14.25">
      <c r="A216" s="213"/>
      <c r="B216" s="213"/>
      <c r="C216" s="213"/>
      <c r="D216" s="213"/>
      <c r="E216" s="213"/>
      <c r="F216" s="213"/>
      <c r="G216" s="213"/>
      <c r="H216" s="213"/>
      <c r="I216" s="213"/>
      <c r="J216" s="213"/>
      <c r="K216" s="213"/>
      <c r="L216" s="213"/>
      <c r="M216" s="213"/>
      <c r="N216" s="213"/>
      <c r="O216" s="213"/>
      <c r="P216" s="213"/>
      <c r="Q216" s="213"/>
      <c r="R216" s="213"/>
      <c r="S216" s="213"/>
      <c r="T216" s="213"/>
      <c r="U216" s="213"/>
      <c r="V216" s="213"/>
      <c r="W216" s="213"/>
      <c r="X216" s="213"/>
      <c r="Y216" s="213"/>
      <c r="Z216" s="213"/>
    </row>
    <row r="217" spans="1:26" ht="14.25">
      <c r="A217" s="213"/>
      <c r="B217" s="213"/>
      <c r="C217" s="213"/>
      <c r="D217" s="213"/>
      <c r="E217" s="213"/>
      <c r="F217" s="213"/>
      <c r="G217" s="213"/>
      <c r="H217" s="213"/>
      <c r="I217" s="213"/>
      <c r="J217" s="213"/>
      <c r="K217" s="213"/>
      <c r="L217" s="213"/>
      <c r="M217" s="213"/>
      <c r="N217" s="213"/>
      <c r="O217" s="213"/>
      <c r="P217" s="213"/>
      <c r="Q217" s="213"/>
      <c r="R217" s="213"/>
      <c r="S217" s="213"/>
      <c r="T217" s="213"/>
      <c r="U217" s="213"/>
      <c r="V217" s="213"/>
      <c r="W217" s="213"/>
      <c r="X217" s="213"/>
      <c r="Y217" s="213"/>
      <c r="Z217" s="213"/>
    </row>
    <row r="218" spans="1:26" ht="14.25">
      <c r="A218" s="213"/>
      <c r="B218" s="213"/>
      <c r="C218" s="213"/>
      <c r="D218" s="213"/>
      <c r="E218" s="213"/>
      <c r="F218" s="213"/>
      <c r="G218" s="213"/>
      <c r="H218" s="213"/>
      <c r="I218" s="213"/>
      <c r="J218" s="213"/>
      <c r="K218" s="213"/>
      <c r="L218" s="213"/>
      <c r="M218" s="213"/>
      <c r="N218" s="213"/>
      <c r="O218" s="213"/>
      <c r="P218" s="213"/>
      <c r="Q218" s="213"/>
      <c r="R218" s="213"/>
      <c r="S218" s="213"/>
      <c r="T218" s="213"/>
      <c r="U218" s="213"/>
      <c r="V218" s="213"/>
      <c r="W218" s="213"/>
      <c r="X218" s="213"/>
      <c r="Y218" s="213"/>
      <c r="Z218" s="213"/>
    </row>
    <row r="219" spans="1:26" ht="14.25">
      <c r="A219" s="213"/>
      <c r="B219" s="213"/>
      <c r="C219" s="213"/>
      <c r="D219" s="213"/>
      <c r="E219" s="213"/>
      <c r="F219" s="213"/>
      <c r="G219" s="213"/>
      <c r="H219" s="213"/>
      <c r="I219" s="213"/>
      <c r="J219" s="213"/>
      <c r="K219" s="213"/>
      <c r="L219" s="213"/>
      <c r="M219" s="213"/>
      <c r="N219" s="213"/>
      <c r="O219" s="213"/>
      <c r="P219" s="213"/>
      <c r="Q219" s="213"/>
      <c r="R219" s="213"/>
      <c r="S219" s="213"/>
      <c r="T219" s="213"/>
      <c r="U219" s="213"/>
      <c r="V219" s="213"/>
      <c r="W219" s="213"/>
      <c r="X219" s="213"/>
      <c r="Y219" s="213"/>
      <c r="Z219" s="213"/>
    </row>
    <row r="220" spans="1:26" ht="14.25">
      <c r="A220" s="213"/>
      <c r="B220" s="213"/>
      <c r="C220" s="213"/>
      <c r="D220" s="213"/>
      <c r="E220" s="213"/>
      <c r="F220" s="213"/>
      <c r="G220" s="213"/>
      <c r="H220" s="213"/>
      <c r="I220" s="213"/>
      <c r="J220" s="213"/>
      <c r="K220" s="213"/>
      <c r="L220" s="213"/>
      <c r="M220" s="213"/>
      <c r="N220" s="213"/>
      <c r="O220" s="213"/>
      <c r="P220" s="213"/>
      <c r="Q220" s="213"/>
      <c r="R220" s="213"/>
      <c r="S220" s="213"/>
      <c r="T220" s="213"/>
      <c r="U220" s="213"/>
      <c r="V220" s="213"/>
      <c r="W220" s="213"/>
      <c r="X220" s="213"/>
      <c r="Y220" s="213"/>
      <c r="Z220" s="213"/>
    </row>
    <row r="221" spans="1:26" ht="14.25">
      <c r="A221" s="213"/>
      <c r="B221" s="213"/>
      <c r="C221" s="213"/>
      <c r="D221" s="213"/>
      <c r="E221" s="213"/>
      <c r="F221" s="213"/>
      <c r="G221" s="213"/>
      <c r="H221" s="213"/>
      <c r="I221" s="213"/>
      <c r="J221" s="213"/>
      <c r="K221" s="213"/>
      <c r="L221" s="213"/>
      <c r="M221" s="213"/>
      <c r="N221" s="213"/>
      <c r="O221" s="213"/>
      <c r="P221" s="213"/>
      <c r="Q221" s="213"/>
      <c r="R221" s="213"/>
      <c r="S221" s="213"/>
      <c r="T221" s="213"/>
      <c r="U221" s="213"/>
      <c r="V221" s="213"/>
      <c r="W221" s="213"/>
      <c r="X221" s="213"/>
      <c r="Y221" s="213"/>
      <c r="Z221" s="213"/>
    </row>
    <row r="222" spans="1:26" ht="14.25">
      <c r="A222" s="213"/>
      <c r="B222" s="213"/>
      <c r="C222" s="213"/>
      <c r="D222" s="213"/>
      <c r="E222" s="213"/>
      <c r="F222" s="213"/>
      <c r="G222" s="213"/>
      <c r="H222" s="213"/>
      <c r="I222" s="213"/>
      <c r="J222" s="213"/>
      <c r="K222" s="213"/>
      <c r="L222" s="213"/>
      <c r="M222" s="213"/>
      <c r="N222" s="213"/>
      <c r="O222" s="213"/>
      <c r="P222" s="213"/>
      <c r="Q222" s="213"/>
      <c r="R222" s="213"/>
      <c r="S222" s="213"/>
      <c r="T222" s="213"/>
      <c r="U222" s="213"/>
      <c r="V222" s="213"/>
      <c r="W222" s="213"/>
      <c r="X222" s="213"/>
      <c r="Y222" s="213"/>
      <c r="Z222" s="213"/>
    </row>
    <row r="223" spans="1:26" ht="14.25">
      <c r="A223" s="213"/>
      <c r="B223" s="213"/>
      <c r="C223" s="213"/>
      <c r="D223" s="213"/>
      <c r="E223" s="213"/>
      <c r="F223" s="213"/>
      <c r="G223" s="213"/>
      <c r="H223" s="213"/>
      <c r="I223" s="213"/>
      <c r="J223" s="213"/>
      <c r="K223" s="213"/>
      <c r="L223" s="213"/>
      <c r="M223" s="213"/>
      <c r="N223" s="213"/>
      <c r="O223" s="213"/>
      <c r="P223" s="213"/>
      <c r="Q223" s="213"/>
      <c r="R223" s="213"/>
      <c r="S223" s="213"/>
      <c r="T223" s="213"/>
      <c r="U223" s="213"/>
      <c r="V223" s="213"/>
      <c r="W223" s="213"/>
      <c r="X223" s="213"/>
      <c r="Y223" s="213"/>
      <c r="Z223" s="213"/>
    </row>
    <row r="224" spans="1:26" ht="14.25">
      <c r="A224" s="213"/>
      <c r="B224" s="213"/>
      <c r="C224" s="213"/>
      <c r="D224" s="213"/>
      <c r="E224" s="213"/>
      <c r="F224" s="213"/>
      <c r="G224" s="213"/>
      <c r="H224" s="213"/>
      <c r="I224" s="213"/>
      <c r="J224" s="213"/>
      <c r="K224" s="213"/>
      <c r="L224" s="213"/>
      <c r="M224" s="213"/>
      <c r="N224" s="213"/>
      <c r="O224" s="213"/>
      <c r="P224" s="213"/>
      <c r="Q224" s="213"/>
      <c r="R224" s="213"/>
      <c r="S224" s="213"/>
      <c r="T224" s="213"/>
      <c r="U224" s="213"/>
      <c r="V224" s="213"/>
      <c r="W224" s="213"/>
      <c r="X224" s="213"/>
      <c r="Y224" s="213"/>
      <c r="Z224" s="213"/>
    </row>
    <row r="225" spans="1:26" ht="14.25">
      <c r="A225" s="213"/>
      <c r="B225" s="213"/>
      <c r="C225" s="213"/>
      <c r="D225" s="213"/>
      <c r="E225" s="213"/>
      <c r="F225" s="213"/>
      <c r="G225" s="213"/>
      <c r="H225" s="213"/>
      <c r="I225" s="213"/>
      <c r="J225" s="213"/>
      <c r="K225" s="213"/>
      <c r="L225" s="213"/>
      <c r="M225" s="213"/>
      <c r="N225" s="213"/>
      <c r="O225" s="213"/>
      <c r="P225" s="213"/>
      <c r="Q225" s="213"/>
      <c r="R225" s="213"/>
      <c r="S225" s="213"/>
      <c r="T225" s="213"/>
      <c r="U225" s="213"/>
      <c r="V225" s="213"/>
      <c r="W225" s="213"/>
      <c r="X225" s="213"/>
      <c r="Y225" s="213"/>
      <c r="Z225" s="213"/>
    </row>
    <row r="226" spans="1:26" ht="14.25">
      <c r="A226" s="213"/>
      <c r="B226" s="213"/>
      <c r="C226" s="213"/>
      <c r="D226" s="213"/>
      <c r="E226" s="213"/>
      <c r="F226" s="213"/>
      <c r="G226" s="213"/>
      <c r="H226" s="213"/>
      <c r="I226" s="213"/>
      <c r="J226" s="213"/>
      <c r="K226" s="213"/>
      <c r="L226" s="213"/>
      <c r="M226" s="213"/>
      <c r="N226" s="213"/>
      <c r="O226" s="213"/>
      <c r="P226" s="213"/>
      <c r="Q226" s="213"/>
      <c r="R226" s="213"/>
      <c r="S226" s="213"/>
      <c r="T226" s="213"/>
      <c r="U226" s="213"/>
      <c r="V226" s="213"/>
      <c r="W226" s="213"/>
      <c r="X226" s="213"/>
      <c r="Y226" s="213"/>
      <c r="Z226" s="213"/>
    </row>
    <row r="227" spans="1:26" ht="14.25">
      <c r="A227" s="213"/>
      <c r="B227" s="213"/>
      <c r="C227" s="213"/>
      <c r="D227" s="213"/>
      <c r="E227" s="213"/>
      <c r="F227" s="213"/>
      <c r="G227" s="213"/>
      <c r="H227" s="213"/>
      <c r="I227" s="213"/>
      <c r="J227" s="213"/>
      <c r="K227" s="213"/>
      <c r="L227" s="213"/>
      <c r="M227" s="213"/>
      <c r="N227" s="213"/>
      <c r="O227" s="213"/>
      <c r="P227" s="213"/>
      <c r="Q227" s="213"/>
      <c r="R227" s="213"/>
      <c r="S227" s="213"/>
      <c r="T227" s="213"/>
      <c r="U227" s="213"/>
      <c r="V227" s="213"/>
      <c r="W227" s="213"/>
      <c r="X227" s="213"/>
      <c r="Y227" s="213"/>
      <c r="Z227" s="213"/>
    </row>
    <row r="228" spans="1:26" ht="14.25">
      <c r="A228" s="213"/>
      <c r="B228" s="213"/>
      <c r="C228" s="213"/>
      <c r="D228" s="213"/>
      <c r="E228" s="213"/>
      <c r="F228" s="213"/>
      <c r="G228" s="213"/>
      <c r="H228" s="213"/>
      <c r="I228" s="213"/>
      <c r="J228" s="213"/>
      <c r="K228" s="213"/>
      <c r="L228" s="213"/>
      <c r="M228" s="213"/>
      <c r="N228" s="213"/>
      <c r="O228" s="213"/>
      <c r="P228" s="213"/>
      <c r="Q228" s="213"/>
      <c r="R228" s="213"/>
      <c r="S228" s="213"/>
      <c r="T228" s="213"/>
      <c r="U228" s="213"/>
      <c r="V228" s="213"/>
      <c r="W228" s="213"/>
      <c r="X228" s="213"/>
      <c r="Y228" s="213"/>
      <c r="Z228" s="213"/>
    </row>
    <row r="229" spans="1:26" ht="14.25">
      <c r="A229" s="213"/>
      <c r="B229" s="213"/>
      <c r="C229" s="213"/>
      <c r="D229" s="213"/>
      <c r="E229" s="213"/>
      <c r="F229" s="213"/>
      <c r="G229" s="213"/>
      <c r="H229" s="213"/>
      <c r="I229" s="213"/>
      <c r="J229" s="213"/>
      <c r="K229" s="213"/>
      <c r="L229" s="213"/>
      <c r="M229" s="213"/>
      <c r="N229" s="213"/>
      <c r="O229" s="213"/>
      <c r="P229" s="213"/>
      <c r="Q229" s="213"/>
      <c r="R229" s="213"/>
      <c r="S229" s="213"/>
      <c r="T229" s="213"/>
      <c r="U229" s="213"/>
      <c r="V229" s="213"/>
      <c r="W229" s="213"/>
      <c r="X229" s="213"/>
      <c r="Y229" s="213"/>
      <c r="Z229" s="213"/>
    </row>
    <row r="230" spans="1:26" ht="14.25">
      <c r="A230" s="213"/>
      <c r="B230" s="213"/>
      <c r="C230" s="213"/>
      <c r="D230" s="213"/>
      <c r="E230" s="213"/>
      <c r="F230" s="213"/>
      <c r="G230" s="213"/>
      <c r="H230" s="213"/>
      <c r="I230" s="213"/>
      <c r="J230" s="213"/>
      <c r="K230" s="213"/>
      <c r="L230" s="213"/>
      <c r="M230" s="213"/>
      <c r="N230" s="213"/>
      <c r="O230" s="213"/>
      <c r="P230" s="213"/>
      <c r="Q230" s="213"/>
      <c r="R230" s="213"/>
      <c r="S230" s="213"/>
      <c r="T230" s="213"/>
      <c r="U230" s="213"/>
      <c r="V230" s="213"/>
      <c r="W230" s="213"/>
      <c r="X230" s="213"/>
      <c r="Y230" s="213"/>
      <c r="Z230" s="213"/>
    </row>
    <row r="231" spans="1:26" ht="14.25">
      <c r="A231" s="213"/>
      <c r="B231" s="213"/>
      <c r="C231" s="213"/>
      <c r="D231" s="213"/>
      <c r="E231" s="213"/>
      <c r="F231" s="213"/>
      <c r="G231" s="213"/>
      <c r="H231" s="213"/>
      <c r="I231" s="213"/>
      <c r="J231" s="213"/>
      <c r="K231" s="213"/>
      <c r="L231" s="213"/>
      <c r="M231" s="213"/>
      <c r="N231" s="213"/>
      <c r="O231" s="213"/>
      <c r="P231" s="213"/>
      <c r="Q231" s="213"/>
      <c r="R231" s="213"/>
      <c r="S231" s="213"/>
      <c r="T231" s="213"/>
      <c r="U231" s="213"/>
      <c r="V231" s="213"/>
      <c r="W231" s="213"/>
      <c r="X231" s="213"/>
      <c r="Y231" s="213"/>
      <c r="Z231" s="213"/>
    </row>
    <row r="232" spans="1:26" ht="14.25">
      <c r="A232" s="213"/>
      <c r="B232" s="213"/>
      <c r="C232" s="213"/>
      <c r="D232" s="213"/>
      <c r="E232" s="213"/>
      <c r="F232" s="213"/>
      <c r="G232" s="213"/>
      <c r="H232" s="213"/>
      <c r="I232" s="213"/>
      <c r="J232" s="213"/>
      <c r="K232" s="213"/>
      <c r="L232" s="213"/>
      <c r="M232" s="213"/>
      <c r="N232" s="213"/>
      <c r="O232" s="213"/>
      <c r="P232" s="213"/>
      <c r="Q232" s="213"/>
      <c r="R232" s="213"/>
      <c r="S232" s="213"/>
      <c r="T232" s="213"/>
      <c r="U232" s="213"/>
      <c r="V232" s="213"/>
      <c r="W232" s="213"/>
      <c r="X232" s="213"/>
      <c r="Y232" s="213"/>
      <c r="Z232" s="213"/>
    </row>
    <row r="233" spans="1:26" ht="14.25">
      <c r="A233" s="213"/>
      <c r="B233" s="213"/>
      <c r="C233" s="213"/>
      <c r="D233" s="213"/>
      <c r="E233" s="213"/>
      <c r="F233" s="213"/>
      <c r="G233" s="213"/>
      <c r="H233" s="213"/>
      <c r="I233" s="213"/>
      <c r="J233" s="213"/>
      <c r="K233" s="213"/>
      <c r="L233" s="213"/>
      <c r="M233" s="213"/>
      <c r="N233" s="213"/>
      <c r="O233" s="213"/>
      <c r="P233" s="213"/>
      <c r="Q233" s="213"/>
      <c r="R233" s="213"/>
      <c r="S233" s="213"/>
      <c r="T233" s="213"/>
      <c r="U233" s="213"/>
      <c r="V233" s="213"/>
      <c r="W233" s="213"/>
      <c r="X233" s="213"/>
      <c r="Y233" s="213"/>
      <c r="Z233" s="213"/>
    </row>
    <row r="234" spans="1:26" ht="14.25">
      <c r="A234" s="213"/>
      <c r="B234" s="213"/>
      <c r="C234" s="213"/>
      <c r="D234" s="213"/>
      <c r="E234" s="213"/>
      <c r="F234" s="213"/>
      <c r="G234" s="213"/>
      <c r="H234" s="213"/>
      <c r="I234" s="213"/>
      <c r="J234" s="213"/>
      <c r="K234" s="213"/>
      <c r="L234" s="213"/>
      <c r="M234" s="213"/>
      <c r="N234" s="213"/>
      <c r="O234" s="213"/>
      <c r="P234" s="213"/>
      <c r="Q234" s="213"/>
      <c r="R234" s="213"/>
      <c r="S234" s="213"/>
      <c r="T234" s="213"/>
      <c r="U234" s="213"/>
      <c r="V234" s="213"/>
      <c r="W234" s="213"/>
      <c r="X234" s="213"/>
      <c r="Y234" s="213"/>
      <c r="Z234" s="213"/>
    </row>
    <row r="235" spans="1:26" ht="14.25">
      <c r="A235" s="213"/>
      <c r="B235" s="213"/>
      <c r="C235" s="213"/>
      <c r="D235" s="213"/>
      <c r="E235" s="213"/>
      <c r="F235" s="213"/>
      <c r="G235" s="213"/>
      <c r="H235" s="213"/>
      <c r="I235" s="213"/>
      <c r="J235" s="213"/>
      <c r="K235" s="213"/>
      <c r="L235" s="213"/>
      <c r="M235" s="213"/>
      <c r="N235" s="213"/>
      <c r="O235" s="213"/>
      <c r="P235" s="213"/>
      <c r="Q235" s="213"/>
      <c r="R235" s="213"/>
      <c r="S235" s="213"/>
      <c r="T235" s="213"/>
      <c r="U235" s="213"/>
      <c r="V235" s="213"/>
      <c r="W235" s="213"/>
      <c r="X235" s="213"/>
      <c r="Y235" s="213"/>
      <c r="Z235" s="213"/>
    </row>
    <row r="236" spans="1:26" ht="14.25">
      <c r="A236" s="213"/>
      <c r="B236" s="213"/>
      <c r="C236" s="213"/>
      <c r="D236" s="213"/>
      <c r="E236" s="213"/>
      <c r="F236" s="213"/>
      <c r="G236" s="213"/>
      <c r="H236" s="213"/>
      <c r="I236" s="213"/>
      <c r="J236" s="213"/>
      <c r="K236" s="213"/>
      <c r="L236" s="213"/>
      <c r="M236" s="213"/>
      <c r="N236" s="213"/>
      <c r="O236" s="213"/>
      <c r="P236" s="213"/>
      <c r="Q236" s="213"/>
      <c r="R236" s="213"/>
      <c r="S236" s="213"/>
      <c r="T236" s="213"/>
      <c r="U236" s="213"/>
      <c r="V236" s="213"/>
      <c r="W236" s="213"/>
      <c r="X236" s="213"/>
      <c r="Y236" s="213"/>
      <c r="Z236" s="213"/>
    </row>
    <row r="237" spans="1:26" ht="14.25">
      <c r="A237" s="213"/>
      <c r="B237" s="213"/>
      <c r="C237" s="213"/>
      <c r="D237" s="213"/>
      <c r="E237" s="213"/>
      <c r="F237" s="213"/>
      <c r="G237" s="213"/>
      <c r="H237" s="213"/>
      <c r="I237" s="213"/>
      <c r="J237" s="213"/>
      <c r="K237" s="213"/>
      <c r="L237" s="213"/>
      <c r="M237" s="213"/>
      <c r="N237" s="213"/>
      <c r="O237" s="213"/>
      <c r="P237" s="213"/>
      <c r="Q237" s="213"/>
      <c r="R237" s="213"/>
      <c r="S237" s="213"/>
      <c r="T237" s="213"/>
      <c r="U237" s="213"/>
      <c r="V237" s="213"/>
      <c r="W237" s="213"/>
      <c r="X237" s="213"/>
      <c r="Y237" s="213"/>
      <c r="Z237" s="213"/>
    </row>
    <row r="238" spans="1:26" ht="14.25">
      <c r="A238" s="213"/>
      <c r="B238" s="213"/>
      <c r="C238" s="213"/>
      <c r="D238" s="213"/>
      <c r="E238" s="213"/>
      <c r="F238" s="213"/>
      <c r="G238" s="213"/>
      <c r="H238" s="213"/>
      <c r="I238" s="213"/>
      <c r="J238" s="213"/>
      <c r="K238" s="213"/>
      <c r="L238" s="213"/>
      <c r="M238" s="213"/>
      <c r="N238" s="213"/>
      <c r="O238" s="213"/>
      <c r="P238" s="213"/>
      <c r="Q238" s="213"/>
      <c r="R238" s="213"/>
      <c r="S238" s="213"/>
      <c r="T238" s="213"/>
      <c r="U238" s="213"/>
      <c r="V238" s="213"/>
      <c r="W238" s="213"/>
      <c r="X238" s="213"/>
      <c r="Y238" s="213"/>
      <c r="Z238" s="213"/>
    </row>
    <row r="239" spans="1:26" ht="14.25">
      <c r="A239" s="213"/>
      <c r="B239" s="213"/>
      <c r="C239" s="213"/>
      <c r="D239" s="213"/>
      <c r="E239" s="213"/>
      <c r="F239" s="213"/>
      <c r="G239" s="213"/>
      <c r="H239" s="213"/>
      <c r="I239" s="213"/>
      <c r="J239" s="213"/>
      <c r="K239" s="213"/>
      <c r="L239" s="213"/>
      <c r="M239" s="213"/>
      <c r="N239" s="213"/>
      <c r="O239" s="213"/>
      <c r="P239" s="213"/>
      <c r="Q239" s="213"/>
      <c r="R239" s="213"/>
      <c r="S239" s="213"/>
      <c r="T239" s="213"/>
      <c r="U239" s="213"/>
      <c r="V239" s="213"/>
      <c r="W239" s="213"/>
      <c r="X239" s="213"/>
      <c r="Y239" s="213"/>
      <c r="Z239" s="213"/>
    </row>
    <row r="240" spans="1:26" ht="14.25">
      <c r="A240" s="213"/>
      <c r="B240" s="213"/>
      <c r="C240" s="213"/>
      <c r="D240" s="213"/>
      <c r="E240" s="213"/>
      <c r="F240" s="213"/>
      <c r="G240" s="213"/>
      <c r="H240" s="213"/>
      <c r="I240" s="213"/>
      <c r="J240" s="213"/>
      <c r="K240" s="213"/>
      <c r="L240" s="213"/>
      <c r="M240" s="213"/>
      <c r="N240" s="213"/>
      <c r="O240" s="213"/>
      <c r="P240" s="213"/>
      <c r="Q240" s="213"/>
      <c r="R240" s="213"/>
      <c r="S240" s="213"/>
      <c r="T240" s="213"/>
      <c r="U240" s="213"/>
      <c r="V240" s="213"/>
      <c r="W240" s="213"/>
      <c r="X240" s="213"/>
      <c r="Y240" s="213"/>
      <c r="Z240" s="213"/>
    </row>
    <row r="241" spans="1:26" ht="14.25">
      <c r="A241" s="213"/>
      <c r="B241" s="213"/>
      <c r="C241" s="213"/>
      <c r="D241" s="213"/>
      <c r="E241" s="213"/>
      <c r="F241" s="213"/>
      <c r="G241" s="213"/>
      <c r="H241" s="213"/>
      <c r="I241" s="213"/>
      <c r="J241" s="213"/>
      <c r="K241" s="213"/>
      <c r="L241" s="213"/>
      <c r="M241" s="213"/>
      <c r="N241" s="213"/>
      <c r="O241" s="213"/>
      <c r="P241" s="213"/>
      <c r="Q241" s="213"/>
      <c r="R241" s="213"/>
      <c r="S241" s="213"/>
      <c r="T241" s="213"/>
      <c r="U241" s="213"/>
      <c r="V241" s="213"/>
      <c r="W241" s="213"/>
      <c r="X241" s="213"/>
      <c r="Y241" s="213"/>
      <c r="Z241" s="213"/>
    </row>
    <row r="242" spans="1:26" ht="14.25">
      <c r="A242" s="213"/>
      <c r="B242" s="213"/>
      <c r="C242" s="213"/>
      <c r="D242" s="213"/>
      <c r="E242" s="213"/>
      <c r="F242" s="213"/>
      <c r="G242" s="213"/>
      <c r="H242" s="213"/>
      <c r="I242" s="213"/>
      <c r="J242" s="213"/>
      <c r="K242" s="213"/>
      <c r="L242" s="213"/>
      <c r="M242" s="213"/>
      <c r="N242" s="213"/>
      <c r="O242" s="213"/>
      <c r="P242" s="213"/>
      <c r="Q242" s="213"/>
      <c r="R242" s="213"/>
      <c r="S242" s="213"/>
      <c r="T242" s="213"/>
      <c r="U242" s="213"/>
      <c r="V242" s="213"/>
      <c r="W242" s="213"/>
      <c r="X242" s="213"/>
      <c r="Y242" s="213"/>
      <c r="Z242" s="213"/>
    </row>
    <row r="243" spans="1:26" ht="14.25">
      <c r="A243" s="213"/>
      <c r="B243" s="213"/>
      <c r="C243" s="213"/>
      <c r="D243" s="213"/>
      <c r="E243" s="213"/>
      <c r="F243" s="213"/>
      <c r="G243" s="213"/>
      <c r="H243" s="213"/>
      <c r="I243" s="213"/>
      <c r="J243" s="213"/>
      <c r="K243" s="213"/>
      <c r="L243" s="213"/>
      <c r="M243" s="213"/>
      <c r="N243" s="213"/>
      <c r="O243" s="213"/>
      <c r="P243" s="213"/>
      <c r="Q243" s="213"/>
      <c r="R243" s="213"/>
      <c r="S243" s="213"/>
      <c r="T243" s="213"/>
      <c r="U243" s="213"/>
      <c r="V243" s="213"/>
      <c r="W243" s="213"/>
      <c r="X243" s="213"/>
      <c r="Y243" s="213"/>
      <c r="Z243" s="213"/>
    </row>
    <row r="244" spans="1:26" ht="14.25">
      <c r="A244" s="213"/>
      <c r="B244" s="213"/>
      <c r="C244" s="213"/>
      <c r="D244" s="213"/>
      <c r="E244" s="213"/>
      <c r="F244" s="213"/>
      <c r="G244" s="213"/>
      <c r="H244" s="213"/>
      <c r="I244" s="213"/>
      <c r="J244" s="213"/>
      <c r="K244" s="213"/>
      <c r="L244" s="213"/>
      <c r="M244" s="213"/>
      <c r="N244" s="213"/>
      <c r="O244" s="213"/>
      <c r="P244" s="213"/>
      <c r="Q244" s="213"/>
      <c r="R244" s="213"/>
      <c r="S244" s="213"/>
      <c r="T244" s="213"/>
      <c r="U244" s="213"/>
      <c r="V244" s="213"/>
      <c r="W244" s="213"/>
      <c r="X244" s="213"/>
      <c r="Y244" s="213"/>
      <c r="Z244" s="213"/>
    </row>
    <row r="245" spans="1:26" ht="14.25">
      <c r="A245" s="213"/>
      <c r="B245" s="213"/>
      <c r="C245" s="213"/>
      <c r="D245" s="213"/>
      <c r="E245" s="213"/>
      <c r="F245" s="213"/>
      <c r="G245" s="213"/>
      <c r="H245" s="213"/>
      <c r="I245" s="213"/>
      <c r="J245" s="213"/>
      <c r="K245" s="213"/>
      <c r="L245" s="213"/>
      <c r="M245" s="213"/>
      <c r="N245" s="213"/>
      <c r="O245" s="213"/>
      <c r="P245" s="213"/>
      <c r="Q245" s="213"/>
      <c r="R245" s="213"/>
      <c r="S245" s="213"/>
      <c r="T245" s="213"/>
      <c r="U245" s="213"/>
      <c r="V245" s="213"/>
      <c r="W245" s="213"/>
      <c r="X245" s="213"/>
      <c r="Y245" s="213"/>
      <c r="Z245" s="213"/>
    </row>
    <row r="246" spans="1:26" ht="14.25">
      <c r="A246" s="213"/>
      <c r="B246" s="213"/>
      <c r="C246" s="213"/>
      <c r="D246" s="213"/>
      <c r="E246" s="213"/>
      <c r="F246" s="213"/>
      <c r="G246" s="213"/>
      <c r="H246" s="213"/>
      <c r="I246" s="213"/>
      <c r="J246" s="213"/>
      <c r="K246" s="213"/>
      <c r="L246" s="213"/>
      <c r="M246" s="213"/>
      <c r="N246" s="213"/>
      <c r="O246" s="213"/>
      <c r="P246" s="213"/>
      <c r="Q246" s="213"/>
      <c r="R246" s="213"/>
      <c r="S246" s="213"/>
      <c r="T246" s="213"/>
      <c r="U246" s="213"/>
      <c r="V246" s="213"/>
      <c r="W246" s="213"/>
      <c r="X246" s="213"/>
      <c r="Y246" s="213"/>
      <c r="Z246" s="213"/>
    </row>
    <row r="247" spans="1:26" ht="14.25">
      <c r="A247" s="213"/>
      <c r="B247" s="213"/>
      <c r="C247" s="213"/>
      <c r="D247" s="213"/>
      <c r="E247" s="213"/>
      <c r="F247" s="213"/>
      <c r="G247" s="213"/>
      <c r="H247" s="213"/>
      <c r="I247" s="213"/>
      <c r="J247" s="213"/>
      <c r="K247" s="213"/>
      <c r="L247" s="213"/>
      <c r="M247" s="213"/>
      <c r="N247" s="213"/>
      <c r="O247" s="213"/>
      <c r="P247" s="213"/>
      <c r="Q247" s="213"/>
      <c r="R247" s="213"/>
      <c r="S247" s="213"/>
      <c r="T247" s="213"/>
      <c r="U247" s="213"/>
      <c r="V247" s="213"/>
      <c r="W247" s="213"/>
      <c r="X247" s="213"/>
      <c r="Y247" s="213"/>
      <c r="Z247" s="213"/>
    </row>
    <row r="248" spans="1:26" ht="14.25">
      <c r="A248" s="213"/>
      <c r="B248" s="213"/>
      <c r="C248" s="213"/>
      <c r="D248" s="213"/>
      <c r="E248" s="213"/>
      <c r="F248" s="213"/>
      <c r="G248" s="213"/>
      <c r="H248" s="213"/>
      <c r="I248" s="213"/>
      <c r="J248" s="213"/>
      <c r="K248" s="213"/>
      <c r="L248" s="213"/>
      <c r="M248" s="213"/>
      <c r="N248" s="213"/>
      <c r="O248" s="213"/>
      <c r="P248" s="213"/>
      <c r="Q248" s="213"/>
      <c r="R248" s="213"/>
      <c r="S248" s="213"/>
      <c r="T248" s="213"/>
      <c r="U248" s="213"/>
      <c r="V248" s="213"/>
      <c r="W248" s="213"/>
      <c r="X248" s="213"/>
      <c r="Y248" s="213"/>
      <c r="Z248" s="213"/>
    </row>
    <row r="249" spans="1:26" ht="14.25">
      <c r="A249" s="213"/>
      <c r="B249" s="213"/>
      <c r="C249" s="213"/>
      <c r="D249" s="213"/>
      <c r="E249" s="213"/>
      <c r="F249" s="213"/>
      <c r="G249" s="213"/>
      <c r="H249" s="213"/>
      <c r="I249" s="213"/>
      <c r="J249" s="213"/>
      <c r="K249" s="213"/>
      <c r="L249" s="213"/>
      <c r="M249" s="213"/>
      <c r="N249" s="213"/>
      <c r="O249" s="213"/>
      <c r="P249" s="213"/>
      <c r="Q249" s="213"/>
      <c r="R249" s="213"/>
      <c r="S249" s="213"/>
      <c r="T249" s="213"/>
      <c r="U249" s="213"/>
      <c r="V249" s="213"/>
      <c r="W249" s="213"/>
      <c r="X249" s="213"/>
      <c r="Y249" s="213"/>
      <c r="Z249" s="213"/>
    </row>
    <row r="250" spans="1:26" ht="14.25">
      <c r="A250" s="213"/>
      <c r="B250" s="213"/>
      <c r="C250" s="213"/>
      <c r="D250" s="213"/>
      <c r="E250" s="213"/>
      <c r="F250" s="213"/>
      <c r="G250" s="213"/>
      <c r="H250" s="213"/>
      <c r="I250" s="213"/>
      <c r="J250" s="213"/>
      <c r="K250" s="213"/>
      <c r="L250" s="213"/>
      <c r="M250" s="213"/>
      <c r="N250" s="213"/>
      <c r="O250" s="213"/>
      <c r="P250" s="213"/>
      <c r="Q250" s="213"/>
      <c r="R250" s="213"/>
      <c r="S250" s="213"/>
      <c r="T250" s="213"/>
      <c r="U250" s="213"/>
      <c r="V250" s="213"/>
      <c r="W250" s="213"/>
      <c r="X250" s="213"/>
      <c r="Y250" s="213"/>
      <c r="Z250" s="213"/>
    </row>
    <row r="251" spans="1:26" ht="14.25">
      <c r="A251" s="213"/>
      <c r="B251" s="213"/>
      <c r="C251" s="213"/>
      <c r="D251" s="213"/>
      <c r="E251" s="213"/>
      <c r="F251" s="213"/>
      <c r="G251" s="213"/>
      <c r="H251" s="213"/>
      <c r="I251" s="213"/>
      <c r="J251" s="213"/>
      <c r="K251" s="213"/>
      <c r="L251" s="213"/>
      <c r="M251" s="213"/>
      <c r="N251" s="213"/>
      <c r="O251" s="213"/>
      <c r="P251" s="213"/>
      <c r="Q251" s="213"/>
      <c r="R251" s="213"/>
      <c r="S251" s="213"/>
      <c r="T251" s="213"/>
      <c r="U251" s="213"/>
      <c r="V251" s="213"/>
      <c r="W251" s="213"/>
      <c r="X251" s="213"/>
      <c r="Y251" s="213"/>
      <c r="Z251" s="213"/>
    </row>
    <row r="252" spans="1:26" ht="14.25">
      <c r="A252" s="213"/>
      <c r="B252" s="213"/>
      <c r="C252" s="213"/>
      <c r="D252" s="213"/>
      <c r="E252" s="213"/>
      <c r="F252" s="213"/>
      <c r="G252" s="213"/>
      <c r="H252" s="213"/>
      <c r="I252" s="213"/>
      <c r="J252" s="213"/>
      <c r="K252" s="213"/>
      <c r="L252" s="213"/>
      <c r="M252" s="213"/>
      <c r="N252" s="213"/>
      <c r="O252" s="213"/>
      <c r="P252" s="213"/>
      <c r="Q252" s="213"/>
      <c r="R252" s="213"/>
      <c r="S252" s="213"/>
      <c r="T252" s="213"/>
      <c r="U252" s="213"/>
      <c r="V252" s="213"/>
      <c r="W252" s="213"/>
      <c r="X252" s="213"/>
      <c r="Y252" s="213"/>
      <c r="Z252" s="213"/>
    </row>
    <row r="253" spans="1:26" ht="14.25">
      <c r="A253" s="213"/>
      <c r="B253" s="213"/>
      <c r="C253" s="213"/>
      <c r="D253" s="213"/>
      <c r="E253" s="213"/>
      <c r="F253" s="213"/>
      <c r="G253" s="213"/>
      <c r="H253" s="213"/>
      <c r="I253" s="213"/>
      <c r="J253" s="213"/>
      <c r="K253" s="213"/>
      <c r="L253" s="213"/>
      <c r="M253" s="213"/>
      <c r="N253" s="213"/>
      <c r="O253" s="213"/>
      <c r="P253" s="213"/>
      <c r="Q253" s="213"/>
      <c r="R253" s="213"/>
      <c r="S253" s="213"/>
      <c r="T253" s="213"/>
      <c r="U253" s="213"/>
      <c r="V253" s="213"/>
      <c r="W253" s="213"/>
      <c r="X253" s="213"/>
      <c r="Y253" s="213"/>
      <c r="Z253" s="213"/>
    </row>
    <row r="254" spans="1:26" ht="14.25">
      <c r="A254" s="213"/>
      <c r="B254" s="213"/>
      <c r="C254" s="213"/>
      <c r="D254" s="213"/>
      <c r="E254" s="213"/>
      <c r="F254" s="213"/>
      <c r="G254" s="213"/>
      <c r="H254" s="213"/>
      <c r="I254" s="213"/>
      <c r="J254" s="213"/>
      <c r="K254" s="213"/>
      <c r="L254" s="213"/>
      <c r="M254" s="213"/>
      <c r="N254" s="213"/>
      <c r="O254" s="213"/>
      <c r="P254" s="213"/>
      <c r="Q254" s="213"/>
      <c r="R254" s="213"/>
      <c r="S254" s="213"/>
      <c r="T254" s="213"/>
      <c r="U254" s="213"/>
      <c r="V254" s="213"/>
      <c r="W254" s="213"/>
      <c r="X254" s="213"/>
      <c r="Y254" s="213"/>
      <c r="Z254" s="213"/>
    </row>
    <row r="255" spans="1:26" ht="14.25">
      <c r="A255" s="213"/>
      <c r="B255" s="213"/>
      <c r="C255" s="213"/>
      <c r="D255" s="213"/>
      <c r="E255" s="213"/>
      <c r="F255" s="213"/>
      <c r="G255" s="213"/>
      <c r="H255" s="213"/>
      <c r="I255" s="213"/>
      <c r="J255" s="213"/>
      <c r="K255" s="213"/>
      <c r="L255" s="213"/>
      <c r="M255" s="213"/>
      <c r="N255" s="213"/>
      <c r="O255" s="213"/>
      <c r="P255" s="213"/>
      <c r="Q255" s="213"/>
      <c r="R255" s="213"/>
      <c r="S255" s="213"/>
      <c r="T255" s="213"/>
      <c r="U255" s="213"/>
      <c r="V255" s="213"/>
      <c r="W255" s="213"/>
      <c r="X255" s="213"/>
      <c r="Y255" s="213"/>
      <c r="Z255" s="213"/>
    </row>
    <row r="256" spans="1:26" ht="14.25">
      <c r="A256" s="213"/>
      <c r="B256" s="213"/>
      <c r="C256" s="213"/>
      <c r="D256" s="213"/>
      <c r="E256" s="213"/>
      <c r="F256" s="213"/>
      <c r="G256" s="213"/>
      <c r="H256" s="213"/>
      <c r="I256" s="213"/>
      <c r="J256" s="213"/>
      <c r="K256" s="213"/>
      <c r="L256" s="213"/>
      <c r="M256" s="213"/>
      <c r="N256" s="213"/>
      <c r="O256" s="213"/>
      <c r="P256" s="213"/>
      <c r="Q256" s="213"/>
      <c r="R256" s="213"/>
      <c r="S256" s="213"/>
      <c r="T256" s="213"/>
      <c r="U256" s="213"/>
      <c r="V256" s="213"/>
      <c r="W256" s="213"/>
      <c r="X256" s="213"/>
      <c r="Y256" s="213"/>
      <c r="Z256" s="213"/>
    </row>
    <row r="257" spans="1:26" ht="14.25">
      <c r="A257" s="213"/>
      <c r="B257" s="213"/>
      <c r="C257" s="213"/>
      <c r="D257" s="213"/>
      <c r="E257" s="213"/>
      <c r="F257" s="213"/>
      <c r="G257" s="213"/>
      <c r="H257" s="213"/>
      <c r="I257" s="213"/>
      <c r="J257" s="213"/>
      <c r="K257" s="213"/>
      <c r="L257" s="213"/>
      <c r="M257" s="213"/>
      <c r="N257" s="213"/>
      <c r="O257" s="213"/>
      <c r="P257" s="213"/>
      <c r="Q257" s="213"/>
      <c r="R257" s="213"/>
      <c r="S257" s="213"/>
      <c r="T257" s="213"/>
      <c r="U257" s="213"/>
      <c r="V257" s="213"/>
      <c r="W257" s="213"/>
      <c r="X257" s="213"/>
      <c r="Y257" s="213"/>
      <c r="Z257" s="213"/>
    </row>
    <row r="258" spans="1:26" ht="14.25">
      <c r="A258" s="213"/>
      <c r="B258" s="213"/>
      <c r="C258" s="213"/>
      <c r="D258" s="213"/>
      <c r="E258" s="213"/>
      <c r="F258" s="213"/>
      <c r="G258" s="213"/>
      <c r="H258" s="213"/>
      <c r="I258" s="213"/>
      <c r="J258" s="213"/>
      <c r="K258" s="213"/>
      <c r="L258" s="213"/>
      <c r="M258" s="213"/>
      <c r="N258" s="213"/>
      <c r="O258" s="213"/>
      <c r="P258" s="213"/>
      <c r="Q258" s="213"/>
      <c r="R258" s="213"/>
      <c r="S258" s="213"/>
      <c r="T258" s="213"/>
      <c r="U258" s="213"/>
      <c r="V258" s="213"/>
      <c r="W258" s="213"/>
      <c r="X258" s="213"/>
      <c r="Y258" s="213"/>
      <c r="Z258" s="213"/>
    </row>
    <row r="259" spans="1:26" ht="14.25">
      <c r="A259" s="213"/>
      <c r="B259" s="213"/>
      <c r="C259" s="213"/>
      <c r="D259" s="213"/>
      <c r="E259" s="213"/>
      <c r="F259" s="213"/>
      <c r="G259" s="213"/>
      <c r="H259" s="213"/>
      <c r="I259" s="213"/>
      <c r="J259" s="213"/>
      <c r="K259" s="213"/>
      <c r="L259" s="213"/>
      <c r="M259" s="213"/>
      <c r="N259" s="213"/>
      <c r="O259" s="213"/>
      <c r="P259" s="213"/>
      <c r="Q259" s="213"/>
      <c r="R259" s="213"/>
      <c r="S259" s="213"/>
      <c r="T259" s="213"/>
      <c r="U259" s="213"/>
      <c r="V259" s="213"/>
      <c r="W259" s="213"/>
      <c r="X259" s="213"/>
      <c r="Y259" s="213"/>
      <c r="Z259" s="213"/>
    </row>
    <row r="260" spans="1:26" ht="14.25">
      <c r="A260" s="213"/>
      <c r="B260" s="213"/>
      <c r="C260" s="213"/>
      <c r="D260" s="213"/>
      <c r="E260" s="213"/>
      <c r="F260" s="213"/>
      <c r="G260" s="213"/>
      <c r="H260" s="213"/>
      <c r="I260" s="213"/>
      <c r="J260" s="213"/>
      <c r="K260" s="213"/>
      <c r="L260" s="213"/>
      <c r="M260" s="213"/>
      <c r="N260" s="213"/>
      <c r="O260" s="213"/>
      <c r="P260" s="213"/>
      <c r="Q260" s="213"/>
      <c r="R260" s="213"/>
      <c r="S260" s="213"/>
      <c r="T260" s="213"/>
      <c r="U260" s="213"/>
      <c r="V260" s="213"/>
      <c r="W260" s="213"/>
      <c r="X260" s="213"/>
      <c r="Y260" s="213"/>
      <c r="Z260" s="213"/>
    </row>
    <row r="261" spans="1:26" ht="14.25">
      <c r="A261" s="213"/>
      <c r="B261" s="213"/>
      <c r="C261" s="213"/>
      <c r="D261" s="213"/>
      <c r="E261" s="213"/>
      <c r="F261" s="213"/>
      <c r="G261" s="213"/>
      <c r="H261" s="213"/>
      <c r="I261" s="213"/>
      <c r="J261" s="213"/>
      <c r="K261" s="213"/>
      <c r="L261" s="213"/>
      <c r="M261" s="213"/>
      <c r="N261" s="213"/>
      <c r="O261" s="213"/>
      <c r="P261" s="213"/>
      <c r="Q261" s="213"/>
      <c r="R261" s="213"/>
      <c r="S261" s="213"/>
      <c r="T261" s="213"/>
      <c r="U261" s="213"/>
      <c r="V261" s="213"/>
      <c r="W261" s="213"/>
      <c r="X261" s="213"/>
      <c r="Y261" s="213"/>
      <c r="Z261" s="213"/>
    </row>
    <row r="262" spans="1:26" ht="14.25">
      <c r="A262" s="213"/>
      <c r="B262" s="213"/>
      <c r="C262" s="213"/>
      <c r="D262" s="213"/>
      <c r="E262" s="213"/>
      <c r="F262" s="213"/>
      <c r="G262" s="213"/>
      <c r="H262" s="213"/>
      <c r="I262" s="213"/>
      <c r="J262" s="213"/>
      <c r="K262" s="213"/>
      <c r="L262" s="213"/>
      <c r="M262" s="213"/>
      <c r="N262" s="213"/>
      <c r="O262" s="213"/>
      <c r="P262" s="213"/>
      <c r="Q262" s="213"/>
      <c r="R262" s="213"/>
      <c r="S262" s="213"/>
      <c r="T262" s="213"/>
      <c r="U262" s="213"/>
      <c r="V262" s="213"/>
      <c r="W262" s="213"/>
      <c r="X262" s="213"/>
      <c r="Y262" s="213"/>
      <c r="Z262" s="213"/>
    </row>
    <row r="263" spans="1:26" ht="14.25">
      <c r="A263" s="213"/>
      <c r="B263" s="213"/>
      <c r="C263" s="213"/>
      <c r="D263" s="213"/>
      <c r="E263" s="213"/>
      <c r="F263" s="213"/>
      <c r="G263" s="213"/>
      <c r="H263" s="213"/>
      <c r="I263" s="213"/>
      <c r="J263" s="213"/>
      <c r="K263" s="213"/>
      <c r="L263" s="213"/>
      <c r="M263" s="213"/>
      <c r="N263" s="213"/>
      <c r="O263" s="213"/>
      <c r="P263" s="213"/>
      <c r="Q263" s="213"/>
      <c r="R263" s="213"/>
      <c r="S263" s="213"/>
      <c r="T263" s="213"/>
      <c r="U263" s="213"/>
      <c r="V263" s="213"/>
      <c r="W263" s="213"/>
      <c r="X263" s="213"/>
      <c r="Y263" s="213"/>
      <c r="Z263" s="213"/>
    </row>
    <row r="264" spans="1:26" ht="14.25">
      <c r="A264" s="213"/>
      <c r="B264" s="213"/>
      <c r="C264" s="213"/>
      <c r="D264" s="213"/>
      <c r="E264" s="213"/>
      <c r="F264" s="213"/>
      <c r="G264" s="213"/>
      <c r="H264" s="213"/>
      <c r="I264" s="213"/>
      <c r="J264" s="213"/>
      <c r="K264" s="213"/>
      <c r="L264" s="213"/>
      <c r="M264" s="213"/>
      <c r="N264" s="213"/>
      <c r="O264" s="213"/>
      <c r="P264" s="213"/>
      <c r="Q264" s="213"/>
      <c r="R264" s="213"/>
      <c r="S264" s="213"/>
      <c r="T264" s="213"/>
      <c r="U264" s="213"/>
      <c r="V264" s="213"/>
      <c r="W264" s="213"/>
      <c r="X264" s="213"/>
      <c r="Y264" s="213"/>
      <c r="Z264" s="213"/>
    </row>
    <row r="265" spans="1:26" ht="14.25">
      <c r="A265" s="213"/>
      <c r="B265" s="213"/>
      <c r="C265" s="213"/>
      <c r="D265" s="213"/>
      <c r="E265" s="213"/>
      <c r="F265" s="213"/>
      <c r="G265" s="213"/>
      <c r="H265" s="213"/>
      <c r="I265" s="213"/>
      <c r="J265" s="213"/>
      <c r="K265" s="213"/>
      <c r="L265" s="213"/>
      <c r="M265" s="213"/>
      <c r="N265" s="213"/>
      <c r="O265" s="213"/>
      <c r="P265" s="213"/>
      <c r="Q265" s="213"/>
      <c r="R265" s="213"/>
      <c r="S265" s="213"/>
      <c r="T265" s="213"/>
      <c r="U265" s="213"/>
      <c r="V265" s="213"/>
      <c r="W265" s="213"/>
      <c r="X265" s="213"/>
      <c r="Y265" s="213"/>
      <c r="Z265" s="213"/>
    </row>
    <row r="266" spans="1:26" ht="14.25">
      <c r="A266" s="213"/>
      <c r="B266" s="213"/>
      <c r="C266" s="213"/>
      <c r="D266" s="213"/>
      <c r="E266" s="213"/>
      <c r="F266" s="213"/>
      <c r="G266" s="213"/>
      <c r="H266" s="213"/>
      <c r="I266" s="213"/>
      <c r="J266" s="213"/>
      <c r="K266" s="213"/>
      <c r="L266" s="213"/>
      <c r="M266" s="213"/>
      <c r="N266" s="213"/>
      <c r="O266" s="213"/>
      <c r="P266" s="213"/>
      <c r="Q266" s="213"/>
      <c r="R266" s="213"/>
      <c r="S266" s="213"/>
      <c r="T266" s="213"/>
      <c r="U266" s="213"/>
      <c r="V266" s="213"/>
      <c r="W266" s="213"/>
      <c r="X266" s="213"/>
      <c r="Y266" s="213"/>
      <c r="Z266" s="213"/>
    </row>
    <row r="267" spans="1:26" ht="14.25">
      <c r="A267" s="213"/>
      <c r="B267" s="213"/>
      <c r="C267" s="213"/>
      <c r="D267" s="213"/>
      <c r="E267" s="213"/>
      <c r="F267" s="213"/>
      <c r="G267" s="213"/>
      <c r="H267" s="213"/>
      <c r="I267" s="213"/>
      <c r="J267" s="213"/>
      <c r="K267" s="213"/>
      <c r="L267" s="213"/>
      <c r="M267" s="213"/>
      <c r="N267" s="213"/>
      <c r="O267" s="213"/>
      <c r="P267" s="213"/>
      <c r="Q267" s="213"/>
      <c r="R267" s="213"/>
      <c r="S267" s="213"/>
      <c r="T267" s="213"/>
      <c r="U267" s="213"/>
      <c r="V267" s="213"/>
      <c r="W267" s="213"/>
      <c r="X267" s="213"/>
      <c r="Y267" s="213"/>
      <c r="Z267" s="213"/>
    </row>
    <row r="268" spans="1:26" ht="14.25">
      <c r="A268" s="213"/>
      <c r="B268" s="213"/>
      <c r="C268" s="213"/>
      <c r="D268" s="213"/>
      <c r="E268" s="213"/>
      <c r="F268" s="213"/>
      <c r="G268" s="213"/>
      <c r="H268" s="213"/>
      <c r="I268" s="213"/>
      <c r="J268" s="213"/>
      <c r="K268" s="213"/>
      <c r="L268" s="213"/>
      <c r="M268" s="213"/>
      <c r="N268" s="213"/>
      <c r="O268" s="213"/>
      <c r="P268" s="213"/>
      <c r="Q268" s="213"/>
      <c r="R268" s="213"/>
      <c r="S268" s="213"/>
      <c r="T268" s="213"/>
      <c r="U268" s="213"/>
      <c r="V268" s="213"/>
      <c r="W268" s="213"/>
      <c r="X268" s="213"/>
      <c r="Y268" s="213"/>
      <c r="Z268" s="213"/>
    </row>
    <row r="269" spans="1:26" ht="14.25">
      <c r="A269" s="213"/>
      <c r="B269" s="213"/>
      <c r="C269" s="213"/>
      <c r="D269" s="213"/>
      <c r="E269" s="213"/>
      <c r="F269" s="213"/>
      <c r="G269" s="213"/>
      <c r="H269" s="213"/>
      <c r="I269" s="213"/>
      <c r="J269" s="213"/>
      <c r="K269" s="213"/>
      <c r="L269" s="213"/>
      <c r="M269" s="213"/>
      <c r="N269" s="213"/>
      <c r="O269" s="213"/>
      <c r="P269" s="213"/>
      <c r="Q269" s="213"/>
      <c r="R269" s="213"/>
      <c r="S269" s="213"/>
      <c r="T269" s="213"/>
      <c r="U269" s="213"/>
      <c r="V269" s="213"/>
      <c r="W269" s="213"/>
      <c r="X269" s="213"/>
      <c r="Y269" s="213"/>
      <c r="Z269" s="213"/>
    </row>
    <row r="270" spans="1:26" ht="14.25">
      <c r="A270" s="213"/>
      <c r="B270" s="213"/>
      <c r="C270" s="213"/>
      <c r="D270" s="213"/>
      <c r="E270" s="213"/>
      <c r="F270" s="213"/>
      <c r="G270" s="213"/>
      <c r="H270" s="213"/>
      <c r="I270" s="213"/>
      <c r="J270" s="213"/>
      <c r="K270" s="213"/>
      <c r="L270" s="213"/>
      <c r="M270" s="213"/>
      <c r="N270" s="213"/>
      <c r="O270" s="213"/>
      <c r="P270" s="213"/>
      <c r="Q270" s="213"/>
      <c r="R270" s="213"/>
      <c r="S270" s="213"/>
      <c r="T270" s="213"/>
      <c r="U270" s="213"/>
      <c r="V270" s="213"/>
      <c r="W270" s="213"/>
      <c r="X270" s="213"/>
      <c r="Y270" s="213"/>
      <c r="Z270" s="213"/>
    </row>
    <row r="271" spans="1:26" ht="14.25">
      <c r="A271" s="213"/>
      <c r="B271" s="213"/>
      <c r="C271" s="213"/>
      <c r="D271" s="213"/>
      <c r="E271" s="213"/>
      <c r="F271" s="213"/>
      <c r="G271" s="213"/>
      <c r="H271" s="213"/>
      <c r="I271" s="213"/>
      <c r="J271" s="213"/>
      <c r="K271" s="213"/>
      <c r="L271" s="213"/>
      <c r="M271" s="213"/>
      <c r="N271" s="213"/>
      <c r="O271" s="213"/>
      <c r="P271" s="213"/>
      <c r="Q271" s="213"/>
      <c r="R271" s="213"/>
      <c r="S271" s="213"/>
      <c r="T271" s="213"/>
      <c r="U271" s="213"/>
      <c r="V271" s="213"/>
      <c r="W271" s="213"/>
      <c r="X271" s="213"/>
      <c r="Y271" s="213"/>
      <c r="Z271" s="213"/>
    </row>
    <row r="272" spans="1:26" ht="14.25">
      <c r="A272" s="213"/>
      <c r="B272" s="213"/>
      <c r="C272" s="213"/>
      <c r="D272" s="213"/>
      <c r="E272" s="213"/>
      <c r="F272" s="213"/>
      <c r="G272" s="213"/>
      <c r="H272" s="213"/>
      <c r="I272" s="213"/>
      <c r="J272" s="213"/>
      <c r="K272" s="213"/>
      <c r="L272" s="213"/>
      <c r="M272" s="213"/>
      <c r="N272" s="213"/>
      <c r="O272" s="213"/>
      <c r="P272" s="213"/>
      <c r="Q272" s="213"/>
      <c r="R272" s="213"/>
      <c r="S272" s="213"/>
      <c r="T272" s="213"/>
      <c r="U272" s="213"/>
      <c r="V272" s="213"/>
      <c r="W272" s="213"/>
      <c r="X272" s="213"/>
      <c r="Y272" s="213"/>
      <c r="Z272" s="213"/>
    </row>
    <row r="273" spans="1:26" ht="14.25">
      <c r="A273" s="213"/>
      <c r="B273" s="213"/>
      <c r="C273" s="213"/>
      <c r="D273" s="213"/>
      <c r="E273" s="213"/>
      <c r="F273" s="213"/>
      <c r="G273" s="213"/>
      <c r="H273" s="213"/>
      <c r="I273" s="213"/>
      <c r="J273" s="213"/>
      <c r="K273" s="213"/>
      <c r="L273" s="213"/>
      <c r="M273" s="213"/>
      <c r="N273" s="213"/>
      <c r="O273" s="213"/>
      <c r="P273" s="213"/>
      <c r="Q273" s="213"/>
      <c r="R273" s="213"/>
      <c r="S273" s="213"/>
      <c r="T273" s="213"/>
      <c r="U273" s="213"/>
      <c r="V273" s="213"/>
      <c r="W273" s="213"/>
      <c r="X273" s="213"/>
      <c r="Y273" s="213"/>
      <c r="Z273" s="213"/>
    </row>
    <row r="274" spans="1:26" ht="14.25">
      <c r="A274" s="213"/>
      <c r="B274" s="213"/>
      <c r="C274" s="213"/>
      <c r="D274" s="213"/>
      <c r="E274" s="213"/>
      <c r="F274" s="213"/>
      <c r="G274" s="213"/>
      <c r="H274" s="213"/>
      <c r="I274" s="213"/>
      <c r="J274" s="213"/>
      <c r="K274" s="213"/>
      <c r="L274" s="213"/>
      <c r="M274" s="213"/>
      <c r="N274" s="213"/>
      <c r="O274" s="213"/>
      <c r="P274" s="213"/>
      <c r="Q274" s="213"/>
      <c r="R274" s="213"/>
      <c r="S274" s="213"/>
      <c r="T274" s="213"/>
      <c r="U274" s="213"/>
      <c r="V274" s="213"/>
      <c r="W274" s="213"/>
      <c r="X274" s="213"/>
      <c r="Y274" s="213"/>
      <c r="Z274" s="213"/>
    </row>
    <row r="275" spans="1:26" ht="14.25">
      <c r="A275" s="213"/>
      <c r="B275" s="213"/>
      <c r="C275" s="213"/>
      <c r="D275" s="213"/>
      <c r="E275" s="213"/>
      <c r="F275" s="213"/>
      <c r="G275" s="213"/>
      <c r="H275" s="213"/>
      <c r="I275" s="213"/>
      <c r="J275" s="213"/>
      <c r="K275" s="213"/>
      <c r="L275" s="213"/>
      <c r="M275" s="213"/>
      <c r="N275" s="213"/>
      <c r="O275" s="213"/>
      <c r="P275" s="213"/>
      <c r="Q275" s="213"/>
      <c r="R275" s="213"/>
      <c r="S275" s="213"/>
      <c r="T275" s="213"/>
      <c r="U275" s="213"/>
      <c r="V275" s="213"/>
      <c r="W275" s="213"/>
      <c r="X275" s="213"/>
      <c r="Y275" s="213"/>
      <c r="Z275" s="213"/>
    </row>
    <row r="276" spans="1:26" ht="14.25">
      <c r="A276" s="213"/>
      <c r="B276" s="213"/>
      <c r="C276" s="213"/>
      <c r="D276" s="213"/>
      <c r="E276" s="213"/>
      <c r="F276" s="213"/>
      <c r="G276" s="213"/>
      <c r="H276" s="213"/>
      <c r="I276" s="213"/>
      <c r="J276" s="213"/>
      <c r="K276" s="213"/>
      <c r="L276" s="213"/>
      <c r="M276" s="213"/>
      <c r="N276" s="213"/>
      <c r="O276" s="213"/>
      <c r="P276" s="213"/>
      <c r="Q276" s="213"/>
      <c r="R276" s="213"/>
      <c r="S276" s="213"/>
      <c r="T276" s="213"/>
      <c r="U276" s="213"/>
      <c r="V276" s="213"/>
      <c r="W276" s="213"/>
      <c r="X276" s="213"/>
      <c r="Y276" s="213"/>
      <c r="Z276" s="213"/>
    </row>
    <row r="277" spans="1:26" ht="14.25">
      <c r="A277" s="213"/>
      <c r="B277" s="213"/>
      <c r="C277" s="213"/>
      <c r="D277" s="213"/>
      <c r="E277" s="213"/>
      <c r="F277" s="213"/>
      <c r="G277" s="213"/>
      <c r="H277" s="213"/>
      <c r="I277" s="213"/>
      <c r="J277" s="213"/>
      <c r="K277" s="213"/>
      <c r="L277" s="213"/>
      <c r="M277" s="213"/>
      <c r="N277" s="213"/>
      <c r="O277" s="213"/>
      <c r="P277" s="213"/>
      <c r="Q277" s="213"/>
      <c r="R277" s="213"/>
      <c r="S277" s="213"/>
      <c r="T277" s="213"/>
      <c r="U277" s="213"/>
      <c r="V277" s="213"/>
      <c r="W277" s="213"/>
      <c r="X277" s="213"/>
      <c r="Y277" s="213"/>
      <c r="Z277" s="213"/>
    </row>
    <row r="278" spans="1:26" ht="14.25">
      <c r="A278" s="213"/>
      <c r="B278" s="213"/>
      <c r="C278" s="213"/>
      <c r="D278" s="213"/>
      <c r="E278" s="213"/>
      <c r="F278" s="213"/>
      <c r="G278" s="213"/>
      <c r="H278" s="213"/>
      <c r="I278" s="213"/>
      <c r="J278" s="213"/>
      <c r="K278" s="213"/>
      <c r="L278" s="213"/>
      <c r="M278" s="213"/>
      <c r="N278" s="213"/>
      <c r="O278" s="213"/>
      <c r="P278" s="213"/>
      <c r="Q278" s="213"/>
      <c r="R278" s="213"/>
      <c r="S278" s="213"/>
      <c r="T278" s="213"/>
      <c r="U278" s="213"/>
      <c r="V278" s="213"/>
      <c r="W278" s="213"/>
      <c r="X278" s="213"/>
      <c r="Y278" s="213"/>
      <c r="Z278" s="213"/>
    </row>
    <row r="279" spans="1:26" ht="14.25">
      <c r="A279" s="213"/>
      <c r="B279" s="213"/>
      <c r="C279" s="213"/>
      <c r="D279" s="213"/>
      <c r="E279" s="213"/>
      <c r="F279" s="213"/>
      <c r="G279" s="213"/>
      <c r="H279" s="213"/>
      <c r="I279" s="213"/>
      <c r="J279" s="213"/>
      <c r="K279" s="213"/>
      <c r="L279" s="213"/>
      <c r="M279" s="213"/>
      <c r="N279" s="213"/>
      <c r="O279" s="213"/>
      <c r="P279" s="213"/>
      <c r="Q279" s="213"/>
      <c r="R279" s="213"/>
      <c r="S279" s="213"/>
      <c r="T279" s="213"/>
      <c r="U279" s="213"/>
      <c r="V279" s="213"/>
      <c r="W279" s="213"/>
      <c r="X279" s="213"/>
      <c r="Y279" s="213"/>
      <c r="Z279" s="213"/>
    </row>
    <row r="280" spans="1:26" ht="14.25">
      <c r="A280" s="213"/>
      <c r="B280" s="213"/>
      <c r="C280" s="213"/>
      <c r="D280" s="213"/>
      <c r="E280" s="213"/>
      <c r="F280" s="213"/>
      <c r="G280" s="213"/>
      <c r="H280" s="213"/>
      <c r="I280" s="213"/>
      <c r="J280" s="213"/>
      <c r="K280" s="213"/>
      <c r="L280" s="213"/>
      <c r="M280" s="213"/>
      <c r="N280" s="213"/>
      <c r="O280" s="213"/>
      <c r="P280" s="213"/>
      <c r="Q280" s="213"/>
      <c r="R280" s="213"/>
      <c r="S280" s="213"/>
      <c r="T280" s="213"/>
      <c r="U280" s="213"/>
      <c r="V280" s="213"/>
      <c r="W280" s="213"/>
      <c r="X280" s="213"/>
      <c r="Y280" s="213"/>
      <c r="Z280" s="213"/>
    </row>
    <row r="281" spans="1:26" ht="14.25">
      <c r="A281" s="213"/>
      <c r="B281" s="213"/>
      <c r="C281" s="213"/>
      <c r="D281" s="213"/>
      <c r="E281" s="213"/>
      <c r="F281" s="213"/>
      <c r="G281" s="213"/>
      <c r="H281" s="213"/>
      <c r="I281" s="213"/>
      <c r="J281" s="213"/>
      <c r="K281" s="213"/>
      <c r="L281" s="213"/>
      <c r="M281" s="213"/>
      <c r="N281" s="213"/>
      <c r="O281" s="213"/>
      <c r="P281" s="213"/>
      <c r="Q281" s="213"/>
      <c r="R281" s="213"/>
      <c r="S281" s="213"/>
      <c r="T281" s="213"/>
      <c r="U281" s="213"/>
      <c r="V281" s="213"/>
      <c r="W281" s="213"/>
      <c r="X281" s="213"/>
      <c r="Y281" s="213"/>
      <c r="Z281" s="213"/>
    </row>
    <row r="282" spans="1:26" ht="14.25">
      <c r="A282" s="213"/>
      <c r="B282" s="213"/>
      <c r="C282" s="213"/>
      <c r="D282" s="213"/>
      <c r="E282" s="213"/>
      <c r="F282" s="213"/>
      <c r="G282" s="213"/>
      <c r="H282" s="213"/>
      <c r="I282" s="213"/>
      <c r="J282" s="213"/>
      <c r="K282" s="213"/>
      <c r="L282" s="213"/>
      <c r="M282" s="213"/>
      <c r="N282" s="213"/>
      <c r="O282" s="213"/>
      <c r="P282" s="213"/>
      <c r="Q282" s="213"/>
      <c r="R282" s="213"/>
      <c r="S282" s="213"/>
      <c r="T282" s="213"/>
      <c r="U282" s="213"/>
      <c r="V282" s="213"/>
      <c r="W282" s="213"/>
      <c r="X282" s="213"/>
      <c r="Y282" s="213"/>
      <c r="Z282" s="213"/>
    </row>
    <row r="283" spans="1:26" ht="14.25">
      <c r="A283" s="213"/>
      <c r="B283" s="213"/>
      <c r="C283" s="213"/>
      <c r="D283" s="213"/>
      <c r="E283" s="213"/>
      <c r="F283" s="213"/>
      <c r="G283" s="213"/>
      <c r="H283" s="213"/>
      <c r="I283" s="213"/>
      <c r="J283" s="213"/>
      <c r="K283" s="213"/>
      <c r="L283" s="213"/>
      <c r="M283" s="213"/>
      <c r="N283" s="213"/>
      <c r="O283" s="213"/>
      <c r="P283" s="213"/>
      <c r="Q283" s="213"/>
      <c r="R283" s="213"/>
      <c r="S283" s="213"/>
      <c r="T283" s="213"/>
      <c r="U283" s="213"/>
      <c r="V283" s="213"/>
      <c r="W283" s="213"/>
      <c r="X283" s="213"/>
      <c r="Y283" s="213"/>
      <c r="Z283" s="213"/>
    </row>
    <row r="284" spans="1:26" ht="14.25">
      <c r="A284" s="213"/>
      <c r="B284" s="213"/>
      <c r="C284" s="213"/>
      <c r="D284" s="213"/>
      <c r="E284" s="213"/>
      <c r="F284" s="213"/>
      <c r="G284" s="213"/>
      <c r="H284" s="213"/>
      <c r="I284" s="213"/>
      <c r="J284" s="213"/>
      <c r="K284" s="213"/>
      <c r="L284" s="213"/>
      <c r="M284" s="213"/>
      <c r="N284" s="213"/>
      <c r="O284" s="213"/>
      <c r="P284" s="213"/>
      <c r="Q284" s="213"/>
      <c r="R284" s="213"/>
      <c r="S284" s="213"/>
      <c r="T284" s="213"/>
      <c r="U284" s="213"/>
      <c r="V284" s="213"/>
      <c r="W284" s="213"/>
      <c r="X284" s="213"/>
      <c r="Y284" s="213"/>
      <c r="Z284" s="213"/>
    </row>
    <row r="285" spans="1:26" ht="14.25">
      <c r="A285" s="213"/>
      <c r="B285" s="213"/>
      <c r="C285" s="213"/>
      <c r="D285" s="213"/>
      <c r="E285" s="213"/>
      <c r="F285" s="213"/>
      <c r="G285" s="213"/>
      <c r="H285" s="213"/>
      <c r="I285" s="213"/>
      <c r="J285" s="213"/>
      <c r="K285" s="213"/>
      <c r="L285" s="213"/>
      <c r="M285" s="213"/>
      <c r="N285" s="213"/>
      <c r="O285" s="213"/>
      <c r="P285" s="213"/>
      <c r="Q285" s="213"/>
      <c r="R285" s="213"/>
      <c r="S285" s="213"/>
      <c r="T285" s="213"/>
      <c r="U285" s="213"/>
      <c r="V285" s="213"/>
      <c r="W285" s="213"/>
      <c r="X285" s="213"/>
      <c r="Y285" s="213"/>
      <c r="Z285" s="213"/>
    </row>
    <row r="286" spans="1:26" ht="14.25">
      <c r="A286" s="213"/>
      <c r="B286" s="213"/>
      <c r="C286" s="213"/>
      <c r="D286" s="213"/>
      <c r="E286" s="213"/>
      <c r="F286" s="213"/>
      <c r="G286" s="213"/>
      <c r="H286" s="213"/>
      <c r="I286" s="213"/>
      <c r="J286" s="213"/>
      <c r="K286" s="213"/>
      <c r="L286" s="213"/>
      <c r="M286" s="213"/>
      <c r="N286" s="213"/>
      <c r="O286" s="213"/>
      <c r="P286" s="213"/>
      <c r="Q286" s="213"/>
      <c r="R286" s="213"/>
      <c r="S286" s="213"/>
      <c r="T286" s="213"/>
      <c r="U286" s="213"/>
      <c r="V286" s="213"/>
      <c r="W286" s="213"/>
      <c r="X286" s="213"/>
      <c r="Y286" s="213"/>
      <c r="Z286" s="213"/>
    </row>
    <row r="287" spans="1:26" ht="14.25">
      <c r="A287" s="213"/>
      <c r="B287" s="213"/>
      <c r="C287" s="213"/>
      <c r="D287" s="213"/>
      <c r="E287" s="213"/>
      <c r="F287" s="213"/>
      <c r="G287" s="213"/>
      <c r="H287" s="213"/>
      <c r="I287" s="213"/>
      <c r="J287" s="213"/>
      <c r="K287" s="213"/>
      <c r="L287" s="213"/>
      <c r="M287" s="213"/>
      <c r="N287" s="213"/>
      <c r="O287" s="213"/>
      <c r="P287" s="213"/>
      <c r="Q287" s="213"/>
      <c r="R287" s="213"/>
      <c r="S287" s="213"/>
      <c r="T287" s="213"/>
      <c r="U287" s="213"/>
      <c r="V287" s="213"/>
      <c r="W287" s="213"/>
      <c r="X287" s="213"/>
      <c r="Y287" s="213"/>
      <c r="Z287" s="213"/>
    </row>
    <row r="288" spans="1:26" ht="14.25">
      <c r="A288" s="213"/>
      <c r="B288" s="213"/>
      <c r="C288" s="213"/>
      <c r="D288" s="213"/>
      <c r="E288" s="213"/>
      <c r="F288" s="213"/>
      <c r="G288" s="213"/>
      <c r="H288" s="213"/>
      <c r="I288" s="213"/>
      <c r="J288" s="213"/>
      <c r="K288" s="213"/>
      <c r="L288" s="213"/>
      <c r="M288" s="213"/>
      <c r="N288" s="213"/>
      <c r="O288" s="213"/>
      <c r="P288" s="213"/>
      <c r="Q288" s="213"/>
      <c r="R288" s="213"/>
      <c r="S288" s="213"/>
      <c r="T288" s="213"/>
      <c r="U288" s="213"/>
      <c r="V288" s="213"/>
      <c r="W288" s="213"/>
      <c r="X288" s="213"/>
      <c r="Y288" s="213"/>
      <c r="Z288" s="213"/>
    </row>
    <row r="289" spans="1:26" ht="14.25">
      <c r="A289" s="213"/>
      <c r="B289" s="213"/>
      <c r="C289" s="213"/>
      <c r="D289" s="213"/>
      <c r="E289" s="213"/>
      <c r="F289" s="213"/>
      <c r="G289" s="213"/>
      <c r="H289" s="213"/>
      <c r="I289" s="213"/>
      <c r="J289" s="213"/>
      <c r="K289" s="213"/>
      <c r="L289" s="213"/>
      <c r="M289" s="213"/>
      <c r="N289" s="213"/>
      <c r="O289" s="213"/>
      <c r="P289" s="213"/>
      <c r="Q289" s="213"/>
      <c r="R289" s="213"/>
      <c r="S289" s="213"/>
      <c r="T289" s="213"/>
      <c r="U289" s="213"/>
      <c r="V289" s="213"/>
      <c r="W289" s="213"/>
      <c r="X289" s="213"/>
      <c r="Y289" s="213"/>
      <c r="Z289" s="213"/>
    </row>
    <row r="290" spans="1:26" ht="14.25">
      <c r="A290" s="213"/>
      <c r="B290" s="213"/>
      <c r="C290" s="213"/>
      <c r="D290" s="213"/>
      <c r="E290" s="213"/>
      <c r="F290" s="213"/>
      <c r="G290" s="213"/>
      <c r="H290" s="213"/>
      <c r="I290" s="213"/>
      <c r="J290" s="213"/>
      <c r="K290" s="213"/>
      <c r="L290" s="213"/>
      <c r="M290" s="213"/>
      <c r="N290" s="213"/>
      <c r="O290" s="213"/>
      <c r="P290" s="213"/>
      <c r="Q290" s="213"/>
      <c r="R290" s="213"/>
      <c r="S290" s="213"/>
      <c r="T290" s="213"/>
      <c r="U290" s="213"/>
      <c r="V290" s="213"/>
      <c r="W290" s="213"/>
      <c r="X290" s="213"/>
      <c r="Y290" s="213"/>
      <c r="Z290" s="213"/>
    </row>
    <row r="291" spans="1:26" ht="14.25">
      <c r="A291" s="213"/>
      <c r="B291" s="213"/>
      <c r="C291" s="213"/>
      <c r="D291" s="213"/>
      <c r="E291" s="213"/>
      <c r="F291" s="213"/>
      <c r="G291" s="213"/>
      <c r="H291" s="213"/>
      <c r="I291" s="213"/>
      <c r="J291" s="213"/>
      <c r="K291" s="213"/>
      <c r="L291" s="213"/>
      <c r="M291" s="213"/>
      <c r="N291" s="213"/>
      <c r="O291" s="213"/>
      <c r="P291" s="213"/>
      <c r="Q291" s="213"/>
      <c r="R291" s="213"/>
      <c r="S291" s="213"/>
      <c r="T291" s="213"/>
      <c r="U291" s="213"/>
      <c r="V291" s="213"/>
      <c r="W291" s="213"/>
      <c r="X291" s="213"/>
      <c r="Y291" s="213"/>
      <c r="Z291" s="213"/>
    </row>
    <row r="292" spans="1:26" ht="14.25">
      <c r="A292" s="213"/>
      <c r="B292" s="213"/>
      <c r="C292" s="213"/>
      <c r="D292" s="213"/>
      <c r="E292" s="213"/>
      <c r="F292" s="213"/>
      <c r="G292" s="213"/>
      <c r="H292" s="213"/>
      <c r="I292" s="213"/>
      <c r="J292" s="213"/>
      <c r="K292" s="213"/>
      <c r="L292" s="213"/>
      <c r="M292" s="213"/>
      <c r="N292" s="213"/>
      <c r="O292" s="213"/>
      <c r="P292" s="213"/>
      <c r="Q292" s="213"/>
      <c r="R292" s="213"/>
      <c r="S292" s="213"/>
      <c r="T292" s="213"/>
      <c r="U292" s="213"/>
      <c r="V292" s="213"/>
      <c r="W292" s="213"/>
      <c r="X292" s="213"/>
      <c r="Y292" s="213"/>
      <c r="Z292" s="213"/>
    </row>
    <row r="293" spans="1:26" ht="14.25">
      <c r="A293" s="213"/>
      <c r="B293" s="213"/>
      <c r="C293" s="213"/>
      <c r="D293" s="213"/>
      <c r="E293" s="213"/>
      <c r="F293" s="213"/>
      <c r="G293" s="213"/>
      <c r="H293" s="213"/>
      <c r="I293" s="213"/>
      <c r="J293" s="213"/>
      <c r="K293" s="213"/>
      <c r="L293" s="213"/>
      <c r="M293" s="213"/>
      <c r="N293" s="213"/>
      <c r="O293" s="213"/>
      <c r="P293" s="213"/>
      <c r="Q293" s="213"/>
      <c r="R293" s="213"/>
      <c r="S293" s="213"/>
      <c r="T293" s="213"/>
      <c r="U293" s="213"/>
      <c r="V293" s="213"/>
      <c r="W293" s="213"/>
      <c r="X293" s="213"/>
      <c r="Y293" s="213"/>
      <c r="Z293" s="213"/>
    </row>
    <row r="294" spans="1:26" ht="14.25">
      <c r="A294" s="213"/>
      <c r="B294" s="213"/>
      <c r="C294" s="213"/>
      <c r="D294" s="213"/>
      <c r="E294" s="213"/>
      <c r="F294" s="213"/>
      <c r="G294" s="213"/>
      <c r="H294" s="213"/>
      <c r="I294" s="213"/>
      <c r="J294" s="213"/>
      <c r="K294" s="213"/>
      <c r="L294" s="213"/>
      <c r="M294" s="213"/>
      <c r="N294" s="213"/>
      <c r="O294" s="213"/>
      <c r="P294" s="213"/>
      <c r="Q294" s="213"/>
      <c r="R294" s="213"/>
      <c r="S294" s="213"/>
      <c r="T294" s="213"/>
      <c r="U294" s="213"/>
      <c r="V294" s="213"/>
      <c r="W294" s="213"/>
      <c r="X294" s="213"/>
      <c r="Y294" s="213"/>
      <c r="Z294" s="213"/>
    </row>
    <row r="295" spans="1:26" ht="14.25">
      <c r="A295" s="213"/>
      <c r="B295" s="213"/>
      <c r="C295" s="213"/>
      <c r="D295" s="213"/>
      <c r="E295" s="213"/>
      <c r="F295" s="213"/>
      <c r="G295" s="213"/>
      <c r="H295" s="213"/>
      <c r="I295" s="213"/>
      <c r="J295" s="213"/>
      <c r="K295" s="213"/>
      <c r="L295" s="213"/>
      <c r="M295" s="213"/>
      <c r="N295" s="213"/>
      <c r="O295" s="213"/>
      <c r="P295" s="213"/>
      <c r="Q295" s="213"/>
      <c r="R295" s="213"/>
      <c r="S295" s="213"/>
      <c r="T295" s="213"/>
      <c r="U295" s="213"/>
      <c r="V295" s="213"/>
      <c r="W295" s="213"/>
      <c r="X295" s="213"/>
      <c r="Y295" s="213"/>
      <c r="Z295" s="213"/>
    </row>
    <row r="296" spans="1:26" ht="14.25">
      <c r="A296" s="213"/>
      <c r="B296" s="213"/>
      <c r="C296" s="213"/>
      <c r="D296" s="213"/>
      <c r="E296" s="213"/>
      <c r="F296" s="213"/>
      <c r="G296" s="213"/>
      <c r="H296" s="213"/>
      <c r="I296" s="213"/>
      <c r="J296" s="213"/>
      <c r="K296" s="213"/>
      <c r="L296" s="213"/>
      <c r="M296" s="213"/>
      <c r="N296" s="213"/>
      <c r="O296" s="213"/>
      <c r="P296" s="213"/>
      <c r="Q296" s="213"/>
      <c r="R296" s="213"/>
      <c r="S296" s="213"/>
      <c r="T296" s="213"/>
      <c r="U296" s="213"/>
      <c r="V296" s="213"/>
      <c r="W296" s="213"/>
      <c r="X296" s="213"/>
      <c r="Y296" s="213"/>
      <c r="Z296" s="213"/>
    </row>
    <row r="297" spans="1:26" ht="14.25">
      <c r="A297" s="213"/>
      <c r="B297" s="213"/>
      <c r="C297" s="213"/>
      <c r="D297" s="213"/>
      <c r="E297" s="213"/>
      <c r="F297" s="213"/>
      <c r="G297" s="213"/>
      <c r="H297" s="213"/>
      <c r="I297" s="213"/>
      <c r="J297" s="213"/>
      <c r="K297" s="213"/>
      <c r="L297" s="213"/>
      <c r="M297" s="213"/>
      <c r="N297" s="213"/>
      <c r="O297" s="213"/>
      <c r="P297" s="213"/>
      <c r="Q297" s="213"/>
      <c r="R297" s="213"/>
      <c r="S297" s="213"/>
      <c r="T297" s="213"/>
      <c r="U297" s="213"/>
      <c r="V297" s="213"/>
      <c r="W297" s="213"/>
      <c r="X297" s="213"/>
      <c r="Y297" s="213"/>
      <c r="Z297" s="213"/>
    </row>
    <row r="298" spans="1:26" ht="14.25">
      <c r="A298" s="213"/>
      <c r="B298" s="213"/>
      <c r="C298" s="213"/>
      <c r="D298" s="213"/>
      <c r="E298" s="213"/>
      <c r="F298" s="213"/>
      <c r="G298" s="213"/>
      <c r="H298" s="213"/>
      <c r="I298" s="213"/>
      <c r="J298" s="213"/>
      <c r="K298" s="213"/>
      <c r="L298" s="213"/>
      <c r="M298" s="213"/>
      <c r="N298" s="213"/>
      <c r="O298" s="213"/>
      <c r="P298" s="213"/>
      <c r="Q298" s="213"/>
      <c r="R298" s="213"/>
      <c r="S298" s="213"/>
      <c r="T298" s="213"/>
      <c r="U298" s="213"/>
      <c r="V298" s="213"/>
      <c r="W298" s="213"/>
      <c r="X298" s="213"/>
      <c r="Y298" s="213"/>
      <c r="Z298" s="213"/>
    </row>
    <row r="299" spans="1:26" ht="14.25">
      <c r="A299" s="213"/>
      <c r="B299" s="213"/>
      <c r="C299" s="213"/>
      <c r="D299" s="213"/>
      <c r="E299" s="213"/>
      <c r="F299" s="213"/>
      <c r="G299" s="213"/>
      <c r="H299" s="213"/>
      <c r="I299" s="213"/>
      <c r="J299" s="213"/>
      <c r="K299" s="213"/>
      <c r="L299" s="213"/>
      <c r="M299" s="213"/>
      <c r="N299" s="213"/>
      <c r="O299" s="213"/>
      <c r="P299" s="213"/>
      <c r="Q299" s="213"/>
      <c r="R299" s="213"/>
      <c r="S299" s="213"/>
      <c r="T299" s="213"/>
      <c r="U299" s="213"/>
      <c r="V299" s="213"/>
      <c r="W299" s="213"/>
      <c r="X299" s="213"/>
      <c r="Y299" s="213"/>
      <c r="Z299" s="213"/>
    </row>
    <row r="300" spans="1:26" ht="14.25">
      <c r="A300" s="213"/>
      <c r="B300" s="213"/>
      <c r="C300" s="213"/>
      <c r="D300" s="213"/>
      <c r="E300" s="213"/>
      <c r="F300" s="213"/>
      <c r="G300" s="213"/>
      <c r="H300" s="213"/>
      <c r="I300" s="213"/>
      <c r="J300" s="213"/>
      <c r="K300" s="213"/>
      <c r="L300" s="213"/>
      <c r="M300" s="213"/>
      <c r="N300" s="213"/>
      <c r="O300" s="213"/>
      <c r="P300" s="213"/>
      <c r="Q300" s="213"/>
      <c r="R300" s="213"/>
      <c r="S300" s="213"/>
      <c r="T300" s="213"/>
      <c r="U300" s="213"/>
      <c r="V300" s="213"/>
      <c r="W300" s="213"/>
      <c r="X300" s="213"/>
      <c r="Y300" s="213"/>
      <c r="Z300" s="213"/>
    </row>
    <row r="301" spans="1:26" ht="14.25">
      <c r="A301" s="213"/>
      <c r="B301" s="213"/>
      <c r="C301" s="213"/>
      <c r="D301" s="213"/>
      <c r="E301" s="213"/>
      <c r="F301" s="213"/>
      <c r="G301" s="213"/>
      <c r="H301" s="213"/>
      <c r="I301" s="213"/>
      <c r="J301" s="213"/>
      <c r="K301" s="213"/>
      <c r="L301" s="213"/>
      <c r="M301" s="213"/>
      <c r="N301" s="213"/>
      <c r="O301" s="213"/>
      <c r="P301" s="213"/>
      <c r="Q301" s="213"/>
      <c r="R301" s="213"/>
      <c r="S301" s="213"/>
      <c r="T301" s="213"/>
      <c r="U301" s="213"/>
      <c r="V301" s="213"/>
      <c r="W301" s="213"/>
      <c r="X301" s="213"/>
      <c r="Y301" s="213"/>
      <c r="Z301" s="213"/>
    </row>
    <row r="302" spans="1:26" ht="14.25">
      <c r="A302" s="213"/>
      <c r="B302" s="213"/>
      <c r="C302" s="213"/>
      <c r="D302" s="213"/>
      <c r="E302" s="213"/>
      <c r="F302" s="213"/>
      <c r="G302" s="213"/>
      <c r="H302" s="213"/>
      <c r="I302" s="213"/>
      <c r="J302" s="213"/>
      <c r="K302" s="213"/>
      <c r="L302" s="213"/>
      <c r="M302" s="213"/>
      <c r="N302" s="213"/>
      <c r="O302" s="213"/>
      <c r="P302" s="213"/>
      <c r="Q302" s="213"/>
      <c r="R302" s="213"/>
      <c r="S302" s="213"/>
      <c r="T302" s="213"/>
      <c r="U302" s="213"/>
      <c r="V302" s="213"/>
      <c r="W302" s="213"/>
      <c r="X302" s="213"/>
      <c r="Y302" s="213"/>
      <c r="Z302" s="213"/>
    </row>
    <row r="303" spans="1:26" ht="14.25">
      <c r="A303" s="213"/>
      <c r="B303" s="213"/>
      <c r="C303" s="213"/>
      <c r="D303" s="213"/>
      <c r="E303" s="213"/>
      <c r="F303" s="213"/>
      <c r="G303" s="213"/>
      <c r="H303" s="213"/>
      <c r="I303" s="213"/>
      <c r="J303" s="213"/>
      <c r="K303" s="213"/>
      <c r="L303" s="213"/>
      <c r="M303" s="213"/>
      <c r="N303" s="213"/>
      <c r="O303" s="213"/>
      <c r="P303" s="213"/>
      <c r="Q303" s="213"/>
      <c r="R303" s="213"/>
      <c r="S303" s="213"/>
      <c r="T303" s="213"/>
      <c r="U303" s="213"/>
      <c r="V303" s="213"/>
      <c r="W303" s="213"/>
      <c r="X303" s="213"/>
      <c r="Y303" s="213"/>
      <c r="Z303" s="213"/>
    </row>
    <row r="304" spans="1:26" ht="14.25">
      <c r="A304" s="213"/>
      <c r="B304" s="213"/>
      <c r="C304" s="213"/>
      <c r="D304" s="213"/>
      <c r="E304" s="213"/>
      <c r="F304" s="213"/>
      <c r="G304" s="213"/>
      <c r="H304" s="213"/>
      <c r="I304" s="213"/>
      <c r="J304" s="213"/>
      <c r="K304" s="213"/>
      <c r="L304" s="213"/>
      <c r="M304" s="213"/>
      <c r="N304" s="213"/>
      <c r="O304" s="213"/>
      <c r="P304" s="213"/>
      <c r="Q304" s="213"/>
      <c r="R304" s="213"/>
      <c r="S304" s="213"/>
      <c r="T304" s="213"/>
      <c r="U304" s="213"/>
      <c r="V304" s="213"/>
      <c r="W304" s="213"/>
      <c r="X304" s="213"/>
      <c r="Y304" s="213"/>
      <c r="Z304" s="213"/>
    </row>
    <row r="305" spans="1:26" ht="14.25">
      <c r="A305" s="213"/>
      <c r="B305" s="213"/>
      <c r="C305" s="213"/>
      <c r="D305" s="213"/>
      <c r="E305" s="213"/>
      <c r="F305" s="213"/>
      <c r="G305" s="213"/>
      <c r="H305" s="213"/>
      <c r="I305" s="213"/>
      <c r="J305" s="213"/>
      <c r="K305" s="213"/>
      <c r="L305" s="213"/>
      <c r="M305" s="213"/>
      <c r="N305" s="213"/>
      <c r="O305" s="213"/>
      <c r="P305" s="213"/>
      <c r="Q305" s="213"/>
      <c r="R305" s="213"/>
      <c r="S305" s="213"/>
      <c r="T305" s="213"/>
      <c r="U305" s="213"/>
      <c r="V305" s="213"/>
      <c r="W305" s="213"/>
      <c r="X305" s="213"/>
      <c r="Y305" s="213"/>
      <c r="Z305" s="213"/>
    </row>
    <row r="306" spans="1:26" ht="14.25">
      <c r="A306" s="213"/>
      <c r="B306" s="213"/>
      <c r="C306" s="213"/>
      <c r="D306" s="213"/>
      <c r="E306" s="213"/>
      <c r="F306" s="213"/>
      <c r="G306" s="213"/>
      <c r="H306" s="213"/>
      <c r="I306" s="213"/>
      <c r="J306" s="213"/>
      <c r="K306" s="213"/>
      <c r="L306" s="213"/>
      <c r="M306" s="213"/>
      <c r="N306" s="213"/>
      <c r="O306" s="213"/>
      <c r="P306" s="213"/>
      <c r="Q306" s="213"/>
      <c r="R306" s="213"/>
      <c r="S306" s="213"/>
      <c r="T306" s="213"/>
      <c r="U306" s="213"/>
      <c r="V306" s="213"/>
      <c r="W306" s="213"/>
      <c r="X306" s="213"/>
      <c r="Y306" s="213"/>
      <c r="Z306" s="213"/>
    </row>
    <row r="307" spans="1:26" ht="14.25">
      <c r="A307" s="213"/>
      <c r="B307" s="213"/>
      <c r="C307" s="213"/>
      <c r="D307" s="213"/>
      <c r="E307" s="213"/>
      <c r="F307" s="213"/>
      <c r="G307" s="213"/>
      <c r="H307" s="213"/>
      <c r="I307" s="213"/>
      <c r="J307" s="213"/>
      <c r="K307" s="213"/>
      <c r="L307" s="213"/>
      <c r="M307" s="213"/>
      <c r="N307" s="213"/>
      <c r="O307" s="213"/>
      <c r="P307" s="213"/>
      <c r="Q307" s="213"/>
      <c r="R307" s="213"/>
      <c r="S307" s="213"/>
      <c r="T307" s="213"/>
      <c r="U307" s="213"/>
      <c r="V307" s="213"/>
      <c r="W307" s="213"/>
      <c r="X307" s="213"/>
      <c r="Y307" s="213"/>
      <c r="Z307" s="213"/>
    </row>
    <row r="308" spans="1:26" ht="14.25">
      <c r="A308" s="213"/>
      <c r="B308" s="213"/>
      <c r="C308" s="213"/>
      <c r="D308" s="213"/>
      <c r="E308" s="213"/>
      <c r="F308" s="213"/>
      <c r="G308" s="213"/>
      <c r="H308" s="213"/>
      <c r="I308" s="213"/>
      <c r="J308" s="213"/>
      <c r="K308" s="213"/>
      <c r="L308" s="213"/>
      <c r="M308" s="213"/>
      <c r="N308" s="213"/>
      <c r="O308" s="213"/>
      <c r="P308" s="213"/>
      <c r="Q308" s="213"/>
      <c r="R308" s="213"/>
      <c r="S308" s="213"/>
      <c r="T308" s="213"/>
      <c r="U308" s="213"/>
      <c r="V308" s="213"/>
      <c r="W308" s="213"/>
      <c r="X308" s="213"/>
      <c r="Y308" s="213"/>
      <c r="Z308" s="213"/>
    </row>
    <row r="309" spans="1:26" ht="14.25">
      <c r="A309" s="213"/>
      <c r="B309" s="213"/>
      <c r="C309" s="213"/>
      <c r="D309" s="213"/>
      <c r="E309" s="213"/>
      <c r="F309" s="213"/>
      <c r="G309" s="213"/>
      <c r="H309" s="213"/>
      <c r="I309" s="213"/>
      <c r="J309" s="213"/>
      <c r="K309" s="213"/>
      <c r="L309" s="213"/>
      <c r="M309" s="213"/>
      <c r="N309" s="213"/>
      <c r="O309" s="213"/>
      <c r="P309" s="213"/>
      <c r="Q309" s="213"/>
      <c r="R309" s="213"/>
      <c r="S309" s="213"/>
      <c r="T309" s="213"/>
      <c r="U309" s="213"/>
      <c r="V309" s="213"/>
      <c r="W309" s="213"/>
      <c r="X309" s="213"/>
      <c r="Y309" s="213"/>
      <c r="Z309" s="213"/>
    </row>
    <row r="310" spans="1:26" ht="14.25">
      <c r="A310" s="213"/>
      <c r="B310" s="213"/>
      <c r="C310" s="213"/>
      <c r="D310" s="213"/>
      <c r="E310" s="213"/>
      <c r="F310" s="213"/>
      <c r="G310" s="213"/>
      <c r="H310" s="213"/>
      <c r="I310" s="213"/>
      <c r="J310" s="213"/>
      <c r="K310" s="213"/>
      <c r="L310" s="213"/>
      <c r="M310" s="213"/>
      <c r="N310" s="213"/>
      <c r="O310" s="213"/>
      <c r="P310" s="213"/>
      <c r="Q310" s="213"/>
      <c r="R310" s="213"/>
      <c r="S310" s="213"/>
      <c r="T310" s="213"/>
      <c r="U310" s="213"/>
      <c r="V310" s="213"/>
      <c r="W310" s="213"/>
      <c r="X310" s="213"/>
      <c r="Y310" s="213"/>
      <c r="Z310" s="213"/>
    </row>
    <row r="311" spans="1:26" ht="14.25">
      <c r="A311" s="213"/>
      <c r="B311" s="213"/>
      <c r="C311" s="213"/>
      <c r="D311" s="213"/>
      <c r="E311" s="213"/>
      <c r="F311" s="213"/>
      <c r="G311" s="213"/>
      <c r="H311" s="213"/>
      <c r="I311" s="213"/>
      <c r="J311" s="213"/>
      <c r="K311" s="213"/>
      <c r="L311" s="213"/>
      <c r="M311" s="213"/>
      <c r="N311" s="213"/>
      <c r="O311" s="213"/>
      <c r="P311" s="213"/>
      <c r="Q311" s="213"/>
      <c r="R311" s="213"/>
      <c r="S311" s="213"/>
      <c r="T311" s="213"/>
      <c r="U311" s="213"/>
      <c r="V311" s="213"/>
      <c r="W311" s="213"/>
      <c r="X311" s="213"/>
      <c r="Y311" s="213"/>
      <c r="Z311" s="213"/>
    </row>
    <row r="312" spans="1:26" ht="14.25">
      <c r="A312" s="213"/>
      <c r="B312" s="213"/>
      <c r="C312" s="213"/>
      <c r="D312" s="213"/>
      <c r="E312" s="213"/>
      <c r="F312" s="213"/>
      <c r="G312" s="213"/>
      <c r="H312" s="213"/>
      <c r="I312" s="213"/>
      <c r="J312" s="213"/>
      <c r="K312" s="213"/>
      <c r="L312" s="213"/>
      <c r="M312" s="213"/>
      <c r="N312" s="213"/>
      <c r="O312" s="213"/>
      <c r="P312" s="213"/>
      <c r="Q312" s="213"/>
      <c r="R312" s="213"/>
      <c r="S312" s="213"/>
      <c r="T312" s="213"/>
      <c r="U312" s="213"/>
      <c r="V312" s="213"/>
      <c r="W312" s="213"/>
      <c r="X312" s="213"/>
      <c r="Y312" s="213"/>
      <c r="Z312" s="213"/>
    </row>
    <row r="313" spans="1:26" ht="14.25">
      <c r="A313" s="213"/>
      <c r="B313" s="213"/>
      <c r="C313" s="213"/>
      <c r="D313" s="213"/>
      <c r="E313" s="213"/>
      <c r="F313" s="213"/>
      <c r="G313" s="213"/>
      <c r="H313" s="213"/>
      <c r="I313" s="213"/>
      <c r="J313" s="213"/>
      <c r="K313" s="213"/>
      <c r="L313" s="213"/>
      <c r="M313" s="213"/>
      <c r="N313" s="213"/>
      <c r="O313" s="213"/>
      <c r="P313" s="213"/>
      <c r="Q313" s="213"/>
      <c r="R313" s="213"/>
      <c r="S313" s="213"/>
      <c r="T313" s="213"/>
      <c r="U313" s="213"/>
      <c r="V313" s="213"/>
      <c r="W313" s="213"/>
      <c r="X313" s="213"/>
      <c r="Y313" s="213"/>
      <c r="Z313" s="213"/>
    </row>
    <row r="314" spans="1:26" ht="14.25">
      <c r="A314" s="213"/>
      <c r="B314" s="213"/>
      <c r="C314" s="213"/>
      <c r="D314" s="213"/>
      <c r="E314" s="213"/>
      <c r="F314" s="213"/>
      <c r="G314" s="213"/>
      <c r="H314" s="213"/>
      <c r="I314" s="213"/>
      <c r="J314" s="213"/>
      <c r="K314" s="213"/>
      <c r="L314" s="213"/>
      <c r="M314" s="213"/>
      <c r="N314" s="213"/>
      <c r="O314" s="213"/>
      <c r="P314" s="213"/>
      <c r="Q314" s="213"/>
      <c r="R314" s="213"/>
      <c r="S314" s="213"/>
      <c r="T314" s="213"/>
      <c r="U314" s="213"/>
      <c r="V314" s="213"/>
      <c r="W314" s="213"/>
      <c r="X314" s="213"/>
      <c r="Y314" s="213"/>
      <c r="Z314" s="213"/>
    </row>
    <row r="315" spans="1:26" ht="14.25">
      <c r="A315" s="213"/>
      <c r="B315" s="213"/>
      <c r="C315" s="213"/>
      <c r="D315" s="213"/>
      <c r="E315" s="213"/>
      <c r="F315" s="213"/>
      <c r="G315" s="213"/>
      <c r="H315" s="213"/>
      <c r="I315" s="213"/>
      <c r="J315" s="213"/>
      <c r="K315" s="213"/>
      <c r="L315" s="213"/>
      <c r="M315" s="213"/>
      <c r="N315" s="213"/>
      <c r="O315" s="213"/>
      <c r="P315" s="213"/>
      <c r="Q315" s="213"/>
      <c r="R315" s="213"/>
      <c r="S315" s="213"/>
      <c r="T315" s="213"/>
      <c r="U315" s="213"/>
      <c r="V315" s="213"/>
      <c r="W315" s="213"/>
      <c r="X315" s="213"/>
      <c r="Y315" s="213"/>
      <c r="Z315" s="213"/>
    </row>
    <row r="316" spans="1:26" ht="14.25">
      <c r="A316" s="213"/>
      <c r="B316" s="213"/>
      <c r="C316" s="213"/>
      <c r="D316" s="213"/>
      <c r="E316" s="213"/>
      <c r="F316" s="213"/>
      <c r="G316" s="213"/>
      <c r="H316" s="213"/>
      <c r="I316" s="213"/>
      <c r="J316" s="213"/>
      <c r="K316" s="213"/>
      <c r="L316" s="213"/>
      <c r="M316" s="213"/>
      <c r="N316" s="213"/>
      <c r="O316" s="213"/>
      <c r="P316" s="213"/>
      <c r="Q316" s="213"/>
      <c r="R316" s="213"/>
      <c r="S316" s="213"/>
      <c r="T316" s="213"/>
      <c r="U316" s="213"/>
      <c r="V316" s="213"/>
      <c r="W316" s="213"/>
      <c r="X316" s="213"/>
      <c r="Y316" s="213"/>
      <c r="Z316" s="213"/>
    </row>
    <row r="317" spans="1:26" ht="14.25">
      <c r="A317" s="213"/>
      <c r="B317" s="213"/>
      <c r="C317" s="213"/>
      <c r="D317" s="213"/>
      <c r="E317" s="213"/>
      <c r="F317" s="213"/>
      <c r="G317" s="213"/>
      <c r="H317" s="213"/>
      <c r="I317" s="213"/>
      <c r="J317" s="213"/>
      <c r="K317" s="213"/>
      <c r="L317" s="213"/>
      <c r="M317" s="213"/>
      <c r="N317" s="213"/>
      <c r="O317" s="213"/>
      <c r="P317" s="213"/>
      <c r="Q317" s="213"/>
      <c r="R317" s="213"/>
      <c r="S317" s="213"/>
      <c r="T317" s="213"/>
      <c r="U317" s="213"/>
      <c r="V317" s="213"/>
      <c r="W317" s="213"/>
      <c r="X317" s="213"/>
      <c r="Y317" s="213"/>
      <c r="Z317" s="213"/>
    </row>
    <row r="318" spans="1:26" ht="14.25">
      <c r="A318" s="213"/>
      <c r="B318" s="213"/>
      <c r="C318" s="213"/>
      <c r="D318" s="213"/>
      <c r="E318" s="213"/>
      <c r="F318" s="213"/>
      <c r="G318" s="213"/>
      <c r="H318" s="213"/>
      <c r="I318" s="213"/>
      <c r="J318" s="213"/>
      <c r="K318" s="213"/>
      <c r="L318" s="213"/>
      <c r="M318" s="213"/>
      <c r="N318" s="213"/>
      <c r="O318" s="213"/>
      <c r="P318" s="213"/>
      <c r="Q318" s="213"/>
      <c r="R318" s="213"/>
      <c r="S318" s="213"/>
      <c r="T318" s="213"/>
      <c r="U318" s="213"/>
      <c r="V318" s="213"/>
      <c r="W318" s="213"/>
      <c r="X318" s="213"/>
      <c r="Y318" s="213"/>
      <c r="Z318" s="213"/>
    </row>
    <row r="319" spans="1:26" ht="14.25">
      <c r="A319" s="213"/>
      <c r="B319" s="213"/>
      <c r="C319" s="213"/>
      <c r="D319" s="213"/>
      <c r="E319" s="213"/>
      <c r="F319" s="213"/>
      <c r="G319" s="213"/>
      <c r="H319" s="213"/>
      <c r="I319" s="213"/>
      <c r="J319" s="213"/>
      <c r="K319" s="213"/>
      <c r="L319" s="213"/>
      <c r="M319" s="213"/>
      <c r="N319" s="213"/>
      <c r="O319" s="213"/>
      <c r="P319" s="213"/>
      <c r="Q319" s="213"/>
      <c r="R319" s="213"/>
      <c r="S319" s="213"/>
      <c r="T319" s="213"/>
      <c r="U319" s="213"/>
      <c r="V319" s="213"/>
      <c r="W319" s="213"/>
      <c r="X319" s="213"/>
      <c r="Y319" s="213"/>
      <c r="Z319" s="213"/>
    </row>
    <row r="320" spans="1:26" ht="14.25">
      <c r="A320" s="213"/>
      <c r="B320" s="213"/>
      <c r="C320" s="213"/>
      <c r="D320" s="213"/>
      <c r="E320" s="213"/>
      <c r="F320" s="213"/>
      <c r="G320" s="213"/>
      <c r="H320" s="213"/>
      <c r="I320" s="213"/>
      <c r="J320" s="213"/>
      <c r="K320" s="213"/>
      <c r="L320" s="213"/>
      <c r="M320" s="213"/>
      <c r="N320" s="213"/>
      <c r="O320" s="213"/>
      <c r="P320" s="213"/>
      <c r="Q320" s="213"/>
      <c r="R320" s="213"/>
      <c r="S320" s="213"/>
      <c r="T320" s="213"/>
      <c r="U320" s="213"/>
      <c r="V320" s="213"/>
      <c r="W320" s="213"/>
      <c r="X320" s="213"/>
      <c r="Y320" s="213"/>
      <c r="Z320" s="213"/>
    </row>
    <row r="321" spans="1:26" ht="14.25">
      <c r="A321" s="213"/>
      <c r="B321" s="213"/>
      <c r="C321" s="213"/>
      <c r="D321" s="213"/>
      <c r="E321" s="213"/>
      <c r="F321" s="213"/>
      <c r="G321" s="213"/>
      <c r="H321" s="213"/>
      <c r="I321" s="213"/>
      <c r="J321" s="213"/>
      <c r="K321" s="213"/>
      <c r="L321" s="213"/>
      <c r="M321" s="213"/>
      <c r="N321" s="213"/>
      <c r="O321" s="213"/>
      <c r="P321" s="213"/>
      <c r="Q321" s="213"/>
      <c r="R321" s="213"/>
      <c r="S321" s="213"/>
      <c r="T321" s="213"/>
      <c r="U321" s="213"/>
      <c r="V321" s="213"/>
      <c r="W321" s="213"/>
      <c r="X321" s="213"/>
      <c r="Y321" s="213"/>
      <c r="Z321" s="213"/>
    </row>
    <row r="322" spans="1:26" ht="14.25">
      <c r="A322" s="213"/>
      <c r="B322" s="213"/>
      <c r="C322" s="213"/>
      <c r="D322" s="213"/>
      <c r="E322" s="213"/>
      <c r="F322" s="213"/>
      <c r="G322" s="213"/>
      <c r="H322" s="213"/>
      <c r="I322" s="213"/>
      <c r="J322" s="213"/>
      <c r="K322" s="213"/>
      <c r="L322" s="213"/>
      <c r="M322" s="213"/>
      <c r="N322" s="213"/>
      <c r="O322" s="213"/>
      <c r="P322" s="213"/>
      <c r="Q322" s="213"/>
      <c r="R322" s="213"/>
      <c r="S322" s="213"/>
      <c r="T322" s="213"/>
      <c r="U322" s="213"/>
      <c r="V322" s="213"/>
      <c r="W322" s="213"/>
      <c r="X322" s="213"/>
      <c r="Y322" s="213"/>
      <c r="Z322" s="213"/>
    </row>
    <row r="323" spans="1:26" ht="14.25">
      <c r="A323" s="213"/>
      <c r="B323" s="213"/>
      <c r="C323" s="213"/>
      <c r="D323" s="213"/>
      <c r="E323" s="213"/>
      <c r="F323" s="213"/>
      <c r="G323" s="213"/>
      <c r="H323" s="213"/>
      <c r="I323" s="213"/>
      <c r="J323" s="213"/>
      <c r="K323" s="213"/>
      <c r="L323" s="213"/>
      <c r="M323" s="213"/>
      <c r="N323" s="213"/>
      <c r="O323" s="213"/>
      <c r="P323" s="213"/>
      <c r="Q323" s="213"/>
      <c r="R323" s="213"/>
      <c r="S323" s="213"/>
      <c r="T323" s="213"/>
      <c r="U323" s="213"/>
      <c r="V323" s="213"/>
      <c r="W323" s="213"/>
      <c r="X323" s="213"/>
      <c r="Y323" s="213"/>
      <c r="Z323" s="213"/>
    </row>
    <row r="324" spans="1:26" ht="14.25">
      <c r="A324" s="213"/>
      <c r="B324" s="213"/>
      <c r="C324" s="213"/>
      <c r="D324" s="213"/>
      <c r="E324" s="213"/>
      <c r="F324" s="213"/>
      <c r="G324" s="213"/>
      <c r="H324" s="213"/>
      <c r="I324" s="213"/>
      <c r="J324" s="213"/>
      <c r="K324" s="213"/>
      <c r="L324" s="213"/>
      <c r="M324" s="213"/>
      <c r="N324" s="213"/>
      <c r="O324" s="213"/>
      <c r="P324" s="213"/>
      <c r="Q324" s="213"/>
      <c r="R324" s="213"/>
      <c r="S324" s="213"/>
      <c r="T324" s="213"/>
      <c r="U324" s="213"/>
      <c r="V324" s="213"/>
      <c r="W324" s="213"/>
      <c r="X324" s="213"/>
      <c r="Y324" s="213"/>
      <c r="Z324" s="213"/>
    </row>
    <row r="325" spans="1:26" ht="14.25">
      <c r="A325" s="213"/>
      <c r="B325" s="213"/>
      <c r="C325" s="213"/>
      <c r="D325" s="213"/>
      <c r="E325" s="213"/>
      <c r="F325" s="213"/>
      <c r="G325" s="213"/>
      <c r="H325" s="213"/>
      <c r="I325" s="213"/>
      <c r="J325" s="213"/>
      <c r="K325" s="213"/>
      <c r="L325" s="213"/>
      <c r="M325" s="213"/>
      <c r="N325" s="213"/>
      <c r="O325" s="213"/>
      <c r="P325" s="213"/>
      <c r="Q325" s="213"/>
      <c r="R325" s="213"/>
      <c r="S325" s="213"/>
      <c r="T325" s="213"/>
      <c r="U325" s="213"/>
      <c r="V325" s="213"/>
      <c r="W325" s="213"/>
      <c r="X325" s="213"/>
      <c r="Y325" s="213"/>
      <c r="Z325" s="213"/>
    </row>
    <row r="326" spans="1:26" ht="14.25">
      <c r="A326" s="213"/>
      <c r="B326" s="213"/>
      <c r="C326" s="213"/>
      <c r="D326" s="213"/>
      <c r="E326" s="213"/>
      <c r="F326" s="213"/>
      <c r="G326" s="213"/>
      <c r="H326" s="213"/>
      <c r="I326" s="213"/>
      <c r="J326" s="213"/>
      <c r="K326" s="213"/>
      <c r="L326" s="213"/>
      <c r="M326" s="213"/>
      <c r="N326" s="213"/>
      <c r="O326" s="213"/>
      <c r="P326" s="213"/>
      <c r="Q326" s="213"/>
      <c r="R326" s="213"/>
      <c r="S326" s="213"/>
      <c r="T326" s="213"/>
      <c r="U326" s="213"/>
      <c r="V326" s="213"/>
      <c r="W326" s="213"/>
      <c r="X326" s="213"/>
      <c r="Y326" s="213"/>
      <c r="Z326" s="213"/>
    </row>
    <row r="327" spans="1:26" ht="14.25">
      <c r="A327" s="213"/>
      <c r="B327" s="213"/>
      <c r="C327" s="213"/>
      <c r="D327" s="213"/>
      <c r="E327" s="213"/>
      <c r="F327" s="213"/>
      <c r="G327" s="213"/>
      <c r="H327" s="213"/>
      <c r="I327" s="213"/>
      <c r="J327" s="213"/>
      <c r="K327" s="213"/>
      <c r="L327" s="213"/>
      <c r="M327" s="213"/>
      <c r="N327" s="213"/>
      <c r="O327" s="213"/>
      <c r="P327" s="213"/>
      <c r="Q327" s="213"/>
      <c r="R327" s="213"/>
      <c r="S327" s="213"/>
      <c r="T327" s="213"/>
      <c r="U327" s="213"/>
      <c r="V327" s="213"/>
      <c r="W327" s="213"/>
      <c r="X327" s="213"/>
      <c r="Y327" s="213"/>
      <c r="Z327" s="213"/>
    </row>
    <row r="328" spans="1:26" ht="14.25">
      <c r="A328" s="213"/>
      <c r="B328" s="213"/>
      <c r="C328" s="213"/>
      <c r="D328" s="213"/>
      <c r="E328" s="213"/>
      <c r="F328" s="213"/>
      <c r="G328" s="213"/>
      <c r="H328" s="213"/>
      <c r="I328" s="213"/>
      <c r="J328" s="213"/>
      <c r="K328" s="213"/>
      <c r="L328" s="213"/>
      <c r="M328" s="213"/>
      <c r="N328" s="213"/>
      <c r="O328" s="213"/>
      <c r="P328" s="213"/>
      <c r="Q328" s="213"/>
      <c r="R328" s="213"/>
      <c r="S328" s="213"/>
      <c r="T328" s="213"/>
      <c r="U328" s="213"/>
      <c r="V328" s="213"/>
      <c r="W328" s="213"/>
      <c r="X328" s="213"/>
      <c r="Y328" s="213"/>
      <c r="Z328" s="213"/>
    </row>
    <row r="329" spans="1:26" ht="14.25">
      <c r="A329" s="213"/>
      <c r="B329" s="213"/>
      <c r="C329" s="213"/>
      <c r="D329" s="213"/>
      <c r="E329" s="213"/>
      <c r="F329" s="213"/>
      <c r="G329" s="213"/>
      <c r="H329" s="213"/>
      <c r="I329" s="213"/>
      <c r="J329" s="213"/>
      <c r="K329" s="213"/>
      <c r="L329" s="213"/>
      <c r="M329" s="213"/>
      <c r="N329" s="213"/>
      <c r="O329" s="213"/>
      <c r="P329" s="213"/>
      <c r="Q329" s="213"/>
      <c r="R329" s="213"/>
      <c r="S329" s="213"/>
      <c r="T329" s="213"/>
      <c r="U329" s="213"/>
      <c r="V329" s="213"/>
      <c r="W329" s="213"/>
      <c r="X329" s="213"/>
      <c r="Y329" s="213"/>
      <c r="Z329" s="213"/>
    </row>
    <row r="330" spans="1:26" ht="14.25">
      <c r="A330" s="213"/>
      <c r="B330" s="213"/>
      <c r="C330" s="213"/>
      <c r="D330" s="213"/>
      <c r="E330" s="213"/>
      <c r="F330" s="213"/>
      <c r="G330" s="213"/>
      <c r="H330" s="213"/>
      <c r="I330" s="213"/>
      <c r="J330" s="213"/>
      <c r="K330" s="213"/>
      <c r="L330" s="213"/>
      <c r="M330" s="213"/>
      <c r="N330" s="213"/>
      <c r="O330" s="213"/>
      <c r="P330" s="213"/>
      <c r="Q330" s="213"/>
      <c r="R330" s="213"/>
      <c r="S330" s="213"/>
      <c r="T330" s="213"/>
      <c r="U330" s="213"/>
      <c r="V330" s="213"/>
      <c r="W330" s="213"/>
      <c r="X330" s="213"/>
      <c r="Y330" s="213"/>
      <c r="Z330" s="213"/>
    </row>
    <row r="331" spans="1:26" ht="14.25">
      <c r="A331" s="213"/>
      <c r="B331" s="213"/>
      <c r="C331" s="213"/>
      <c r="D331" s="213"/>
      <c r="E331" s="213"/>
      <c r="F331" s="213"/>
      <c r="G331" s="213"/>
      <c r="H331" s="213"/>
      <c r="I331" s="213"/>
      <c r="J331" s="213"/>
      <c r="K331" s="213"/>
      <c r="L331" s="213"/>
      <c r="M331" s="213"/>
      <c r="N331" s="213"/>
      <c r="O331" s="213"/>
      <c r="P331" s="213"/>
      <c r="Q331" s="213"/>
      <c r="R331" s="213"/>
      <c r="S331" s="213"/>
      <c r="T331" s="213"/>
      <c r="U331" s="213"/>
      <c r="V331" s="213"/>
      <c r="W331" s="213"/>
      <c r="X331" s="213"/>
      <c r="Y331" s="213"/>
      <c r="Z331" s="213"/>
    </row>
    <row r="332" spans="1:26" ht="14.25">
      <c r="A332" s="213"/>
      <c r="B332" s="213"/>
      <c r="C332" s="213"/>
      <c r="D332" s="213"/>
      <c r="E332" s="213"/>
      <c r="F332" s="213"/>
      <c r="G332" s="213"/>
      <c r="H332" s="213"/>
      <c r="I332" s="213"/>
      <c r="J332" s="213"/>
      <c r="K332" s="213"/>
      <c r="L332" s="213"/>
      <c r="M332" s="213"/>
      <c r="N332" s="213"/>
      <c r="O332" s="213"/>
      <c r="P332" s="213"/>
      <c r="Q332" s="213"/>
      <c r="R332" s="213"/>
      <c r="S332" s="213"/>
      <c r="T332" s="213"/>
      <c r="U332" s="213"/>
      <c r="V332" s="213"/>
      <c r="W332" s="213"/>
      <c r="X332" s="213"/>
      <c r="Y332" s="213"/>
      <c r="Z332" s="213"/>
    </row>
    <row r="333" spans="1:26" ht="14.25">
      <c r="A333" s="213"/>
      <c r="B333" s="213"/>
      <c r="C333" s="213"/>
      <c r="D333" s="213"/>
      <c r="E333" s="213"/>
      <c r="F333" s="213"/>
      <c r="G333" s="213"/>
      <c r="H333" s="213"/>
      <c r="I333" s="213"/>
      <c r="J333" s="213"/>
      <c r="K333" s="213"/>
      <c r="L333" s="213"/>
      <c r="M333" s="213"/>
      <c r="N333" s="213"/>
      <c r="O333" s="213"/>
      <c r="P333" s="213"/>
      <c r="Q333" s="213"/>
      <c r="R333" s="213"/>
      <c r="S333" s="213"/>
      <c r="T333" s="213"/>
      <c r="U333" s="213"/>
      <c r="V333" s="213"/>
      <c r="W333" s="213"/>
      <c r="X333" s="213"/>
      <c r="Y333" s="213"/>
      <c r="Z333" s="213"/>
    </row>
    <row r="334" spans="1:26" ht="14.25">
      <c r="A334" s="213"/>
      <c r="B334" s="213"/>
      <c r="C334" s="213"/>
      <c r="D334" s="213"/>
      <c r="E334" s="213"/>
      <c r="F334" s="213"/>
      <c r="G334" s="213"/>
      <c r="H334" s="213"/>
      <c r="I334" s="213"/>
      <c r="J334" s="213"/>
      <c r="K334" s="213"/>
      <c r="L334" s="213"/>
      <c r="M334" s="213"/>
      <c r="N334" s="213"/>
      <c r="O334" s="213"/>
      <c r="P334" s="213"/>
      <c r="Q334" s="213"/>
      <c r="R334" s="213"/>
      <c r="S334" s="213"/>
      <c r="T334" s="213"/>
      <c r="U334" s="213"/>
      <c r="V334" s="213"/>
      <c r="W334" s="213"/>
      <c r="X334" s="213"/>
      <c r="Y334" s="213"/>
      <c r="Z334" s="213"/>
    </row>
    <row r="335" spans="1:26" ht="14.25">
      <c r="A335" s="213"/>
      <c r="B335" s="213"/>
      <c r="C335" s="213"/>
      <c r="D335" s="213"/>
      <c r="E335" s="213"/>
      <c r="F335" s="213"/>
      <c r="G335" s="213"/>
      <c r="H335" s="213"/>
      <c r="I335" s="213"/>
      <c r="J335" s="213"/>
      <c r="K335" s="213"/>
      <c r="L335" s="213"/>
      <c r="M335" s="213"/>
      <c r="N335" s="213"/>
      <c r="O335" s="213"/>
      <c r="P335" s="213"/>
      <c r="Q335" s="213"/>
      <c r="R335" s="213"/>
      <c r="S335" s="213"/>
      <c r="T335" s="213"/>
      <c r="U335" s="213"/>
      <c r="V335" s="213"/>
      <c r="W335" s="213"/>
      <c r="X335" s="213"/>
      <c r="Y335" s="213"/>
      <c r="Z335" s="213"/>
    </row>
    <row r="336" spans="1:26" ht="14.25">
      <c r="A336" s="213"/>
      <c r="B336" s="213"/>
      <c r="C336" s="213"/>
      <c r="D336" s="213"/>
      <c r="E336" s="213"/>
      <c r="F336" s="213"/>
      <c r="G336" s="213"/>
      <c r="H336" s="213"/>
      <c r="I336" s="213"/>
      <c r="J336" s="213"/>
      <c r="K336" s="213"/>
      <c r="L336" s="213"/>
      <c r="M336" s="213"/>
      <c r="N336" s="213"/>
      <c r="O336" s="213"/>
      <c r="P336" s="213"/>
      <c r="Q336" s="213"/>
      <c r="R336" s="213"/>
      <c r="S336" s="213"/>
      <c r="T336" s="213"/>
      <c r="U336" s="213"/>
      <c r="V336" s="213"/>
      <c r="W336" s="213"/>
      <c r="X336" s="213"/>
      <c r="Y336" s="213"/>
      <c r="Z336" s="213"/>
    </row>
    <row r="337" spans="1:26" ht="14.25">
      <c r="A337" s="213"/>
      <c r="B337" s="213"/>
      <c r="C337" s="213"/>
      <c r="D337" s="213"/>
      <c r="E337" s="213"/>
      <c r="F337" s="213"/>
      <c r="G337" s="213"/>
      <c r="H337" s="213"/>
      <c r="I337" s="213"/>
      <c r="J337" s="213"/>
      <c r="K337" s="213"/>
      <c r="L337" s="213"/>
      <c r="M337" s="213"/>
      <c r="N337" s="213"/>
      <c r="O337" s="213"/>
      <c r="P337" s="213"/>
      <c r="Q337" s="213"/>
      <c r="R337" s="213"/>
      <c r="S337" s="213"/>
      <c r="T337" s="213"/>
      <c r="U337" s="213"/>
      <c r="V337" s="213"/>
      <c r="W337" s="213"/>
      <c r="X337" s="213"/>
      <c r="Y337" s="213"/>
      <c r="Z337" s="213"/>
    </row>
    <row r="338" spans="1:26" ht="14.25">
      <c r="A338" s="213"/>
      <c r="B338" s="213"/>
      <c r="C338" s="213"/>
      <c r="D338" s="213"/>
      <c r="E338" s="213"/>
      <c r="F338" s="213"/>
      <c r="G338" s="213"/>
      <c r="H338" s="213"/>
      <c r="I338" s="213"/>
      <c r="J338" s="213"/>
      <c r="K338" s="213"/>
      <c r="L338" s="213"/>
      <c r="M338" s="213"/>
      <c r="N338" s="213"/>
      <c r="O338" s="213"/>
      <c r="P338" s="213"/>
      <c r="Q338" s="213"/>
      <c r="R338" s="213"/>
      <c r="S338" s="213"/>
      <c r="T338" s="213"/>
      <c r="U338" s="213"/>
      <c r="V338" s="213"/>
      <c r="W338" s="213"/>
      <c r="X338" s="213"/>
      <c r="Y338" s="213"/>
      <c r="Z338" s="213"/>
    </row>
    <row r="339" spans="1:26" ht="14.25">
      <c r="A339" s="213"/>
      <c r="B339" s="213"/>
      <c r="C339" s="213"/>
      <c r="D339" s="213"/>
      <c r="E339" s="213"/>
      <c r="F339" s="213"/>
      <c r="G339" s="213"/>
      <c r="H339" s="213"/>
      <c r="I339" s="213"/>
      <c r="J339" s="213"/>
      <c r="K339" s="213"/>
      <c r="L339" s="213"/>
      <c r="M339" s="213"/>
      <c r="N339" s="213"/>
      <c r="O339" s="213"/>
      <c r="P339" s="213"/>
      <c r="Q339" s="213"/>
      <c r="R339" s="213"/>
      <c r="S339" s="213"/>
      <c r="T339" s="213"/>
      <c r="U339" s="213"/>
      <c r="V339" s="213"/>
      <c r="W339" s="213"/>
      <c r="X339" s="213"/>
      <c r="Y339" s="213"/>
      <c r="Z339" s="213"/>
    </row>
    <row r="340" spans="1:26" ht="14.25">
      <c r="A340" s="213"/>
      <c r="B340" s="213"/>
      <c r="C340" s="213"/>
      <c r="D340" s="213"/>
      <c r="E340" s="213"/>
      <c r="F340" s="213"/>
      <c r="G340" s="213"/>
      <c r="H340" s="213"/>
      <c r="I340" s="213"/>
      <c r="J340" s="213"/>
      <c r="K340" s="213"/>
      <c r="L340" s="213"/>
      <c r="M340" s="213"/>
      <c r="N340" s="213"/>
      <c r="O340" s="213"/>
      <c r="P340" s="213"/>
      <c r="Q340" s="213"/>
      <c r="R340" s="213"/>
      <c r="S340" s="213"/>
      <c r="T340" s="213"/>
      <c r="U340" s="213"/>
      <c r="V340" s="213"/>
      <c r="W340" s="213"/>
      <c r="X340" s="213"/>
      <c r="Y340" s="213"/>
      <c r="Z340" s="213"/>
    </row>
    <row r="341" spans="1:26" ht="14.25">
      <c r="A341" s="213"/>
      <c r="B341" s="213"/>
      <c r="C341" s="213"/>
      <c r="D341" s="213"/>
      <c r="E341" s="213"/>
      <c r="F341" s="213"/>
      <c r="G341" s="213"/>
      <c r="H341" s="213"/>
      <c r="I341" s="213"/>
      <c r="J341" s="213"/>
      <c r="K341" s="213"/>
      <c r="L341" s="213"/>
      <c r="M341" s="213"/>
      <c r="N341" s="213"/>
      <c r="O341" s="213"/>
      <c r="P341" s="213"/>
      <c r="Q341" s="213"/>
      <c r="R341" s="213"/>
      <c r="S341" s="213"/>
      <c r="T341" s="213"/>
      <c r="U341" s="213"/>
      <c r="V341" s="213"/>
      <c r="W341" s="213"/>
      <c r="X341" s="213"/>
      <c r="Y341" s="213"/>
      <c r="Z341" s="213"/>
    </row>
    <row r="342" spans="1:26" ht="14.25">
      <c r="A342" s="213"/>
      <c r="B342" s="213"/>
      <c r="C342" s="213"/>
      <c r="D342" s="213"/>
      <c r="E342" s="213"/>
      <c r="F342" s="213"/>
      <c r="G342" s="213"/>
      <c r="H342" s="213"/>
      <c r="I342" s="213"/>
      <c r="J342" s="213"/>
      <c r="K342" s="213"/>
      <c r="L342" s="213"/>
      <c r="M342" s="213"/>
      <c r="N342" s="213"/>
      <c r="O342" s="213"/>
      <c r="P342" s="213"/>
      <c r="Q342" s="213"/>
      <c r="R342" s="213"/>
      <c r="S342" s="213"/>
      <c r="T342" s="213"/>
      <c r="U342" s="213"/>
      <c r="V342" s="213"/>
      <c r="W342" s="213"/>
      <c r="X342" s="213"/>
      <c r="Y342" s="213"/>
      <c r="Z342" s="213"/>
    </row>
    <row r="343" spans="1:26" ht="14.25">
      <c r="A343" s="213"/>
      <c r="B343" s="213"/>
      <c r="C343" s="213"/>
      <c r="D343" s="213"/>
      <c r="E343" s="213"/>
      <c r="F343" s="213"/>
      <c r="G343" s="213"/>
      <c r="H343" s="213"/>
      <c r="I343" s="213"/>
      <c r="J343" s="213"/>
      <c r="K343" s="213"/>
      <c r="L343" s="213"/>
      <c r="M343" s="213"/>
      <c r="N343" s="213"/>
      <c r="O343" s="213"/>
      <c r="P343" s="213"/>
      <c r="Q343" s="213"/>
      <c r="R343" s="213"/>
      <c r="S343" s="213"/>
      <c r="T343" s="213"/>
      <c r="U343" s="213"/>
      <c r="V343" s="213"/>
      <c r="W343" s="213"/>
      <c r="X343" s="213"/>
      <c r="Y343" s="213"/>
      <c r="Z343" s="213"/>
    </row>
    <row r="344" spans="1:26" ht="14.25">
      <c r="A344" s="213"/>
      <c r="B344" s="213"/>
      <c r="C344" s="213"/>
      <c r="D344" s="213"/>
      <c r="E344" s="213"/>
      <c r="F344" s="213"/>
      <c r="G344" s="213"/>
      <c r="H344" s="213"/>
      <c r="I344" s="213"/>
      <c r="J344" s="213"/>
      <c r="K344" s="213"/>
      <c r="L344" s="213"/>
      <c r="M344" s="213"/>
      <c r="N344" s="213"/>
      <c r="O344" s="213"/>
      <c r="P344" s="213"/>
      <c r="Q344" s="213"/>
      <c r="R344" s="213"/>
      <c r="S344" s="213"/>
      <c r="T344" s="213"/>
      <c r="U344" s="213"/>
      <c r="V344" s="213"/>
      <c r="W344" s="213"/>
      <c r="X344" s="213"/>
      <c r="Y344" s="213"/>
      <c r="Z344" s="213"/>
    </row>
    <row r="345" spans="1:26" ht="14.25">
      <c r="A345" s="213"/>
      <c r="B345" s="213"/>
      <c r="C345" s="213"/>
      <c r="D345" s="213"/>
      <c r="E345" s="213"/>
      <c r="F345" s="213"/>
      <c r="G345" s="213"/>
      <c r="H345" s="213"/>
      <c r="I345" s="213"/>
      <c r="J345" s="213"/>
      <c r="K345" s="213"/>
      <c r="L345" s="213"/>
      <c r="M345" s="213"/>
      <c r="N345" s="213"/>
      <c r="O345" s="213"/>
      <c r="P345" s="213"/>
      <c r="Q345" s="213"/>
      <c r="R345" s="213"/>
      <c r="S345" s="213"/>
      <c r="T345" s="213"/>
      <c r="U345" s="213"/>
      <c r="V345" s="213"/>
      <c r="W345" s="213"/>
      <c r="X345" s="213"/>
      <c r="Y345" s="213"/>
      <c r="Z345" s="213"/>
    </row>
    <row r="346" spans="1:26" ht="14.25">
      <c r="A346" s="213"/>
      <c r="B346" s="213"/>
      <c r="C346" s="213"/>
      <c r="D346" s="213"/>
      <c r="E346" s="213"/>
      <c r="F346" s="213"/>
      <c r="G346" s="213"/>
      <c r="H346" s="213"/>
      <c r="I346" s="213"/>
      <c r="J346" s="213"/>
      <c r="K346" s="213"/>
      <c r="L346" s="213"/>
      <c r="M346" s="213"/>
      <c r="N346" s="213"/>
      <c r="O346" s="213"/>
      <c r="P346" s="213"/>
      <c r="Q346" s="213"/>
      <c r="R346" s="213"/>
      <c r="S346" s="213"/>
      <c r="T346" s="213"/>
      <c r="U346" s="213"/>
      <c r="V346" s="213"/>
      <c r="W346" s="213"/>
      <c r="X346" s="213"/>
      <c r="Y346" s="213"/>
      <c r="Z346" s="213"/>
    </row>
    <row r="347" spans="1:26" ht="14.25">
      <c r="A347" s="213"/>
      <c r="B347" s="213"/>
      <c r="C347" s="213"/>
      <c r="D347" s="213"/>
      <c r="E347" s="213"/>
      <c r="F347" s="213"/>
      <c r="G347" s="213"/>
      <c r="H347" s="213"/>
      <c r="I347" s="213"/>
      <c r="J347" s="213"/>
      <c r="K347" s="213"/>
      <c r="L347" s="213"/>
      <c r="M347" s="213"/>
      <c r="N347" s="213"/>
      <c r="O347" s="213"/>
      <c r="P347" s="213"/>
      <c r="Q347" s="213"/>
      <c r="R347" s="213"/>
      <c r="S347" s="213"/>
      <c r="T347" s="213"/>
      <c r="U347" s="213"/>
      <c r="V347" s="213"/>
      <c r="W347" s="213"/>
      <c r="X347" s="213"/>
      <c r="Y347" s="213"/>
      <c r="Z347" s="213"/>
    </row>
    <row r="348" spans="1:26" ht="14.25">
      <c r="A348" s="213"/>
      <c r="B348" s="213"/>
      <c r="C348" s="213"/>
      <c r="D348" s="213"/>
      <c r="E348" s="213"/>
      <c r="F348" s="213"/>
      <c r="G348" s="213"/>
      <c r="H348" s="213"/>
      <c r="I348" s="213"/>
      <c r="J348" s="213"/>
      <c r="K348" s="213"/>
      <c r="L348" s="213"/>
      <c r="M348" s="213"/>
      <c r="N348" s="213"/>
      <c r="O348" s="213"/>
      <c r="P348" s="213"/>
      <c r="Q348" s="213"/>
      <c r="R348" s="213"/>
      <c r="S348" s="213"/>
      <c r="T348" s="213"/>
      <c r="U348" s="213"/>
      <c r="V348" s="213"/>
      <c r="W348" s="213"/>
      <c r="X348" s="213"/>
      <c r="Y348" s="213"/>
      <c r="Z348" s="213"/>
    </row>
    <row r="349" spans="1:26" ht="14.25">
      <c r="A349" s="213"/>
      <c r="B349" s="213"/>
      <c r="C349" s="213"/>
      <c r="D349" s="213"/>
      <c r="E349" s="213"/>
      <c r="F349" s="213"/>
      <c r="G349" s="213"/>
      <c r="H349" s="213"/>
      <c r="I349" s="213"/>
      <c r="J349" s="213"/>
      <c r="K349" s="213"/>
      <c r="L349" s="213"/>
      <c r="M349" s="213"/>
      <c r="N349" s="213"/>
      <c r="O349" s="213"/>
      <c r="P349" s="213"/>
      <c r="Q349" s="213"/>
      <c r="R349" s="213"/>
      <c r="S349" s="213"/>
      <c r="T349" s="213"/>
      <c r="U349" s="213"/>
      <c r="V349" s="213"/>
      <c r="W349" s="213"/>
      <c r="X349" s="213"/>
      <c r="Y349" s="213"/>
      <c r="Z349" s="213"/>
    </row>
    <row r="350" spans="1:26" ht="14.25">
      <c r="A350" s="213"/>
      <c r="B350" s="213"/>
      <c r="C350" s="213"/>
      <c r="D350" s="213"/>
      <c r="E350" s="213"/>
      <c r="F350" s="213"/>
      <c r="G350" s="213"/>
      <c r="H350" s="213"/>
      <c r="I350" s="213"/>
      <c r="J350" s="213"/>
      <c r="K350" s="213"/>
      <c r="L350" s="213"/>
      <c r="M350" s="213"/>
      <c r="N350" s="213"/>
      <c r="O350" s="213"/>
      <c r="P350" s="213"/>
      <c r="Q350" s="213"/>
      <c r="R350" s="213"/>
      <c r="S350" s="213"/>
      <c r="T350" s="213"/>
      <c r="U350" s="213"/>
      <c r="V350" s="213"/>
      <c r="W350" s="213"/>
      <c r="X350" s="213"/>
      <c r="Y350" s="213"/>
      <c r="Z350" s="213"/>
    </row>
    <row r="351" spans="1:26" ht="14.25">
      <c r="A351" s="213"/>
      <c r="B351" s="213"/>
      <c r="C351" s="213"/>
      <c r="D351" s="213"/>
      <c r="E351" s="213"/>
      <c r="F351" s="213"/>
      <c r="G351" s="213"/>
      <c r="H351" s="213"/>
      <c r="I351" s="213"/>
      <c r="J351" s="213"/>
      <c r="K351" s="213"/>
      <c r="L351" s="213"/>
      <c r="M351" s="213"/>
      <c r="N351" s="213"/>
      <c r="O351" s="213"/>
      <c r="P351" s="213"/>
      <c r="Q351" s="213"/>
      <c r="R351" s="213"/>
      <c r="S351" s="213"/>
      <c r="T351" s="213"/>
      <c r="U351" s="213"/>
      <c r="V351" s="213"/>
      <c r="W351" s="213"/>
      <c r="X351" s="213"/>
      <c r="Y351" s="213"/>
      <c r="Z351" s="213"/>
    </row>
    <row r="352" spans="1:26" ht="14.25">
      <c r="A352" s="213"/>
      <c r="B352" s="213"/>
      <c r="C352" s="213"/>
      <c r="D352" s="213"/>
      <c r="E352" s="213"/>
      <c r="F352" s="213"/>
      <c r="G352" s="213"/>
      <c r="H352" s="213"/>
      <c r="I352" s="213"/>
      <c r="J352" s="213"/>
      <c r="K352" s="213"/>
      <c r="L352" s="213"/>
      <c r="M352" s="213"/>
      <c r="N352" s="213"/>
      <c r="O352" s="213"/>
      <c r="P352" s="213"/>
      <c r="Q352" s="213"/>
      <c r="R352" s="213"/>
      <c r="S352" s="213"/>
      <c r="T352" s="213"/>
      <c r="U352" s="213"/>
      <c r="V352" s="213"/>
      <c r="W352" s="213"/>
      <c r="X352" s="213"/>
      <c r="Y352" s="213"/>
      <c r="Z352" s="213"/>
    </row>
    <row r="353" spans="1:26" ht="14.25">
      <c r="A353" s="213"/>
      <c r="B353" s="213"/>
      <c r="C353" s="213"/>
      <c r="D353" s="213"/>
      <c r="E353" s="213"/>
      <c r="F353" s="213"/>
      <c r="G353" s="213"/>
      <c r="H353" s="213"/>
      <c r="I353" s="213"/>
      <c r="J353" s="213"/>
      <c r="K353" s="213"/>
      <c r="L353" s="213"/>
      <c r="M353" s="213"/>
      <c r="N353" s="213"/>
      <c r="O353" s="213"/>
      <c r="P353" s="213"/>
      <c r="Q353" s="213"/>
      <c r="R353" s="213"/>
      <c r="S353" s="213"/>
      <c r="T353" s="213"/>
      <c r="U353" s="213"/>
      <c r="V353" s="213"/>
      <c r="W353" s="213"/>
      <c r="X353" s="213"/>
      <c r="Y353" s="213"/>
      <c r="Z353" s="213"/>
    </row>
    <row r="354" spans="1:26" ht="14.25">
      <c r="A354" s="213"/>
      <c r="B354" s="213"/>
      <c r="C354" s="213"/>
      <c r="D354" s="213"/>
      <c r="E354" s="213"/>
      <c r="F354" s="213"/>
      <c r="G354" s="213"/>
      <c r="H354" s="213"/>
      <c r="I354" s="213"/>
      <c r="J354" s="213"/>
      <c r="K354" s="213"/>
      <c r="L354" s="213"/>
      <c r="M354" s="213"/>
      <c r="N354" s="213"/>
      <c r="O354" s="213"/>
      <c r="P354" s="213"/>
      <c r="Q354" s="213"/>
      <c r="R354" s="213"/>
      <c r="S354" s="213"/>
      <c r="T354" s="213"/>
      <c r="U354" s="213"/>
      <c r="V354" s="213"/>
      <c r="W354" s="213"/>
      <c r="X354" s="213"/>
      <c r="Y354" s="213"/>
      <c r="Z354" s="213"/>
    </row>
    <row r="355" spans="1:26" ht="14.25">
      <c r="A355" s="213"/>
      <c r="B355" s="213"/>
      <c r="C355" s="213"/>
      <c r="D355" s="213"/>
      <c r="E355" s="213"/>
      <c r="F355" s="213"/>
      <c r="G355" s="213"/>
      <c r="H355" s="213"/>
      <c r="I355" s="213"/>
      <c r="J355" s="213"/>
      <c r="K355" s="213"/>
      <c r="L355" s="213"/>
      <c r="M355" s="213"/>
      <c r="N355" s="213"/>
      <c r="O355" s="213"/>
      <c r="P355" s="213"/>
      <c r="Q355" s="213"/>
      <c r="R355" s="213"/>
      <c r="S355" s="213"/>
      <c r="T355" s="213"/>
      <c r="U355" s="213"/>
      <c r="V355" s="213"/>
      <c r="W355" s="213"/>
      <c r="X355" s="213"/>
      <c r="Y355" s="213"/>
      <c r="Z355" s="213"/>
    </row>
    <row r="356" spans="1:26" ht="14.25">
      <c r="A356" s="213"/>
      <c r="B356" s="213"/>
      <c r="C356" s="213"/>
      <c r="D356" s="213"/>
      <c r="E356" s="213"/>
      <c r="F356" s="213"/>
      <c r="G356" s="213"/>
      <c r="H356" s="213"/>
      <c r="I356" s="213"/>
      <c r="J356" s="213"/>
      <c r="K356" s="213"/>
      <c r="L356" s="213"/>
      <c r="M356" s="213"/>
      <c r="N356" s="213"/>
      <c r="O356" s="213"/>
      <c r="P356" s="213"/>
      <c r="Q356" s="213"/>
      <c r="R356" s="213"/>
      <c r="S356" s="213"/>
      <c r="T356" s="213"/>
      <c r="U356" s="213"/>
      <c r="V356" s="213"/>
      <c r="W356" s="213"/>
      <c r="X356" s="213"/>
      <c r="Y356" s="213"/>
      <c r="Z356" s="213"/>
    </row>
    <row r="357" spans="1:26" ht="14.25">
      <c r="A357" s="213"/>
      <c r="B357" s="213"/>
      <c r="C357" s="213"/>
      <c r="D357" s="213"/>
      <c r="E357" s="213"/>
      <c r="F357" s="213"/>
      <c r="G357" s="213"/>
      <c r="H357" s="213"/>
      <c r="I357" s="213"/>
      <c r="J357" s="213"/>
      <c r="K357" s="213"/>
      <c r="L357" s="213"/>
      <c r="M357" s="213"/>
      <c r="N357" s="213"/>
      <c r="O357" s="213"/>
      <c r="P357" s="213"/>
      <c r="Q357" s="213"/>
      <c r="R357" s="213"/>
      <c r="S357" s="213"/>
      <c r="T357" s="213"/>
      <c r="U357" s="213"/>
      <c r="V357" s="213"/>
      <c r="W357" s="213"/>
      <c r="X357" s="213"/>
      <c r="Y357" s="213"/>
      <c r="Z357" s="213"/>
    </row>
    <row r="358" spans="1:26" ht="14.25">
      <c r="A358" s="213"/>
      <c r="B358" s="213"/>
      <c r="C358" s="213"/>
      <c r="D358" s="213"/>
      <c r="E358" s="213"/>
      <c r="F358" s="213"/>
      <c r="G358" s="213"/>
      <c r="H358" s="213"/>
      <c r="I358" s="213"/>
      <c r="J358" s="213"/>
      <c r="K358" s="213"/>
      <c r="L358" s="213"/>
      <c r="M358" s="213"/>
      <c r="N358" s="213"/>
      <c r="O358" s="213"/>
      <c r="P358" s="213"/>
      <c r="Q358" s="213"/>
      <c r="R358" s="213"/>
      <c r="S358" s="213"/>
      <c r="T358" s="213"/>
      <c r="U358" s="213"/>
      <c r="V358" s="213"/>
      <c r="W358" s="213"/>
      <c r="X358" s="213"/>
      <c r="Y358" s="213"/>
      <c r="Z358" s="213"/>
    </row>
    <row r="359" spans="1:26" ht="14.25">
      <c r="A359" s="213"/>
      <c r="B359" s="213"/>
      <c r="C359" s="213"/>
      <c r="D359" s="213"/>
      <c r="E359" s="213"/>
      <c r="F359" s="213"/>
      <c r="G359" s="213"/>
      <c r="H359" s="213"/>
      <c r="I359" s="213"/>
      <c r="J359" s="213"/>
      <c r="K359" s="213"/>
      <c r="L359" s="213"/>
      <c r="M359" s="213"/>
      <c r="N359" s="213"/>
      <c r="O359" s="213"/>
      <c r="P359" s="213"/>
      <c r="Q359" s="213"/>
      <c r="R359" s="213"/>
      <c r="S359" s="213"/>
      <c r="T359" s="213"/>
      <c r="U359" s="213"/>
      <c r="V359" s="213"/>
      <c r="W359" s="213"/>
      <c r="X359" s="213"/>
      <c r="Y359" s="213"/>
      <c r="Z359" s="213"/>
    </row>
    <row r="360" spans="1:26" ht="14.25">
      <c r="A360" s="213"/>
      <c r="B360" s="213"/>
      <c r="C360" s="213"/>
      <c r="D360" s="213"/>
      <c r="E360" s="213"/>
      <c r="F360" s="213"/>
      <c r="G360" s="213"/>
      <c r="H360" s="213"/>
      <c r="I360" s="213"/>
      <c r="J360" s="213"/>
      <c r="K360" s="213"/>
      <c r="L360" s="213"/>
      <c r="M360" s="213"/>
      <c r="N360" s="213"/>
      <c r="O360" s="213"/>
      <c r="P360" s="213"/>
      <c r="Q360" s="213"/>
      <c r="R360" s="213"/>
      <c r="S360" s="213"/>
      <c r="T360" s="213"/>
      <c r="U360" s="213"/>
      <c r="V360" s="213"/>
      <c r="W360" s="213"/>
      <c r="X360" s="213"/>
      <c r="Y360" s="213"/>
      <c r="Z360" s="213"/>
    </row>
    <row r="361" spans="1:26" ht="14.25">
      <c r="A361" s="213"/>
      <c r="B361" s="213"/>
      <c r="C361" s="213"/>
      <c r="D361" s="213"/>
      <c r="E361" s="213"/>
      <c r="F361" s="213"/>
      <c r="G361" s="213"/>
      <c r="H361" s="213"/>
      <c r="I361" s="213"/>
      <c r="J361" s="213"/>
      <c r="K361" s="213"/>
      <c r="L361" s="213"/>
      <c r="M361" s="213"/>
      <c r="N361" s="213"/>
      <c r="O361" s="213"/>
      <c r="P361" s="213"/>
      <c r="Q361" s="213"/>
      <c r="R361" s="213"/>
      <c r="S361" s="213"/>
      <c r="T361" s="213"/>
      <c r="U361" s="213"/>
      <c r="V361" s="213"/>
      <c r="W361" s="213"/>
      <c r="X361" s="213"/>
      <c r="Y361" s="213"/>
      <c r="Z361" s="213"/>
    </row>
    <row r="362" spans="1:26" ht="14.25">
      <c r="A362" s="213"/>
      <c r="B362" s="213"/>
      <c r="C362" s="213"/>
      <c r="D362" s="213"/>
      <c r="E362" s="213"/>
      <c r="F362" s="213"/>
      <c r="G362" s="213"/>
      <c r="H362" s="213"/>
      <c r="I362" s="213"/>
      <c r="J362" s="213"/>
      <c r="K362" s="213"/>
      <c r="L362" s="213"/>
      <c r="M362" s="213"/>
      <c r="N362" s="213"/>
      <c r="O362" s="213"/>
      <c r="P362" s="213"/>
      <c r="Q362" s="213"/>
      <c r="R362" s="213"/>
      <c r="S362" s="213"/>
      <c r="T362" s="213"/>
      <c r="U362" s="213"/>
      <c r="V362" s="213"/>
      <c r="W362" s="213"/>
      <c r="X362" s="213"/>
      <c r="Y362" s="213"/>
      <c r="Z362" s="213"/>
    </row>
    <row r="363" spans="1:26" ht="14.25">
      <c r="A363" s="213"/>
      <c r="B363" s="213"/>
      <c r="C363" s="213"/>
      <c r="D363" s="213"/>
      <c r="E363" s="213"/>
      <c r="F363" s="213"/>
      <c r="G363" s="213"/>
      <c r="H363" s="213"/>
      <c r="I363" s="213"/>
      <c r="J363" s="213"/>
      <c r="K363" s="213"/>
      <c r="L363" s="213"/>
      <c r="M363" s="213"/>
      <c r="N363" s="213"/>
      <c r="O363" s="213"/>
      <c r="P363" s="213"/>
      <c r="Q363" s="213"/>
      <c r="R363" s="213"/>
      <c r="S363" s="213"/>
      <c r="T363" s="213"/>
      <c r="U363" s="213"/>
      <c r="V363" s="213"/>
      <c r="W363" s="213"/>
      <c r="X363" s="213"/>
      <c r="Y363" s="213"/>
      <c r="Z363" s="213"/>
    </row>
    <row r="364" spans="1:26" ht="14.25">
      <c r="A364" s="213"/>
      <c r="B364" s="213"/>
      <c r="C364" s="213"/>
      <c r="D364" s="213"/>
      <c r="E364" s="213"/>
      <c r="F364" s="213"/>
      <c r="G364" s="213"/>
      <c r="H364" s="213"/>
      <c r="I364" s="213"/>
      <c r="J364" s="213"/>
      <c r="K364" s="213"/>
      <c r="L364" s="213"/>
      <c r="M364" s="213"/>
      <c r="N364" s="213"/>
      <c r="O364" s="213"/>
      <c r="P364" s="213"/>
      <c r="Q364" s="213"/>
      <c r="R364" s="213"/>
      <c r="S364" s="213"/>
      <c r="T364" s="213"/>
      <c r="U364" s="213"/>
      <c r="V364" s="213"/>
      <c r="W364" s="213"/>
      <c r="X364" s="213"/>
      <c r="Y364" s="213"/>
      <c r="Z364" s="213"/>
    </row>
    <row r="365" spans="1:26" ht="14.25">
      <c r="A365" s="213"/>
      <c r="B365" s="213"/>
      <c r="C365" s="213"/>
      <c r="D365" s="213"/>
      <c r="E365" s="213"/>
      <c r="F365" s="213"/>
      <c r="G365" s="213"/>
      <c r="H365" s="213"/>
      <c r="I365" s="213"/>
      <c r="J365" s="213"/>
      <c r="K365" s="213"/>
      <c r="L365" s="213"/>
      <c r="M365" s="213"/>
      <c r="N365" s="213"/>
      <c r="O365" s="213"/>
      <c r="P365" s="213"/>
      <c r="Q365" s="213"/>
      <c r="R365" s="213"/>
      <c r="S365" s="213"/>
      <c r="T365" s="213"/>
      <c r="U365" s="213"/>
      <c r="V365" s="213"/>
      <c r="W365" s="213"/>
      <c r="X365" s="213"/>
      <c r="Y365" s="213"/>
      <c r="Z365" s="213"/>
    </row>
    <row r="366" spans="1:26" ht="14.25">
      <c r="A366" s="213"/>
      <c r="B366" s="213"/>
      <c r="C366" s="213"/>
      <c r="D366" s="213"/>
      <c r="E366" s="213"/>
      <c r="F366" s="213"/>
      <c r="G366" s="213"/>
      <c r="H366" s="213"/>
      <c r="I366" s="213"/>
      <c r="J366" s="213"/>
      <c r="K366" s="213"/>
      <c r="L366" s="213"/>
      <c r="M366" s="213"/>
      <c r="N366" s="213"/>
      <c r="O366" s="213"/>
      <c r="P366" s="213"/>
      <c r="Q366" s="213"/>
      <c r="R366" s="213"/>
      <c r="S366" s="213"/>
      <c r="T366" s="213"/>
      <c r="U366" s="213"/>
      <c r="V366" s="213"/>
      <c r="W366" s="213"/>
      <c r="X366" s="213"/>
      <c r="Y366" s="213"/>
      <c r="Z366" s="213"/>
    </row>
    <row r="367" spans="1:26" ht="14.25">
      <c r="A367" s="213"/>
      <c r="B367" s="213"/>
      <c r="C367" s="213"/>
      <c r="D367" s="213"/>
      <c r="E367" s="213"/>
      <c r="F367" s="213"/>
      <c r="G367" s="213"/>
      <c r="H367" s="213"/>
      <c r="I367" s="213"/>
      <c r="J367" s="213"/>
      <c r="K367" s="213"/>
      <c r="L367" s="213"/>
      <c r="M367" s="213"/>
      <c r="N367" s="213"/>
      <c r="O367" s="213"/>
      <c r="P367" s="213"/>
      <c r="Q367" s="213"/>
      <c r="R367" s="213"/>
      <c r="S367" s="213"/>
      <c r="T367" s="213"/>
      <c r="U367" s="213"/>
      <c r="V367" s="213"/>
      <c r="W367" s="213"/>
      <c r="X367" s="213"/>
      <c r="Y367" s="213"/>
      <c r="Z367" s="213"/>
    </row>
    <row r="368" spans="1:26" ht="14.25">
      <c r="A368" s="213"/>
      <c r="B368" s="213"/>
      <c r="C368" s="213"/>
      <c r="D368" s="213"/>
      <c r="E368" s="213"/>
      <c r="F368" s="213"/>
      <c r="G368" s="213"/>
      <c r="H368" s="213"/>
      <c r="I368" s="213"/>
      <c r="J368" s="213"/>
      <c r="K368" s="213"/>
      <c r="L368" s="213"/>
      <c r="M368" s="213"/>
      <c r="N368" s="213"/>
      <c r="O368" s="213"/>
      <c r="P368" s="213"/>
      <c r="Q368" s="213"/>
      <c r="R368" s="213"/>
      <c r="S368" s="213"/>
      <c r="T368" s="213"/>
      <c r="U368" s="213"/>
      <c r="V368" s="213"/>
      <c r="W368" s="213"/>
      <c r="X368" s="213"/>
      <c r="Y368" s="213"/>
      <c r="Z368" s="213"/>
    </row>
    <row r="369" spans="1:26" ht="14.25">
      <c r="A369" s="213"/>
      <c r="B369" s="213"/>
      <c r="C369" s="213"/>
      <c r="D369" s="213"/>
      <c r="E369" s="213"/>
      <c r="F369" s="213"/>
      <c r="G369" s="213"/>
      <c r="H369" s="213"/>
      <c r="I369" s="213"/>
      <c r="J369" s="213"/>
      <c r="K369" s="213"/>
      <c r="L369" s="213"/>
      <c r="M369" s="213"/>
      <c r="N369" s="213"/>
      <c r="O369" s="213"/>
      <c r="P369" s="213"/>
      <c r="Q369" s="213"/>
      <c r="R369" s="213"/>
      <c r="S369" s="213"/>
      <c r="T369" s="213"/>
      <c r="U369" s="213"/>
      <c r="V369" s="213"/>
      <c r="W369" s="213"/>
      <c r="X369" s="213"/>
      <c r="Y369" s="213"/>
      <c r="Z369" s="213"/>
    </row>
    <row r="370" spans="1:26" ht="14.25">
      <c r="A370" s="213"/>
      <c r="B370" s="213"/>
      <c r="C370" s="213"/>
      <c r="D370" s="213"/>
      <c r="E370" s="213"/>
      <c r="F370" s="213"/>
      <c r="G370" s="213"/>
      <c r="H370" s="213"/>
      <c r="I370" s="213"/>
      <c r="J370" s="213"/>
      <c r="K370" s="213"/>
      <c r="L370" s="213"/>
      <c r="M370" s="213"/>
      <c r="N370" s="213"/>
      <c r="O370" s="213"/>
      <c r="P370" s="213"/>
      <c r="Q370" s="213"/>
      <c r="R370" s="213"/>
      <c r="S370" s="213"/>
      <c r="T370" s="213"/>
      <c r="U370" s="213"/>
      <c r="V370" s="213"/>
      <c r="W370" s="213"/>
      <c r="X370" s="213"/>
      <c r="Y370" s="213"/>
      <c r="Z370" s="213"/>
    </row>
    <row r="371" spans="1:26" ht="14.25">
      <c r="A371" s="213"/>
      <c r="B371" s="213"/>
      <c r="C371" s="213"/>
      <c r="D371" s="213"/>
      <c r="E371" s="213"/>
      <c r="F371" s="213"/>
      <c r="G371" s="213"/>
      <c r="H371" s="213"/>
      <c r="I371" s="213"/>
      <c r="J371" s="213"/>
      <c r="K371" s="213"/>
      <c r="L371" s="213"/>
      <c r="M371" s="213"/>
      <c r="N371" s="213"/>
      <c r="O371" s="213"/>
      <c r="P371" s="213"/>
      <c r="Q371" s="213"/>
      <c r="R371" s="213"/>
      <c r="S371" s="213"/>
      <c r="T371" s="213"/>
      <c r="U371" s="213"/>
      <c r="V371" s="213"/>
      <c r="W371" s="213"/>
      <c r="X371" s="213"/>
      <c r="Y371" s="213"/>
      <c r="Z371" s="213"/>
    </row>
    <row r="372" spans="1:26" ht="14.25">
      <c r="A372" s="213"/>
      <c r="B372" s="213"/>
      <c r="C372" s="213"/>
      <c r="D372" s="213"/>
      <c r="E372" s="213"/>
      <c r="F372" s="213"/>
      <c r="G372" s="213"/>
      <c r="H372" s="213"/>
      <c r="I372" s="213"/>
      <c r="J372" s="213"/>
      <c r="K372" s="213"/>
      <c r="L372" s="213"/>
      <c r="M372" s="213"/>
      <c r="N372" s="213"/>
      <c r="O372" s="213"/>
      <c r="P372" s="213"/>
      <c r="Q372" s="213"/>
      <c r="R372" s="213"/>
      <c r="S372" s="213"/>
      <c r="T372" s="213"/>
      <c r="U372" s="213"/>
      <c r="V372" s="213"/>
      <c r="W372" s="213"/>
      <c r="X372" s="213"/>
      <c r="Y372" s="213"/>
      <c r="Z372" s="213"/>
    </row>
    <row r="373" spans="1:26" ht="14.25">
      <c r="A373" s="213"/>
      <c r="B373" s="213"/>
      <c r="C373" s="213"/>
      <c r="D373" s="213"/>
      <c r="E373" s="213"/>
      <c r="F373" s="213"/>
      <c r="G373" s="213"/>
      <c r="H373" s="213"/>
      <c r="I373" s="213"/>
      <c r="J373" s="213"/>
      <c r="K373" s="213"/>
      <c r="L373" s="213"/>
      <c r="M373" s="213"/>
      <c r="N373" s="213"/>
      <c r="O373" s="213"/>
      <c r="P373" s="213"/>
      <c r="Q373" s="213"/>
      <c r="R373" s="213"/>
      <c r="S373" s="213"/>
      <c r="T373" s="213"/>
      <c r="U373" s="213"/>
      <c r="V373" s="213"/>
      <c r="W373" s="213"/>
      <c r="X373" s="213"/>
      <c r="Y373" s="213"/>
      <c r="Z373" s="213"/>
    </row>
    <row r="374" spans="1:26" ht="14.25">
      <c r="A374" s="213"/>
      <c r="B374" s="213"/>
      <c r="C374" s="213"/>
      <c r="D374" s="213"/>
      <c r="E374" s="213"/>
      <c r="F374" s="213"/>
      <c r="G374" s="213"/>
      <c r="H374" s="213"/>
      <c r="I374" s="213"/>
      <c r="J374" s="213"/>
      <c r="K374" s="213"/>
      <c r="L374" s="213"/>
      <c r="M374" s="213"/>
      <c r="N374" s="213"/>
      <c r="O374" s="213"/>
      <c r="P374" s="213"/>
      <c r="Q374" s="213"/>
      <c r="R374" s="213"/>
      <c r="S374" s="213"/>
      <c r="T374" s="213"/>
      <c r="U374" s="213"/>
      <c r="V374" s="213"/>
      <c r="W374" s="213"/>
      <c r="X374" s="213"/>
      <c r="Y374" s="213"/>
      <c r="Z374" s="213"/>
    </row>
    <row r="375" spans="1:26" ht="14.25">
      <c r="A375" s="213"/>
      <c r="B375" s="213"/>
      <c r="C375" s="213"/>
      <c r="D375" s="213"/>
      <c r="E375" s="213"/>
      <c r="F375" s="213"/>
      <c r="G375" s="213"/>
      <c r="H375" s="213"/>
      <c r="I375" s="213"/>
      <c r="J375" s="213"/>
      <c r="K375" s="213"/>
      <c r="L375" s="213"/>
      <c r="M375" s="213"/>
      <c r="N375" s="213"/>
      <c r="O375" s="213"/>
      <c r="P375" s="213"/>
      <c r="Q375" s="213"/>
      <c r="R375" s="213"/>
      <c r="S375" s="213"/>
      <c r="T375" s="213"/>
      <c r="U375" s="213"/>
      <c r="V375" s="213"/>
      <c r="W375" s="213"/>
      <c r="X375" s="213"/>
      <c r="Y375" s="213"/>
      <c r="Z375" s="213"/>
    </row>
    <row r="376" spans="1:26" ht="14.25">
      <c r="A376" s="213"/>
      <c r="B376" s="213"/>
      <c r="C376" s="213"/>
      <c r="D376" s="213"/>
      <c r="E376" s="213"/>
      <c r="F376" s="213"/>
      <c r="G376" s="213"/>
      <c r="H376" s="213"/>
      <c r="I376" s="213"/>
      <c r="J376" s="213"/>
      <c r="K376" s="213"/>
      <c r="L376" s="213"/>
      <c r="M376" s="213"/>
      <c r="N376" s="213"/>
      <c r="O376" s="213"/>
      <c r="P376" s="213"/>
      <c r="Q376" s="213"/>
      <c r="R376" s="213"/>
      <c r="S376" s="213"/>
      <c r="T376" s="213"/>
      <c r="U376" s="213"/>
      <c r="V376" s="213"/>
      <c r="W376" s="213"/>
      <c r="X376" s="213"/>
      <c r="Y376" s="213"/>
      <c r="Z376" s="213"/>
    </row>
    <row r="377" spans="1:26" ht="14.25">
      <c r="A377" s="213"/>
      <c r="B377" s="213"/>
      <c r="C377" s="213"/>
      <c r="D377" s="213"/>
      <c r="E377" s="213"/>
      <c r="F377" s="213"/>
      <c r="G377" s="213"/>
      <c r="H377" s="213"/>
      <c r="I377" s="213"/>
      <c r="J377" s="213"/>
      <c r="K377" s="213"/>
      <c r="L377" s="213"/>
      <c r="M377" s="213"/>
      <c r="N377" s="213"/>
      <c r="O377" s="213"/>
      <c r="P377" s="213"/>
      <c r="Q377" s="213"/>
      <c r="R377" s="213"/>
      <c r="S377" s="213"/>
      <c r="T377" s="213"/>
      <c r="U377" s="213"/>
      <c r="V377" s="213"/>
      <c r="W377" s="213"/>
      <c r="X377" s="213"/>
      <c r="Y377" s="213"/>
      <c r="Z377" s="213"/>
    </row>
    <row r="378" spans="1:26" ht="14.25">
      <c r="A378" s="213"/>
      <c r="B378" s="213"/>
      <c r="C378" s="213"/>
      <c r="D378" s="213"/>
      <c r="E378" s="213"/>
      <c r="F378" s="213"/>
      <c r="G378" s="213"/>
      <c r="H378" s="213"/>
      <c r="I378" s="213"/>
      <c r="J378" s="213"/>
      <c r="K378" s="213"/>
      <c r="L378" s="213"/>
      <c r="M378" s="213"/>
      <c r="N378" s="213"/>
      <c r="O378" s="213"/>
      <c r="P378" s="213"/>
      <c r="Q378" s="213"/>
      <c r="R378" s="213"/>
      <c r="S378" s="213"/>
      <c r="T378" s="213"/>
      <c r="U378" s="213"/>
      <c r="V378" s="213"/>
      <c r="W378" s="213"/>
      <c r="X378" s="213"/>
      <c r="Y378" s="213"/>
      <c r="Z378" s="213"/>
    </row>
    <row r="379" spans="1:26" ht="14.25">
      <c r="A379" s="213"/>
      <c r="B379" s="213"/>
      <c r="C379" s="213"/>
      <c r="D379" s="213"/>
      <c r="E379" s="213"/>
      <c r="F379" s="213"/>
      <c r="G379" s="213"/>
      <c r="H379" s="213"/>
      <c r="I379" s="213"/>
      <c r="J379" s="213"/>
      <c r="K379" s="213"/>
      <c r="L379" s="213"/>
      <c r="M379" s="213"/>
      <c r="N379" s="213"/>
      <c r="O379" s="213"/>
      <c r="P379" s="213"/>
      <c r="Q379" s="213"/>
      <c r="R379" s="213"/>
      <c r="S379" s="213"/>
      <c r="T379" s="213"/>
      <c r="U379" s="213"/>
      <c r="V379" s="213"/>
      <c r="W379" s="213"/>
      <c r="X379" s="213"/>
      <c r="Y379" s="213"/>
      <c r="Z379" s="213"/>
    </row>
    <row r="380" spans="1:26" ht="14.25">
      <c r="A380" s="213"/>
      <c r="B380" s="213"/>
      <c r="C380" s="213"/>
      <c r="D380" s="213"/>
      <c r="E380" s="213"/>
      <c r="F380" s="213"/>
      <c r="G380" s="213"/>
      <c r="H380" s="213"/>
      <c r="I380" s="213"/>
      <c r="J380" s="213"/>
      <c r="K380" s="213"/>
      <c r="L380" s="213"/>
      <c r="M380" s="213"/>
      <c r="N380" s="213"/>
      <c r="O380" s="213"/>
      <c r="P380" s="213"/>
      <c r="Q380" s="213"/>
      <c r="R380" s="213"/>
      <c r="S380" s="213"/>
      <c r="T380" s="213"/>
      <c r="U380" s="213"/>
      <c r="V380" s="213"/>
      <c r="W380" s="213"/>
      <c r="X380" s="213"/>
      <c r="Y380" s="213"/>
      <c r="Z380" s="213"/>
    </row>
    <row r="381" spans="1:26" ht="14.25">
      <c r="A381" s="213"/>
      <c r="B381" s="213"/>
      <c r="C381" s="213"/>
      <c r="D381" s="213"/>
      <c r="E381" s="213"/>
      <c r="F381" s="213"/>
      <c r="G381" s="213"/>
      <c r="H381" s="213"/>
      <c r="I381" s="213"/>
      <c r="J381" s="213"/>
      <c r="K381" s="213"/>
      <c r="L381" s="213"/>
      <c r="M381" s="213"/>
      <c r="N381" s="213"/>
      <c r="O381" s="213"/>
      <c r="P381" s="213"/>
      <c r="Q381" s="213"/>
      <c r="R381" s="213"/>
      <c r="S381" s="213"/>
      <c r="T381" s="213"/>
      <c r="U381" s="213"/>
      <c r="V381" s="213"/>
      <c r="W381" s="213"/>
      <c r="X381" s="213"/>
      <c r="Y381" s="213"/>
      <c r="Z381" s="213"/>
    </row>
    <row r="382" spans="1:26" ht="14.25">
      <c r="A382" s="213"/>
      <c r="B382" s="213"/>
      <c r="C382" s="213"/>
      <c r="D382" s="213"/>
      <c r="E382" s="213"/>
      <c r="F382" s="213"/>
      <c r="G382" s="213"/>
      <c r="H382" s="213"/>
      <c r="I382" s="213"/>
      <c r="J382" s="213"/>
      <c r="K382" s="213"/>
      <c r="L382" s="213"/>
      <c r="M382" s="213"/>
      <c r="N382" s="213"/>
      <c r="O382" s="213"/>
      <c r="P382" s="213"/>
      <c r="Q382" s="213"/>
      <c r="R382" s="213"/>
      <c r="S382" s="213"/>
      <c r="T382" s="213"/>
      <c r="U382" s="213"/>
      <c r="V382" s="213"/>
      <c r="W382" s="213"/>
      <c r="X382" s="213"/>
      <c r="Y382" s="213"/>
      <c r="Z382" s="213"/>
    </row>
    <row r="383" spans="1:26" ht="14.25">
      <c r="A383" s="213"/>
      <c r="B383" s="213"/>
      <c r="C383" s="213"/>
      <c r="D383" s="213"/>
      <c r="E383" s="213"/>
      <c r="F383" s="213"/>
      <c r="G383" s="213"/>
      <c r="H383" s="213"/>
      <c r="I383" s="213"/>
      <c r="J383" s="213"/>
      <c r="K383" s="213"/>
      <c r="L383" s="213"/>
      <c r="M383" s="213"/>
      <c r="N383" s="213"/>
      <c r="O383" s="213"/>
      <c r="P383" s="213"/>
      <c r="Q383" s="213"/>
      <c r="R383" s="213"/>
      <c r="S383" s="213"/>
      <c r="T383" s="213"/>
      <c r="U383" s="213"/>
      <c r="V383" s="213"/>
      <c r="W383" s="213"/>
      <c r="X383" s="213"/>
      <c r="Y383" s="213"/>
      <c r="Z383" s="213"/>
    </row>
    <row r="384" spans="1:26" ht="14.25">
      <c r="A384" s="213"/>
      <c r="B384" s="213"/>
      <c r="C384" s="213"/>
      <c r="D384" s="213"/>
      <c r="E384" s="213"/>
      <c r="F384" s="213"/>
      <c r="G384" s="213"/>
      <c r="H384" s="213"/>
      <c r="I384" s="213"/>
      <c r="J384" s="213"/>
      <c r="K384" s="213"/>
      <c r="L384" s="213"/>
      <c r="M384" s="213"/>
      <c r="N384" s="213"/>
      <c r="O384" s="213"/>
      <c r="P384" s="213"/>
      <c r="Q384" s="213"/>
      <c r="R384" s="213"/>
      <c r="S384" s="213"/>
      <c r="T384" s="213"/>
      <c r="U384" s="213"/>
      <c r="V384" s="213"/>
      <c r="W384" s="213"/>
      <c r="X384" s="213"/>
      <c r="Y384" s="213"/>
      <c r="Z384" s="213"/>
    </row>
    <row r="385" spans="1:26" ht="14.25">
      <c r="A385" s="213"/>
      <c r="B385" s="213"/>
      <c r="C385" s="213"/>
      <c r="D385" s="213"/>
      <c r="E385" s="213"/>
      <c r="F385" s="213"/>
      <c r="G385" s="213"/>
      <c r="H385" s="213"/>
      <c r="I385" s="213"/>
      <c r="J385" s="213"/>
      <c r="K385" s="213"/>
      <c r="L385" s="213"/>
      <c r="M385" s="213"/>
      <c r="N385" s="213"/>
      <c r="O385" s="213"/>
      <c r="P385" s="213"/>
      <c r="Q385" s="213"/>
      <c r="R385" s="213"/>
      <c r="S385" s="213"/>
      <c r="T385" s="213"/>
      <c r="U385" s="213"/>
      <c r="V385" s="213"/>
      <c r="W385" s="213"/>
      <c r="X385" s="213"/>
      <c r="Y385" s="213"/>
      <c r="Z385" s="213"/>
    </row>
    <row r="386" spans="1:26" ht="14.25">
      <c r="A386" s="213"/>
      <c r="B386" s="213"/>
      <c r="C386" s="213"/>
      <c r="D386" s="213"/>
      <c r="E386" s="213"/>
      <c r="F386" s="213"/>
      <c r="G386" s="213"/>
      <c r="H386" s="213"/>
      <c r="I386" s="213"/>
      <c r="J386" s="213"/>
      <c r="K386" s="213"/>
      <c r="L386" s="213"/>
      <c r="M386" s="213"/>
      <c r="N386" s="213"/>
      <c r="O386" s="213"/>
      <c r="P386" s="213"/>
      <c r="Q386" s="213"/>
      <c r="R386" s="213"/>
      <c r="S386" s="213"/>
      <c r="T386" s="213"/>
      <c r="U386" s="213"/>
      <c r="V386" s="213"/>
      <c r="W386" s="213"/>
      <c r="X386" s="213"/>
      <c r="Y386" s="213"/>
      <c r="Z386" s="213"/>
    </row>
    <row r="387" spans="1:26" ht="14.25">
      <c r="A387" s="213"/>
      <c r="B387" s="213"/>
      <c r="C387" s="213"/>
      <c r="D387" s="213"/>
      <c r="E387" s="213"/>
      <c r="F387" s="213"/>
      <c r="G387" s="213"/>
      <c r="H387" s="213"/>
      <c r="I387" s="213"/>
      <c r="J387" s="213"/>
      <c r="K387" s="213"/>
      <c r="L387" s="213"/>
      <c r="M387" s="213"/>
      <c r="N387" s="213"/>
      <c r="O387" s="213"/>
      <c r="P387" s="213"/>
      <c r="Q387" s="213"/>
      <c r="R387" s="213"/>
      <c r="S387" s="213"/>
      <c r="T387" s="213"/>
      <c r="U387" s="213"/>
      <c r="V387" s="213"/>
      <c r="W387" s="213"/>
      <c r="X387" s="213"/>
      <c r="Y387" s="213"/>
      <c r="Z387" s="213"/>
    </row>
    <row r="388" spans="1:26" ht="14.25">
      <c r="A388" s="213"/>
      <c r="B388" s="213"/>
      <c r="C388" s="213"/>
      <c r="D388" s="213"/>
      <c r="E388" s="213"/>
      <c r="F388" s="213"/>
      <c r="G388" s="213"/>
      <c r="H388" s="213"/>
      <c r="I388" s="213"/>
      <c r="J388" s="213"/>
      <c r="K388" s="213"/>
      <c r="L388" s="213"/>
      <c r="M388" s="213"/>
      <c r="N388" s="213"/>
      <c r="O388" s="213"/>
      <c r="P388" s="213"/>
      <c r="Q388" s="213"/>
      <c r="R388" s="213"/>
      <c r="S388" s="213"/>
      <c r="T388" s="213"/>
      <c r="U388" s="213"/>
      <c r="V388" s="213"/>
      <c r="W388" s="213"/>
      <c r="X388" s="213"/>
      <c r="Y388" s="213"/>
      <c r="Z388" s="213"/>
    </row>
    <row r="389" spans="1:26" ht="14.25">
      <c r="A389" s="213"/>
      <c r="B389" s="213"/>
      <c r="C389" s="213"/>
      <c r="D389" s="213"/>
      <c r="E389" s="213"/>
      <c r="F389" s="213"/>
      <c r="G389" s="213"/>
      <c r="H389" s="213"/>
      <c r="I389" s="213"/>
      <c r="J389" s="213"/>
      <c r="K389" s="213"/>
      <c r="L389" s="213"/>
      <c r="M389" s="213"/>
      <c r="N389" s="213"/>
      <c r="O389" s="213"/>
      <c r="P389" s="213"/>
      <c r="Q389" s="213"/>
      <c r="R389" s="213"/>
      <c r="S389" s="213"/>
      <c r="T389" s="213"/>
      <c r="U389" s="213"/>
      <c r="V389" s="213"/>
      <c r="W389" s="213"/>
      <c r="X389" s="213"/>
      <c r="Y389" s="213"/>
      <c r="Z389" s="213"/>
    </row>
    <row r="390" spans="1:26" ht="14.25">
      <c r="A390" s="213"/>
      <c r="B390" s="213"/>
      <c r="C390" s="213"/>
      <c r="D390" s="213"/>
      <c r="E390" s="213"/>
      <c r="F390" s="213"/>
      <c r="G390" s="213"/>
      <c r="H390" s="213"/>
      <c r="I390" s="213"/>
      <c r="J390" s="213"/>
      <c r="K390" s="213"/>
      <c r="L390" s="213"/>
      <c r="M390" s="213"/>
      <c r="N390" s="213"/>
      <c r="O390" s="213"/>
      <c r="P390" s="213"/>
      <c r="Q390" s="213"/>
      <c r="R390" s="213"/>
      <c r="S390" s="213"/>
      <c r="T390" s="213"/>
      <c r="U390" s="213"/>
      <c r="V390" s="213"/>
      <c r="W390" s="213"/>
      <c r="X390" s="213"/>
      <c r="Y390" s="213"/>
      <c r="Z390" s="213"/>
    </row>
    <row r="391" spans="1:26" ht="14.25">
      <c r="A391" s="213"/>
      <c r="B391" s="213"/>
      <c r="C391" s="213"/>
      <c r="D391" s="213"/>
      <c r="E391" s="213"/>
      <c r="F391" s="213"/>
      <c r="G391" s="213"/>
      <c r="H391" s="213"/>
      <c r="I391" s="213"/>
      <c r="J391" s="213"/>
      <c r="K391" s="213"/>
      <c r="L391" s="213"/>
      <c r="M391" s="213"/>
      <c r="N391" s="213"/>
      <c r="O391" s="213"/>
      <c r="P391" s="213"/>
      <c r="Q391" s="213"/>
      <c r="R391" s="213"/>
      <c r="S391" s="213"/>
      <c r="T391" s="213"/>
      <c r="U391" s="213"/>
      <c r="V391" s="213"/>
      <c r="W391" s="213"/>
      <c r="X391" s="213"/>
      <c r="Y391" s="213"/>
      <c r="Z391" s="213"/>
    </row>
    <row r="392" spans="1:26" ht="14.25">
      <c r="A392" s="213"/>
      <c r="B392" s="213"/>
      <c r="C392" s="213"/>
      <c r="D392" s="213"/>
      <c r="E392" s="213"/>
      <c r="F392" s="213"/>
      <c r="G392" s="213"/>
      <c r="H392" s="213"/>
      <c r="I392" s="213"/>
      <c r="J392" s="213"/>
      <c r="K392" s="213"/>
      <c r="L392" s="213"/>
      <c r="M392" s="213"/>
      <c r="N392" s="213"/>
      <c r="O392" s="213"/>
      <c r="P392" s="213"/>
      <c r="Q392" s="213"/>
      <c r="R392" s="213"/>
      <c r="S392" s="213"/>
      <c r="T392" s="213"/>
      <c r="U392" s="213"/>
      <c r="V392" s="213"/>
      <c r="W392" s="213"/>
      <c r="X392" s="213"/>
      <c r="Y392" s="213"/>
      <c r="Z392" s="213"/>
    </row>
    <row r="393" spans="1:26" ht="14.25">
      <c r="A393" s="213"/>
      <c r="B393" s="213"/>
      <c r="C393" s="213"/>
      <c r="D393" s="213"/>
      <c r="E393" s="213"/>
      <c r="F393" s="213"/>
      <c r="G393" s="213"/>
      <c r="H393" s="213"/>
      <c r="I393" s="213"/>
      <c r="J393" s="213"/>
      <c r="K393" s="213"/>
      <c r="L393" s="213"/>
      <c r="M393" s="213"/>
      <c r="N393" s="213"/>
      <c r="O393" s="213"/>
      <c r="P393" s="213"/>
      <c r="Q393" s="213"/>
      <c r="R393" s="213"/>
      <c r="S393" s="213"/>
      <c r="T393" s="213"/>
      <c r="U393" s="213"/>
      <c r="V393" s="213"/>
      <c r="W393" s="213"/>
      <c r="X393" s="213"/>
      <c r="Y393" s="213"/>
      <c r="Z393" s="213"/>
    </row>
    <row r="394" spans="1:26" ht="14.25">
      <c r="A394" s="213"/>
      <c r="B394" s="213"/>
      <c r="C394" s="213"/>
      <c r="D394" s="213"/>
      <c r="E394" s="213"/>
      <c r="F394" s="213"/>
      <c r="G394" s="213"/>
      <c r="H394" s="213"/>
      <c r="I394" s="213"/>
      <c r="J394" s="213"/>
      <c r="K394" s="213"/>
      <c r="L394" s="213"/>
      <c r="M394" s="213"/>
      <c r="N394" s="213"/>
      <c r="O394" s="213"/>
      <c r="P394" s="213"/>
      <c r="Q394" s="213"/>
      <c r="R394" s="213"/>
      <c r="S394" s="213"/>
      <c r="T394" s="213"/>
      <c r="U394" s="213"/>
      <c r="V394" s="213"/>
      <c r="W394" s="213"/>
      <c r="X394" s="213"/>
      <c r="Y394" s="213"/>
      <c r="Z394" s="213"/>
    </row>
    <row r="395" spans="1:26" ht="14.25">
      <c r="A395" s="213"/>
      <c r="B395" s="213"/>
      <c r="C395" s="213"/>
      <c r="D395" s="213"/>
      <c r="E395" s="213"/>
      <c r="F395" s="213"/>
      <c r="G395" s="213"/>
      <c r="H395" s="213"/>
      <c r="I395" s="213"/>
      <c r="J395" s="213"/>
      <c r="K395" s="213"/>
      <c r="L395" s="213"/>
      <c r="M395" s="213"/>
      <c r="N395" s="213"/>
      <c r="O395" s="213"/>
      <c r="P395" s="213"/>
      <c r="Q395" s="213"/>
      <c r="R395" s="213"/>
      <c r="S395" s="213"/>
      <c r="T395" s="213"/>
      <c r="U395" s="213"/>
      <c r="V395" s="213"/>
      <c r="W395" s="213"/>
      <c r="X395" s="213"/>
      <c r="Y395" s="213"/>
      <c r="Z395" s="213"/>
    </row>
    <row r="396" spans="1:26" ht="14.25">
      <c r="A396" s="213"/>
      <c r="B396" s="213"/>
      <c r="C396" s="213"/>
      <c r="D396" s="213"/>
      <c r="E396" s="213"/>
      <c r="F396" s="213"/>
      <c r="G396" s="213"/>
      <c r="H396" s="213"/>
      <c r="I396" s="213"/>
      <c r="J396" s="213"/>
      <c r="K396" s="213"/>
      <c r="L396" s="213"/>
      <c r="M396" s="213"/>
      <c r="N396" s="213"/>
      <c r="O396" s="213"/>
      <c r="P396" s="213"/>
      <c r="Q396" s="213"/>
      <c r="R396" s="213"/>
      <c r="S396" s="213"/>
      <c r="T396" s="213"/>
      <c r="U396" s="213"/>
      <c r="V396" s="213"/>
      <c r="W396" s="213"/>
      <c r="X396" s="213"/>
      <c r="Y396" s="213"/>
      <c r="Z396" s="213"/>
    </row>
    <row r="397" spans="1:26" ht="14.25">
      <c r="A397" s="213"/>
      <c r="B397" s="213"/>
      <c r="C397" s="213"/>
      <c r="D397" s="213"/>
      <c r="E397" s="213"/>
      <c r="F397" s="213"/>
      <c r="G397" s="213"/>
      <c r="H397" s="213"/>
      <c r="I397" s="213"/>
      <c r="J397" s="213"/>
      <c r="K397" s="213"/>
      <c r="L397" s="213"/>
      <c r="M397" s="213"/>
      <c r="N397" s="213"/>
      <c r="O397" s="213"/>
      <c r="P397" s="213"/>
      <c r="Q397" s="213"/>
      <c r="R397" s="213"/>
      <c r="S397" s="213"/>
      <c r="T397" s="213"/>
      <c r="U397" s="213"/>
      <c r="V397" s="213"/>
      <c r="W397" s="213"/>
      <c r="X397" s="213"/>
      <c r="Y397" s="213"/>
      <c r="Z397" s="213"/>
    </row>
    <row r="398" spans="1:26" ht="14.25">
      <c r="A398" s="213"/>
      <c r="B398" s="213"/>
      <c r="C398" s="213"/>
      <c r="D398" s="213"/>
      <c r="E398" s="213"/>
      <c r="F398" s="213"/>
      <c r="G398" s="213"/>
      <c r="H398" s="213"/>
      <c r="I398" s="213"/>
      <c r="J398" s="213"/>
      <c r="K398" s="213"/>
      <c r="L398" s="213"/>
      <c r="M398" s="213"/>
      <c r="N398" s="213"/>
      <c r="O398" s="213"/>
      <c r="P398" s="213"/>
      <c r="Q398" s="213"/>
      <c r="R398" s="213"/>
      <c r="S398" s="213"/>
      <c r="T398" s="213"/>
      <c r="U398" s="213"/>
      <c r="V398" s="213"/>
      <c r="W398" s="213"/>
      <c r="X398" s="213"/>
      <c r="Y398" s="213"/>
      <c r="Z398" s="213"/>
    </row>
    <row r="399" spans="1:26" ht="14.25">
      <c r="A399" s="213"/>
      <c r="B399" s="213"/>
      <c r="C399" s="213"/>
      <c r="D399" s="213"/>
      <c r="E399" s="213"/>
      <c r="F399" s="213"/>
      <c r="G399" s="213"/>
      <c r="H399" s="213"/>
      <c r="I399" s="213"/>
      <c r="J399" s="213"/>
      <c r="K399" s="213"/>
      <c r="L399" s="213"/>
      <c r="M399" s="213"/>
      <c r="N399" s="213"/>
      <c r="O399" s="213"/>
      <c r="P399" s="213"/>
      <c r="Q399" s="213"/>
      <c r="R399" s="213"/>
      <c r="S399" s="213"/>
      <c r="T399" s="213"/>
      <c r="U399" s="213"/>
      <c r="V399" s="213"/>
      <c r="W399" s="213"/>
      <c r="X399" s="213"/>
      <c r="Y399" s="213"/>
      <c r="Z399" s="213"/>
    </row>
    <row r="400" spans="1:26" ht="14.25">
      <c r="A400" s="213"/>
      <c r="B400" s="213"/>
      <c r="C400" s="213"/>
      <c r="D400" s="213"/>
      <c r="E400" s="213"/>
      <c r="F400" s="213"/>
      <c r="G400" s="213"/>
      <c r="H400" s="213"/>
      <c r="I400" s="213"/>
      <c r="J400" s="213"/>
      <c r="K400" s="213"/>
      <c r="L400" s="213"/>
      <c r="M400" s="213"/>
      <c r="N400" s="213"/>
      <c r="O400" s="213"/>
      <c r="P400" s="213"/>
      <c r="Q400" s="213"/>
      <c r="R400" s="213"/>
      <c r="S400" s="213"/>
      <c r="T400" s="213"/>
      <c r="U400" s="213"/>
      <c r="V400" s="213"/>
      <c r="W400" s="213"/>
      <c r="X400" s="213"/>
      <c r="Y400" s="213"/>
      <c r="Z400" s="213"/>
    </row>
    <row r="401" spans="1:26" ht="14.25">
      <c r="A401" s="213"/>
      <c r="B401" s="213"/>
      <c r="C401" s="213"/>
      <c r="D401" s="213"/>
      <c r="E401" s="213"/>
      <c r="F401" s="213"/>
      <c r="G401" s="213"/>
      <c r="H401" s="213"/>
      <c r="I401" s="213"/>
      <c r="J401" s="213"/>
      <c r="K401" s="213"/>
      <c r="L401" s="213"/>
      <c r="M401" s="213"/>
      <c r="N401" s="213"/>
      <c r="O401" s="213"/>
      <c r="P401" s="213"/>
      <c r="Q401" s="213"/>
      <c r="R401" s="213"/>
      <c r="S401" s="213"/>
      <c r="T401" s="213"/>
      <c r="U401" s="213"/>
      <c r="V401" s="213"/>
      <c r="W401" s="213"/>
      <c r="X401" s="213"/>
      <c r="Y401" s="213"/>
      <c r="Z401" s="213"/>
    </row>
    <row r="402" spans="1:26" ht="14.25">
      <c r="A402" s="213"/>
      <c r="B402" s="213"/>
      <c r="C402" s="213"/>
      <c r="D402" s="213"/>
      <c r="E402" s="213"/>
      <c r="F402" s="213"/>
      <c r="G402" s="213"/>
      <c r="H402" s="213"/>
      <c r="I402" s="213"/>
      <c r="J402" s="213"/>
      <c r="K402" s="213"/>
      <c r="L402" s="213"/>
      <c r="M402" s="213"/>
      <c r="N402" s="213"/>
      <c r="O402" s="213"/>
      <c r="P402" s="213"/>
      <c r="Q402" s="213"/>
      <c r="R402" s="213"/>
      <c r="S402" s="213"/>
      <c r="T402" s="213"/>
      <c r="U402" s="213"/>
      <c r="V402" s="213"/>
      <c r="W402" s="213"/>
      <c r="X402" s="213"/>
      <c r="Y402" s="213"/>
      <c r="Z402" s="213"/>
    </row>
    <row r="403" spans="1:26" ht="14.25">
      <c r="A403" s="213"/>
      <c r="B403" s="213"/>
      <c r="C403" s="213"/>
      <c r="D403" s="213"/>
      <c r="E403" s="213"/>
      <c r="F403" s="213"/>
      <c r="G403" s="213"/>
      <c r="H403" s="213"/>
      <c r="I403" s="213"/>
      <c r="J403" s="213"/>
      <c r="K403" s="213"/>
      <c r="L403" s="213"/>
      <c r="M403" s="213"/>
      <c r="N403" s="213"/>
      <c r="O403" s="213"/>
      <c r="P403" s="213"/>
      <c r="Q403" s="213"/>
      <c r="R403" s="213"/>
      <c r="S403" s="213"/>
      <c r="T403" s="213"/>
      <c r="U403" s="213"/>
      <c r="V403" s="213"/>
      <c r="W403" s="213"/>
      <c r="X403" s="213"/>
      <c r="Y403" s="213"/>
      <c r="Z403" s="213"/>
    </row>
    <row r="404" spans="1:26" ht="14.25">
      <c r="A404" s="213"/>
      <c r="B404" s="213"/>
      <c r="C404" s="213"/>
      <c r="D404" s="213"/>
      <c r="E404" s="213"/>
      <c r="F404" s="213"/>
      <c r="G404" s="213"/>
      <c r="H404" s="213"/>
      <c r="I404" s="213"/>
      <c r="J404" s="213"/>
      <c r="K404" s="213"/>
      <c r="L404" s="213"/>
      <c r="M404" s="213"/>
      <c r="N404" s="213"/>
      <c r="O404" s="213"/>
      <c r="P404" s="213"/>
      <c r="Q404" s="213"/>
      <c r="R404" s="213"/>
      <c r="S404" s="213"/>
      <c r="T404" s="213"/>
      <c r="U404" s="213"/>
      <c r="V404" s="213"/>
      <c r="W404" s="213"/>
      <c r="X404" s="213"/>
      <c r="Y404" s="213"/>
      <c r="Z404" s="213"/>
    </row>
    <row r="405" spans="1:26" ht="14.25">
      <c r="A405" s="213"/>
      <c r="B405" s="213"/>
      <c r="C405" s="213"/>
      <c r="D405" s="213"/>
      <c r="E405" s="213"/>
      <c r="F405" s="213"/>
      <c r="G405" s="213"/>
      <c r="H405" s="213"/>
      <c r="I405" s="213"/>
      <c r="J405" s="213"/>
      <c r="K405" s="213"/>
      <c r="L405" s="213"/>
      <c r="M405" s="213"/>
      <c r="N405" s="213"/>
      <c r="O405" s="213"/>
      <c r="P405" s="213"/>
      <c r="Q405" s="213"/>
      <c r="R405" s="213"/>
      <c r="S405" s="213"/>
      <c r="T405" s="213"/>
      <c r="U405" s="213"/>
      <c r="V405" s="213"/>
      <c r="W405" s="213"/>
      <c r="X405" s="213"/>
      <c r="Y405" s="213"/>
      <c r="Z405" s="213"/>
    </row>
    <row r="406" spans="1:26" ht="14.25">
      <c r="A406" s="213"/>
      <c r="B406" s="213"/>
      <c r="C406" s="213"/>
      <c r="D406" s="213"/>
      <c r="E406" s="213"/>
      <c r="F406" s="213"/>
      <c r="G406" s="213"/>
      <c r="H406" s="213"/>
      <c r="I406" s="213"/>
      <c r="J406" s="213"/>
      <c r="K406" s="213"/>
      <c r="L406" s="213"/>
      <c r="M406" s="213"/>
      <c r="N406" s="213"/>
      <c r="O406" s="213"/>
      <c r="P406" s="213"/>
      <c r="Q406" s="213"/>
      <c r="R406" s="213"/>
      <c r="S406" s="213"/>
      <c r="T406" s="213"/>
      <c r="U406" s="213"/>
      <c r="V406" s="213"/>
      <c r="W406" s="213"/>
      <c r="X406" s="213"/>
      <c r="Y406" s="213"/>
      <c r="Z406" s="213"/>
    </row>
    <row r="407" spans="1:26" ht="14.25">
      <c r="A407" s="213"/>
      <c r="B407" s="213"/>
      <c r="C407" s="213"/>
      <c r="D407" s="213"/>
      <c r="E407" s="213"/>
      <c r="F407" s="213"/>
      <c r="G407" s="213"/>
      <c r="H407" s="213"/>
      <c r="I407" s="213"/>
      <c r="J407" s="213"/>
      <c r="K407" s="213"/>
      <c r="L407" s="213"/>
      <c r="M407" s="213"/>
      <c r="N407" s="213"/>
      <c r="O407" s="213"/>
      <c r="P407" s="213"/>
      <c r="Q407" s="213"/>
      <c r="R407" s="213"/>
      <c r="S407" s="213"/>
      <c r="T407" s="213"/>
      <c r="U407" s="213"/>
      <c r="V407" s="213"/>
      <c r="W407" s="213"/>
      <c r="X407" s="213"/>
      <c r="Y407" s="213"/>
      <c r="Z407" s="213"/>
    </row>
    <row r="408" spans="1:26" ht="14.25">
      <c r="A408" s="213"/>
      <c r="B408" s="213"/>
      <c r="C408" s="213"/>
      <c r="D408" s="213"/>
      <c r="E408" s="213"/>
      <c r="F408" s="213"/>
      <c r="G408" s="213"/>
      <c r="H408" s="213"/>
      <c r="I408" s="213"/>
      <c r="J408" s="213"/>
      <c r="K408" s="213"/>
      <c r="L408" s="213"/>
      <c r="M408" s="213"/>
      <c r="N408" s="213"/>
      <c r="O408" s="213"/>
      <c r="P408" s="213"/>
      <c r="Q408" s="213"/>
      <c r="R408" s="213"/>
      <c r="S408" s="213"/>
      <c r="T408" s="213"/>
      <c r="U408" s="213"/>
      <c r="V408" s="213"/>
      <c r="W408" s="213"/>
      <c r="X408" s="213"/>
      <c r="Y408" s="213"/>
      <c r="Z408" s="213"/>
    </row>
    <row r="409" spans="1:26" ht="14.25">
      <c r="A409" s="213"/>
      <c r="B409" s="213"/>
      <c r="C409" s="213"/>
      <c r="D409" s="213"/>
      <c r="E409" s="213"/>
      <c r="F409" s="213"/>
      <c r="G409" s="213"/>
      <c r="H409" s="213"/>
      <c r="I409" s="213"/>
      <c r="J409" s="213"/>
      <c r="K409" s="213"/>
      <c r="L409" s="213"/>
      <c r="M409" s="213"/>
      <c r="N409" s="213"/>
      <c r="O409" s="213"/>
      <c r="P409" s="213"/>
      <c r="Q409" s="213"/>
      <c r="R409" s="213"/>
      <c r="S409" s="213"/>
      <c r="T409" s="213"/>
      <c r="U409" s="213"/>
      <c r="V409" s="213"/>
      <c r="W409" s="213"/>
      <c r="X409" s="213"/>
      <c r="Y409" s="213"/>
      <c r="Z409" s="213"/>
    </row>
    <row r="410" spans="1:26" ht="14.25">
      <c r="A410" s="213"/>
      <c r="B410" s="213"/>
      <c r="C410" s="213"/>
      <c r="D410" s="213"/>
      <c r="E410" s="213"/>
      <c r="F410" s="213"/>
      <c r="G410" s="213"/>
      <c r="H410" s="213"/>
      <c r="I410" s="213"/>
      <c r="J410" s="213"/>
      <c r="K410" s="213"/>
      <c r="L410" s="213"/>
      <c r="M410" s="213"/>
      <c r="N410" s="213"/>
      <c r="O410" s="213"/>
      <c r="P410" s="213"/>
      <c r="Q410" s="213"/>
      <c r="R410" s="213"/>
      <c r="S410" s="213"/>
      <c r="T410" s="213"/>
      <c r="U410" s="213"/>
      <c r="V410" s="213"/>
      <c r="W410" s="213"/>
      <c r="X410" s="213"/>
      <c r="Y410" s="213"/>
      <c r="Z410" s="213"/>
    </row>
    <row r="411" spans="1:26" ht="14.25">
      <c r="A411" s="213"/>
      <c r="B411" s="213"/>
      <c r="C411" s="213"/>
      <c r="D411" s="213"/>
      <c r="E411" s="213"/>
      <c r="F411" s="213"/>
      <c r="G411" s="213"/>
      <c r="H411" s="213"/>
      <c r="I411" s="213"/>
      <c r="J411" s="213"/>
      <c r="K411" s="213"/>
      <c r="L411" s="213"/>
      <c r="M411" s="213"/>
      <c r="N411" s="213"/>
      <c r="O411" s="213"/>
      <c r="P411" s="213"/>
      <c r="Q411" s="213"/>
      <c r="R411" s="213"/>
      <c r="S411" s="213"/>
      <c r="T411" s="213"/>
      <c r="U411" s="213"/>
      <c r="V411" s="213"/>
      <c r="W411" s="213"/>
      <c r="X411" s="213"/>
      <c r="Y411" s="213"/>
      <c r="Z411" s="213"/>
    </row>
    <row r="412" spans="1:26" ht="14.25">
      <c r="A412" s="213"/>
      <c r="B412" s="213"/>
      <c r="C412" s="213"/>
      <c r="D412" s="213"/>
      <c r="E412" s="213"/>
      <c r="F412" s="213"/>
      <c r="G412" s="213"/>
      <c r="H412" s="213"/>
      <c r="I412" s="213"/>
      <c r="J412" s="213"/>
      <c r="K412" s="213"/>
      <c r="L412" s="213"/>
      <c r="M412" s="213"/>
      <c r="N412" s="213"/>
      <c r="O412" s="213"/>
      <c r="P412" s="213"/>
      <c r="Q412" s="213"/>
      <c r="R412" s="213"/>
      <c r="S412" s="213"/>
      <c r="T412" s="213"/>
      <c r="U412" s="213"/>
      <c r="V412" s="213"/>
      <c r="W412" s="213"/>
      <c r="X412" s="213"/>
      <c r="Y412" s="213"/>
      <c r="Z412" s="213"/>
    </row>
    <row r="413" spans="1:26" ht="14.25">
      <c r="A413" s="213"/>
      <c r="B413" s="213"/>
      <c r="C413" s="213"/>
      <c r="D413" s="213"/>
      <c r="E413" s="213"/>
      <c r="F413" s="213"/>
      <c r="G413" s="213"/>
      <c r="H413" s="213"/>
      <c r="I413" s="213"/>
      <c r="J413" s="213"/>
      <c r="K413" s="213"/>
      <c r="L413" s="213"/>
      <c r="M413" s="213"/>
      <c r="N413" s="213"/>
      <c r="O413" s="213"/>
      <c r="P413" s="213"/>
      <c r="Q413" s="213"/>
      <c r="R413" s="213"/>
      <c r="S413" s="213"/>
      <c r="T413" s="213"/>
      <c r="U413" s="213"/>
      <c r="V413" s="213"/>
      <c r="W413" s="213"/>
      <c r="X413" s="213"/>
      <c r="Y413" s="213"/>
      <c r="Z413" s="213"/>
    </row>
    <row r="414" spans="1:26" ht="14.25">
      <c r="A414" s="213"/>
      <c r="B414" s="213"/>
      <c r="C414" s="213"/>
      <c r="D414" s="213"/>
      <c r="E414" s="213"/>
      <c r="F414" s="213"/>
      <c r="G414" s="213"/>
      <c r="H414" s="213"/>
      <c r="I414" s="213"/>
      <c r="J414" s="213"/>
      <c r="K414" s="213"/>
      <c r="L414" s="213"/>
      <c r="M414" s="213"/>
      <c r="N414" s="213"/>
      <c r="O414" s="213"/>
      <c r="P414" s="213"/>
      <c r="Q414" s="213"/>
      <c r="R414" s="213"/>
      <c r="S414" s="213"/>
      <c r="T414" s="213"/>
      <c r="U414" s="213"/>
      <c r="V414" s="213"/>
      <c r="W414" s="213"/>
      <c r="X414" s="213"/>
      <c r="Y414" s="213"/>
      <c r="Z414" s="213"/>
    </row>
    <row r="415" spans="1:26" ht="14.25">
      <c r="A415" s="213"/>
      <c r="B415" s="213"/>
      <c r="C415" s="213"/>
      <c r="D415" s="213"/>
      <c r="E415" s="213"/>
      <c r="F415" s="213"/>
      <c r="G415" s="213"/>
      <c r="H415" s="213"/>
      <c r="I415" s="213"/>
      <c r="J415" s="213"/>
      <c r="K415" s="213"/>
      <c r="L415" s="213"/>
      <c r="M415" s="213"/>
      <c r="N415" s="213"/>
      <c r="O415" s="213"/>
      <c r="P415" s="213"/>
      <c r="Q415" s="213"/>
      <c r="R415" s="213"/>
      <c r="S415" s="213"/>
      <c r="T415" s="213"/>
      <c r="U415" s="213"/>
      <c r="V415" s="213"/>
      <c r="W415" s="213"/>
      <c r="X415" s="213"/>
      <c r="Y415" s="213"/>
      <c r="Z415" s="213"/>
    </row>
    <row r="416" spans="1:26" ht="14.25">
      <c r="A416" s="213"/>
      <c r="B416" s="213"/>
      <c r="C416" s="213"/>
      <c r="D416" s="213"/>
      <c r="E416" s="213"/>
      <c r="F416" s="213"/>
      <c r="G416" s="213"/>
      <c r="H416" s="213"/>
      <c r="I416" s="213"/>
      <c r="J416" s="213"/>
      <c r="K416" s="213"/>
      <c r="L416" s="213"/>
      <c r="M416" s="213"/>
      <c r="N416" s="213"/>
      <c r="O416" s="213"/>
      <c r="P416" s="213"/>
      <c r="Q416" s="213"/>
      <c r="R416" s="213"/>
      <c r="S416" s="213"/>
      <c r="T416" s="213"/>
      <c r="U416" s="213"/>
      <c r="V416" s="213"/>
      <c r="W416" s="213"/>
      <c r="X416" s="213"/>
      <c r="Y416" s="213"/>
      <c r="Z416" s="213"/>
    </row>
    <row r="417" spans="1:26" ht="14.25">
      <c r="A417" s="213"/>
      <c r="B417" s="213"/>
      <c r="C417" s="213"/>
      <c r="D417" s="213"/>
      <c r="E417" s="213"/>
      <c r="F417" s="213"/>
      <c r="G417" s="213"/>
      <c r="H417" s="213"/>
      <c r="I417" s="213"/>
      <c r="J417" s="213"/>
      <c r="K417" s="213"/>
      <c r="L417" s="213"/>
      <c r="M417" s="213"/>
      <c r="N417" s="213"/>
      <c r="O417" s="213"/>
      <c r="P417" s="213"/>
      <c r="Q417" s="213"/>
      <c r="R417" s="213"/>
      <c r="S417" s="213"/>
      <c r="T417" s="213"/>
      <c r="U417" s="213"/>
      <c r="V417" s="213"/>
      <c r="W417" s="213"/>
      <c r="X417" s="213"/>
      <c r="Y417" s="213"/>
      <c r="Z417" s="213"/>
    </row>
    <row r="418" spans="1:26" ht="14.25">
      <c r="A418" s="213"/>
      <c r="B418" s="213"/>
      <c r="C418" s="213"/>
      <c r="D418" s="213"/>
      <c r="E418" s="213"/>
      <c r="F418" s="213"/>
      <c r="G418" s="213"/>
      <c r="H418" s="213"/>
      <c r="I418" s="213"/>
      <c r="J418" s="213"/>
      <c r="K418" s="213"/>
      <c r="L418" s="213"/>
      <c r="M418" s="213"/>
      <c r="N418" s="213"/>
      <c r="O418" s="213"/>
      <c r="P418" s="213"/>
      <c r="Q418" s="213"/>
      <c r="R418" s="213"/>
      <c r="S418" s="213"/>
      <c r="T418" s="213"/>
      <c r="U418" s="213"/>
      <c r="V418" s="213"/>
      <c r="W418" s="213"/>
      <c r="X418" s="213"/>
      <c r="Y418" s="213"/>
      <c r="Z418" s="213"/>
    </row>
    <row r="419" spans="1:26" ht="14.25">
      <c r="A419" s="213"/>
      <c r="B419" s="213"/>
      <c r="C419" s="213"/>
      <c r="D419" s="213"/>
      <c r="E419" s="213"/>
      <c r="F419" s="213"/>
      <c r="G419" s="213"/>
      <c r="H419" s="213"/>
      <c r="I419" s="213"/>
      <c r="J419" s="213"/>
      <c r="K419" s="213"/>
      <c r="L419" s="213"/>
      <c r="M419" s="213"/>
      <c r="N419" s="213"/>
      <c r="O419" s="213"/>
      <c r="P419" s="213"/>
      <c r="Q419" s="213"/>
      <c r="R419" s="213"/>
      <c r="S419" s="213"/>
      <c r="T419" s="213"/>
      <c r="U419" s="213"/>
      <c r="V419" s="213"/>
      <c r="W419" s="213"/>
      <c r="X419" s="213"/>
      <c r="Y419" s="213"/>
      <c r="Z419" s="213"/>
    </row>
    <row r="420" spans="1:26" ht="14.25">
      <c r="A420" s="213"/>
      <c r="B420" s="213"/>
      <c r="C420" s="213"/>
      <c r="D420" s="213"/>
      <c r="E420" s="213"/>
      <c r="F420" s="213"/>
      <c r="G420" s="213"/>
      <c r="H420" s="213"/>
      <c r="I420" s="213"/>
      <c r="J420" s="213"/>
      <c r="K420" s="213"/>
      <c r="L420" s="213"/>
      <c r="M420" s="213"/>
      <c r="N420" s="213"/>
      <c r="O420" s="213"/>
      <c r="P420" s="213"/>
      <c r="Q420" s="213"/>
      <c r="R420" s="213"/>
      <c r="S420" s="213"/>
      <c r="T420" s="213"/>
      <c r="U420" s="213"/>
      <c r="V420" s="213"/>
      <c r="W420" s="213"/>
      <c r="X420" s="213"/>
      <c r="Y420" s="213"/>
      <c r="Z420" s="213"/>
    </row>
    <row r="421" spans="1:26" ht="14.25">
      <c r="A421" s="213"/>
      <c r="B421" s="213"/>
      <c r="C421" s="213"/>
      <c r="D421" s="213"/>
      <c r="E421" s="213"/>
      <c r="F421" s="213"/>
      <c r="G421" s="213"/>
      <c r="H421" s="213"/>
      <c r="I421" s="213"/>
      <c r="J421" s="213"/>
      <c r="K421" s="213"/>
      <c r="L421" s="213"/>
      <c r="M421" s="213"/>
      <c r="N421" s="213"/>
      <c r="O421" s="213"/>
      <c r="P421" s="213"/>
      <c r="Q421" s="213"/>
      <c r="R421" s="213"/>
      <c r="S421" s="213"/>
      <c r="T421" s="213"/>
      <c r="U421" s="213"/>
      <c r="V421" s="213"/>
      <c r="W421" s="213"/>
      <c r="X421" s="213"/>
      <c r="Y421" s="213"/>
      <c r="Z421" s="213"/>
    </row>
    <row r="422" spans="1:26" ht="14.25">
      <c r="A422" s="213"/>
      <c r="B422" s="213"/>
      <c r="C422" s="213"/>
      <c r="D422" s="213"/>
      <c r="E422" s="213"/>
      <c r="F422" s="213"/>
      <c r="G422" s="213"/>
      <c r="H422" s="213"/>
      <c r="I422" s="213"/>
      <c r="J422" s="213"/>
      <c r="K422" s="213"/>
      <c r="L422" s="213"/>
      <c r="M422" s="213"/>
      <c r="N422" s="213"/>
      <c r="O422" s="213"/>
      <c r="P422" s="213"/>
      <c r="Q422" s="213"/>
      <c r="R422" s="213"/>
      <c r="S422" s="213"/>
      <c r="T422" s="213"/>
      <c r="U422" s="213"/>
      <c r="V422" s="213"/>
      <c r="W422" s="213"/>
      <c r="X422" s="213"/>
      <c r="Y422" s="213"/>
      <c r="Z422" s="213"/>
    </row>
    <row r="423" spans="1:26" ht="14.25">
      <c r="A423" s="213"/>
      <c r="B423" s="213"/>
      <c r="C423" s="213"/>
      <c r="D423" s="213"/>
      <c r="E423" s="213"/>
      <c r="F423" s="213"/>
      <c r="G423" s="213"/>
      <c r="H423" s="213"/>
      <c r="I423" s="213"/>
      <c r="J423" s="213"/>
      <c r="K423" s="213"/>
      <c r="L423" s="213"/>
      <c r="M423" s="213"/>
      <c r="N423" s="213"/>
      <c r="O423" s="213"/>
      <c r="P423" s="213"/>
      <c r="Q423" s="213"/>
      <c r="R423" s="213"/>
      <c r="S423" s="213"/>
      <c r="T423" s="213"/>
      <c r="U423" s="213"/>
      <c r="V423" s="213"/>
      <c r="W423" s="213"/>
      <c r="X423" s="213"/>
      <c r="Y423" s="213"/>
      <c r="Z423" s="213"/>
    </row>
    <row r="424" spans="1:26" ht="14.25">
      <c r="A424" s="213"/>
      <c r="B424" s="213"/>
      <c r="C424" s="213"/>
      <c r="D424" s="213"/>
      <c r="E424" s="213"/>
      <c r="F424" s="213"/>
      <c r="G424" s="213"/>
      <c r="H424" s="213"/>
      <c r="I424" s="213"/>
      <c r="J424" s="213"/>
      <c r="K424" s="213"/>
      <c r="L424" s="213"/>
      <c r="M424" s="213"/>
      <c r="N424" s="213"/>
      <c r="O424" s="213"/>
      <c r="P424" s="213"/>
      <c r="Q424" s="213"/>
      <c r="R424" s="213"/>
      <c r="S424" s="213"/>
      <c r="T424" s="213"/>
      <c r="U424" s="213"/>
      <c r="V424" s="213"/>
      <c r="W424" s="213"/>
      <c r="X424" s="213"/>
      <c r="Y424" s="213"/>
      <c r="Z424" s="213"/>
    </row>
    <row r="425" spans="1:26" ht="14.25">
      <c r="A425" s="213"/>
      <c r="B425" s="213"/>
      <c r="C425" s="213"/>
      <c r="D425" s="213"/>
      <c r="E425" s="213"/>
      <c r="F425" s="213"/>
      <c r="G425" s="213"/>
      <c r="H425" s="213"/>
      <c r="I425" s="213"/>
      <c r="J425" s="213"/>
      <c r="K425" s="213"/>
      <c r="L425" s="213"/>
      <c r="M425" s="213"/>
      <c r="N425" s="213"/>
      <c r="O425" s="213"/>
      <c r="P425" s="213"/>
      <c r="Q425" s="213"/>
      <c r="R425" s="213"/>
      <c r="S425" s="213"/>
      <c r="T425" s="213"/>
      <c r="U425" s="213"/>
      <c r="V425" s="213"/>
      <c r="W425" s="213"/>
      <c r="X425" s="213"/>
      <c r="Y425" s="213"/>
      <c r="Z425" s="213"/>
    </row>
    <row r="426" spans="1:26" ht="14.25">
      <c r="A426" s="213"/>
      <c r="B426" s="213"/>
      <c r="C426" s="213"/>
      <c r="D426" s="213"/>
      <c r="E426" s="213"/>
      <c r="F426" s="213"/>
      <c r="G426" s="213"/>
      <c r="H426" s="213"/>
      <c r="I426" s="213"/>
      <c r="J426" s="213"/>
      <c r="K426" s="213"/>
      <c r="L426" s="213"/>
      <c r="M426" s="213"/>
      <c r="N426" s="213"/>
      <c r="O426" s="213"/>
      <c r="P426" s="213"/>
      <c r="Q426" s="213"/>
      <c r="R426" s="213"/>
      <c r="S426" s="213"/>
      <c r="T426" s="213"/>
      <c r="U426" s="213"/>
      <c r="V426" s="213"/>
      <c r="W426" s="213"/>
      <c r="X426" s="213"/>
      <c r="Y426" s="213"/>
      <c r="Z426" s="213"/>
    </row>
    <row r="427" spans="1:26" ht="14.25">
      <c r="A427" s="213"/>
      <c r="B427" s="213"/>
      <c r="C427" s="213"/>
      <c r="D427" s="213"/>
      <c r="E427" s="213"/>
      <c r="F427" s="213"/>
      <c r="G427" s="213"/>
      <c r="H427" s="213"/>
      <c r="I427" s="213"/>
      <c r="J427" s="213"/>
      <c r="K427" s="213"/>
      <c r="L427" s="213"/>
      <c r="M427" s="213"/>
      <c r="N427" s="213"/>
      <c r="O427" s="213"/>
      <c r="P427" s="213"/>
      <c r="Q427" s="213"/>
      <c r="R427" s="213"/>
      <c r="S427" s="213"/>
      <c r="T427" s="213"/>
      <c r="U427" s="213"/>
      <c r="V427" s="213"/>
      <c r="W427" s="213"/>
      <c r="X427" s="213"/>
      <c r="Y427" s="213"/>
      <c r="Z427" s="213"/>
    </row>
    <row r="428" spans="1:26" ht="14.25">
      <c r="A428" s="213"/>
      <c r="B428" s="213"/>
      <c r="C428" s="213"/>
      <c r="D428" s="213"/>
      <c r="E428" s="213"/>
      <c r="F428" s="213"/>
      <c r="G428" s="213"/>
      <c r="H428" s="213"/>
      <c r="I428" s="213"/>
      <c r="J428" s="213"/>
      <c r="K428" s="213"/>
      <c r="L428" s="213"/>
      <c r="M428" s="213"/>
      <c r="N428" s="213"/>
      <c r="O428" s="213"/>
      <c r="P428" s="213"/>
      <c r="Q428" s="213"/>
      <c r="R428" s="213"/>
      <c r="S428" s="213"/>
      <c r="T428" s="213"/>
      <c r="U428" s="213"/>
      <c r="V428" s="213"/>
      <c r="W428" s="213"/>
      <c r="X428" s="213"/>
      <c r="Y428" s="213"/>
      <c r="Z428" s="213"/>
    </row>
    <row r="429" spans="1:26" ht="14.25">
      <c r="A429" s="213"/>
      <c r="B429" s="213"/>
      <c r="C429" s="213"/>
      <c r="D429" s="213"/>
      <c r="E429" s="213"/>
      <c r="F429" s="213"/>
      <c r="G429" s="213"/>
      <c r="H429" s="213"/>
      <c r="I429" s="213"/>
      <c r="J429" s="213"/>
      <c r="K429" s="213"/>
      <c r="L429" s="213"/>
      <c r="M429" s="213"/>
      <c r="N429" s="213"/>
      <c r="O429" s="213"/>
      <c r="P429" s="213"/>
      <c r="Q429" s="213"/>
      <c r="R429" s="213"/>
      <c r="S429" s="213"/>
      <c r="T429" s="213"/>
      <c r="U429" s="213"/>
      <c r="V429" s="213"/>
      <c r="W429" s="213"/>
      <c r="X429" s="213"/>
      <c r="Y429" s="213"/>
      <c r="Z429" s="213"/>
    </row>
    <row r="430" spans="1:26" ht="14.25">
      <c r="A430" s="213"/>
      <c r="B430" s="213"/>
      <c r="C430" s="213"/>
      <c r="D430" s="213"/>
      <c r="E430" s="213"/>
      <c r="F430" s="213"/>
      <c r="G430" s="213"/>
      <c r="H430" s="213"/>
      <c r="I430" s="213"/>
      <c r="J430" s="213"/>
      <c r="K430" s="213"/>
      <c r="L430" s="213"/>
      <c r="M430" s="213"/>
      <c r="N430" s="213"/>
      <c r="O430" s="213"/>
      <c r="P430" s="213"/>
      <c r="Q430" s="213"/>
      <c r="R430" s="213"/>
      <c r="S430" s="213"/>
      <c r="T430" s="213"/>
      <c r="U430" s="213"/>
      <c r="V430" s="213"/>
      <c r="W430" s="213"/>
      <c r="X430" s="213"/>
      <c r="Y430" s="213"/>
      <c r="Z430" s="213"/>
    </row>
    <row r="431" spans="1:26" ht="14.25">
      <c r="A431" s="213"/>
      <c r="B431" s="213"/>
      <c r="C431" s="213"/>
      <c r="D431" s="213"/>
      <c r="E431" s="213"/>
      <c r="F431" s="213"/>
      <c r="G431" s="213"/>
      <c r="H431" s="213"/>
      <c r="I431" s="213"/>
      <c r="J431" s="213"/>
      <c r="K431" s="213"/>
      <c r="L431" s="213"/>
      <c r="M431" s="213"/>
      <c r="N431" s="213"/>
      <c r="O431" s="213"/>
      <c r="P431" s="213"/>
      <c r="Q431" s="213"/>
      <c r="R431" s="213"/>
      <c r="S431" s="213"/>
      <c r="T431" s="213"/>
      <c r="U431" s="213"/>
      <c r="V431" s="213"/>
      <c r="W431" s="213"/>
      <c r="X431" s="213"/>
      <c r="Y431" s="213"/>
      <c r="Z431" s="213"/>
    </row>
    <row r="432" spans="1:26" ht="14.25">
      <c r="A432" s="213"/>
      <c r="B432" s="213"/>
      <c r="C432" s="213"/>
      <c r="D432" s="213"/>
      <c r="E432" s="213"/>
      <c r="F432" s="213"/>
      <c r="G432" s="213"/>
      <c r="H432" s="213"/>
      <c r="I432" s="213"/>
      <c r="J432" s="213"/>
      <c r="K432" s="213"/>
      <c r="L432" s="213"/>
      <c r="M432" s="213"/>
      <c r="N432" s="213"/>
      <c r="O432" s="213"/>
      <c r="P432" s="213"/>
      <c r="Q432" s="213"/>
      <c r="R432" s="213"/>
      <c r="S432" s="213"/>
      <c r="T432" s="213"/>
      <c r="U432" s="213"/>
      <c r="V432" s="213"/>
      <c r="W432" s="213"/>
      <c r="X432" s="213"/>
      <c r="Y432" s="213"/>
      <c r="Z432" s="213"/>
    </row>
    <row r="433" spans="1:26" ht="14.25">
      <c r="A433" s="213"/>
      <c r="B433" s="213"/>
      <c r="C433" s="213"/>
      <c r="D433" s="213"/>
      <c r="E433" s="213"/>
      <c r="F433" s="213"/>
      <c r="G433" s="213"/>
      <c r="H433" s="213"/>
      <c r="I433" s="213"/>
      <c r="J433" s="213"/>
      <c r="K433" s="213"/>
      <c r="L433" s="213"/>
      <c r="M433" s="213"/>
      <c r="N433" s="213"/>
      <c r="O433" s="213"/>
      <c r="P433" s="213"/>
      <c r="Q433" s="213"/>
      <c r="R433" s="213"/>
      <c r="S433" s="213"/>
      <c r="T433" s="213"/>
      <c r="U433" s="213"/>
      <c r="V433" s="213"/>
      <c r="W433" s="213"/>
      <c r="X433" s="213"/>
      <c r="Y433" s="213"/>
      <c r="Z433" s="213"/>
    </row>
    <row r="434" spans="1:26" ht="14.25">
      <c r="A434" s="213"/>
      <c r="B434" s="213"/>
      <c r="C434" s="213"/>
      <c r="D434" s="213"/>
      <c r="E434" s="213"/>
      <c r="F434" s="213"/>
      <c r="G434" s="213"/>
      <c r="H434" s="213"/>
      <c r="I434" s="213"/>
      <c r="J434" s="213"/>
      <c r="K434" s="213"/>
      <c r="L434" s="213"/>
      <c r="M434" s="213"/>
      <c r="N434" s="213"/>
      <c r="O434" s="213"/>
      <c r="P434" s="213"/>
      <c r="Q434" s="213"/>
      <c r="R434" s="213"/>
      <c r="S434" s="213"/>
      <c r="T434" s="213"/>
      <c r="U434" s="213"/>
      <c r="V434" s="213"/>
      <c r="W434" s="213"/>
      <c r="X434" s="213"/>
      <c r="Y434" s="213"/>
      <c r="Z434" s="213"/>
    </row>
    <row r="435" spans="1:26" ht="14.25">
      <c r="A435" s="213"/>
      <c r="B435" s="213"/>
      <c r="C435" s="213"/>
      <c r="D435" s="213"/>
      <c r="E435" s="213"/>
      <c r="F435" s="213"/>
      <c r="G435" s="213"/>
      <c r="H435" s="213"/>
      <c r="I435" s="213"/>
      <c r="J435" s="213"/>
      <c r="K435" s="213"/>
      <c r="L435" s="213"/>
      <c r="M435" s="213"/>
      <c r="N435" s="213"/>
      <c r="O435" s="213"/>
      <c r="P435" s="213"/>
      <c r="Q435" s="213"/>
      <c r="R435" s="213"/>
      <c r="S435" s="213"/>
      <c r="T435" s="213"/>
      <c r="U435" s="213"/>
      <c r="V435" s="213"/>
      <c r="W435" s="213"/>
      <c r="X435" s="213"/>
      <c r="Y435" s="213"/>
      <c r="Z435" s="213"/>
    </row>
    <row r="436" spans="1:26" ht="14.25">
      <c r="A436" s="213"/>
      <c r="B436" s="213"/>
      <c r="C436" s="213"/>
      <c r="D436" s="213"/>
      <c r="E436" s="213"/>
      <c r="F436" s="213"/>
      <c r="G436" s="213"/>
      <c r="H436" s="213"/>
      <c r="I436" s="213"/>
      <c r="J436" s="213"/>
      <c r="K436" s="213"/>
      <c r="L436" s="213"/>
      <c r="M436" s="213"/>
      <c r="N436" s="213"/>
      <c r="O436" s="213"/>
      <c r="P436" s="213"/>
      <c r="Q436" s="213"/>
      <c r="R436" s="213"/>
      <c r="S436" s="213"/>
      <c r="T436" s="213"/>
      <c r="U436" s="213"/>
      <c r="V436" s="213"/>
      <c r="W436" s="213"/>
      <c r="X436" s="213"/>
      <c r="Y436" s="213"/>
      <c r="Z436" s="213"/>
    </row>
    <row r="437" spans="1:26" ht="14.25">
      <c r="A437" s="213"/>
      <c r="B437" s="213"/>
      <c r="C437" s="213"/>
      <c r="D437" s="213"/>
      <c r="E437" s="213"/>
      <c r="F437" s="213"/>
      <c r="G437" s="213"/>
      <c r="H437" s="213"/>
      <c r="I437" s="213"/>
      <c r="J437" s="213"/>
      <c r="K437" s="213"/>
      <c r="L437" s="213"/>
      <c r="M437" s="213"/>
      <c r="N437" s="213"/>
      <c r="O437" s="213"/>
      <c r="P437" s="213"/>
      <c r="Q437" s="213"/>
      <c r="R437" s="213"/>
      <c r="S437" s="213"/>
      <c r="T437" s="213"/>
      <c r="U437" s="213"/>
      <c r="V437" s="213"/>
      <c r="W437" s="213"/>
      <c r="X437" s="213"/>
      <c r="Y437" s="213"/>
      <c r="Z437" s="213"/>
    </row>
    <row r="438" spans="1:26" ht="14.25">
      <c r="A438" s="213"/>
      <c r="B438" s="213"/>
      <c r="C438" s="213"/>
      <c r="D438" s="213"/>
      <c r="E438" s="213"/>
      <c r="F438" s="213"/>
      <c r="G438" s="213"/>
      <c r="H438" s="213"/>
      <c r="I438" s="213"/>
      <c r="J438" s="213"/>
      <c r="K438" s="213"/>
      <c r="L438" s="213"/>
      <c r="M438" s="213"/>
      <c r="N438" s="213"/>
      <c r="O438" s="213"/>
      <c r="P438" s="213"/>
      <c r="Q438" s="213"/>
      <c r="R438" s="213"/>
      <c r="S438" s="213"/>
      <c r="T438" s="213"/>
      <c r="U438" s="213"/>
      <c r="V438" s="213"/>
      <c r="W438" s="213"/>
      <c r="X438" s="213"/>
      <c r="Y438" s="213"/>
      <c r="Z438" s="213"/>
    </row>
    <row r="439" spans="1:26" ht="14.25">
      <c r="A439" s="213"/>
      <c r="B439" s="213"/>
      <c r="C439" s="213"/>
      <c r="D439" s="213"/>
      <c r="E439" s="213"/>
      <c r="F439" s="213"/>
      <c r="G439" s="213"/>
      <c r="H439" s="213"/>
      <c r="I439" s="213"/>
      <c r="J439" s="213"/>
      <c r="K439" s="213"/>
      <c r="L439" s="213"/>
      <c r="M439" s="213"/>
      <c r="N439" s="213"/>
      <c r="O439" s="213"/>
      <c r="P439" s="213"/>
      <c r="Q439" s="213"/>
      <c r="R439" s="213"/>
      <c r="S439" s="213"/>
      <c r="T439" s="213"/>
      <c r="U439" s="213"/>
      <c r="V439" s="213"/>
      <c r="W439" s="213"/>
      <c r="X439" s="213"/>
      <c r="Y439" s="213"/>
      <c r="Z439" s="213"/>
    </row>
    <row r="440" spans="1:26" ht="14.25">
      <c r="A440" s="213"/>
      <c r="B440" s="213"/>
      <c r="C440" s="213"/>
      <c r="D440" s="213"/>
      <c r="E440" s="213"/>
      <c r="F440" s="213"/>
      <c r="G440" s="213"/>
      <c r="H440" s="213"/>
      <c r="I440" s="213"/>
      <c r="J440" s="213"/>
      <c r="K440" s="213"/>
      <c r="L440" s="213"/>
      <c r="M440" s="213"/>
      <c r="N440" s="213"/>
      <c r="O440" s="213"/>
      <c r="P440" s="213"/>
      <c r="Q440" s="213"/>
      <c r="R440" s="213"/>
      <c r="S440" s="213"/>
      <c r="T440" s="213"/>
      <c r="U440" s="213"/>
      <c r="V440" s="213"/>
      <c r="W440" s="213"/>
      <c r="X440" s="213"/>
      <c r="Y440" s="213"/>
      <c r="Z440" s="213"/>
    </row>
    <row r="441" spans="1:26" ht="14.25">
      <c r="A441" s="213"/>
      <c r="B441" s="213"/>
      <c r="C441" s="213"/>
      <c r="D441" s="213"/>
      <c r="E441" s="213"/>
      <c r="F441" s="213"/>
      <c r="G441" s="213"/>
      <c r="H441" s="213"/>
      <c r="I441" s="213"/>
      <c r="J441" s="213"/>
      <c r="K441" s="213"/>
      <c r="L441" s="213"/>
      <c r="M441" s="213"/>
      <c r="N441" s="213"/>
      <c r="O441" s="213"/>
      <c r="P441" s="213"/>
      <c r="Q441" s="213"/>
      <c r="R441" s="213"/>
      <c r="S441" s="213"/>
      <c r="T441" s="213"/>
      <c r="U441" s="213"/>
      <c r="V441" s="213"/>
      <c r="W441" s="213"/>
      <c r="X441" s="213"/>
      <c r="Y441" s="213"/>
      <c r="Z441" s="213"/>
    </row>
    <row r="442" spans="1:26" ht="14.25">
      <c r="A442" s="213"/>
      <c r="B442" s="213"/>
      <c r="C442" s="213"/>
      <c r="D442" s="213"/>
      <c r="E442" s="213"/>
      <c r="F442" s="213"/>
      <c r="G442" s="213"/>
      <c r="H442" s="213"/>
      <c r="I442" s="213"/>
      <c r="J442" s="213"/>
      <c r="K442" s="213"/>
      <c r="L442" s="213"/>
      <c r="M442" s="213"/>
      <c r="N442" s="213"/>
      <c r="O442" s="213"/>
      <c r="P442" s="213"/>
      <c r="Q442" s="213"/>
      <c r="R442" s="213"/>
      <c r="S442" s="213"/>
      <c r="T442" s="213"/>
      <c r="U442" s="213"/>
      <c r="V442" s="213"/>
      <c r="W442" s="213"/>
      <c r="X442" s="213"/>
      <c r="Y442" s="213"/>
      <c r="Z442" s="213"/>
    </row>
    <row r="443" spans="1:26" ht="14.25">
      <c r="A443" s="213"/>
      <c r="B443" s="213"/>
      <c r="C443" s="213"/>
      <c r="D443" s="213"/>
      <c r="E443" s="213"/>
      <c r="F443" s="213"/>
      <c r="G443" s="213"/>
      <c r="H443" s="213"/>
      <c r="I443" s="213"/>
      <c r="J443" s="213"/>
      <c r="K443" s="213"/>
      <c r="L443" s="213"/>
      <c r="M443" s="213"/>
      <c r="N443" s="213"/>
      <c r="O443" s="213"/>
      <c r="P443" s="213"/>
      <c r="Q443" s="213"/>
      <c r="R443" s="213"/>
      <c r="S443" s="213"/>
      <c r="T443" s="213"/>
      <c r="U443" s="213"/>
      <c r="V443" s="213"/>
      <c r="W443" s="213"/>
      <c r="X443" s="213"/>
      <c r="Y443" s="213"/>
      <c r="Z443" s="213"/>
    </row>
    <row r="444" spans="1:26" ht="14.25">
      <c r="A444" s="213"/>
      <c r="B444" s="213"/>
      <c r="C444" s="213"/>
      <c r="D444" s="213"/>
      <c r="E444" s="213"/>
      <c r="F444" s="213"/>
      <c r="G444" s="213"/>
      <c r="H444" s="213"/>
      <c r="I444" s="213"/>
      <c r="J444" s="213"/>
      <c r="K444" s="213"/>
      <c r="L444" s="213"/>
      <c r="M444" s="213"/>
      <c r="N444" s="213"/>
      <c r="O444" s="213"/>
      <c r="P444" s="213"/>
      <c r="Q444" s="213"/>
      <c r="R444" s="213"/>
      <c r="S444" s="213"/>
      <c r="T444" s="213"/>
      <c r="U444" s="213"/>
      <c r="V444" s="213"/>
      <c r="W444" s="213"/>
      <c r="X444" s="213"/>
      <c r="Y444" s="213"/>
      <c r="Z444" s="213"/>
    </row>
    <row r="445" spans="1:26" ht="14.25">
      <c r="A445" s="213"/>
      <c r="B445" s="213"/>
      <c r="C445" s="213"/>
      <c r="D445" s="213"/>
      <c r="E445" s="213"/>
      <c r="F445" s="213"/>
      <c r="G445" s="213"/>
      <c r="H445" s="213"/>
      <c r="I445" s="213"/>
      <c r="J445" s="213"/>
      <c r="K445" s="213"/>
      <c r="L445" s="213"/>
      <c r="M445" s="213"/>
      <c r="N445" s="213"/>
      <c r="O445" s="213"/>
      <c r="P445" s="213"/>
      <c r="Q445" s="213"/>
      <c r="R445" s="213"/>
      <c r="S445" s="213"/>
      <c r="T445" s="213"/>
      <c r="U445" s="213"/>
      <c r="V445" s="213"/>
      <c r="W445" s="213"/>
      <c r="X445" s="213"/>
      <c r="Y445" s="213"/>
      <c r="Z445" s="213"/>
    </row>
    <row r="446" spans="1:26" ht="14.25">
      <c r="A446" s="213"/>
      <c r="B446" s="213"/>
      <c r="C446" s="213"/>
      <c r="D446" s="213"/>
      <c r="E446" s="213"/>
      <c r="F446" s="213"/>
      <c r="G446" s="213"/>
      <c r="H446" s="213"/>
      <c r="I446" s="213"/>
      <c r="J446" s="213"/>
      <c r="K446" s="213"/>
      <c r="L446" s="213"/>
      <c r="M446" s="213"/>
      <c r="N446" s="213"/>
      <c r="O446" s="213"/>
      <c r="P446" s="213"/>
      <c r="Q446" s="213"/>
      <c r="R446" s="213"/>
      <c r="S446" s="213"/>
      <c r="T446" s="213"/>
      <c r="U446" s="213"/>
      <c r="V446" s="213"/>
      <c r="W446" s="213"/>
      <c r="X446" s="213"/>
      <c r="Y446" s="213"/>
      <c r="Z446" s="213"/>
    </row>
    <row r="447" spans="1:26" ht="14.25">
      <c r="A447" s="213"/>
      <c r="B447" s="213"/>
      <c r="C447" s="213"/>
      <c r="D447" s="213"/>
      <c r="E447" s="213"/>
      <c r="F447" s="213"/>
      <c r="G447" s="213"/>
      <c r="H447" s="213"/>
      <c r="I447" s="213"/>
      <c r="J447" s="213"/>
      <c r="K447" s="213"/>
      <c r="L447" s="213"/>
      <c r="M447" s="213"/>
      <c r="N447" s="213"/>
      <c r="O447" s="213"/>
      <c r="P447" s="213"/>
      <c r="Q447" s="213"/>
      <c r="R447" s="213"/>
      <c r="S447" s="213"/>
      <c r="T447" s="213"/>
      <c r="U447" s="213"/>
      <c r="V447" s="213"/>
      <c r="W447" s="213"/>
      <c r="X447" s="213"/>
      <c r="Y447" s="213"/>
      <c r="Z447" s="213"/>
    </row>
    <row r="448" spans="1:26" ht="14.25">
      <c r="A448" s="213"/>
      <c r="B448" s="213"/>
      <c r="C448" s="213"/>
      <c r="D448" s="213"/>
      <c r="E448" s="213"/>
      <c r="F448" s="213"/>
      <c r="G448" s="213"/>
      <c r="H448" s="213"/>
      <c r="I448" s="213"/>
      <c r="J448" s="213"/>
      <c r="K448" s="213"/>
      <c r="L448" s="213"/>
      <c r="M448" s="213"/>
      <c r="N448" s="213"/>
      <c r="O448" s="213"/>
      <c r="P448" s="213"/>
      <c r="Q448" s="213"/>
      <c r="R448" s="213"/>
      <c r="S448" s="213"/>
      <c r="T448" s="213"/>
      <c r="U448" s="213"/>
      <c r="V448" s="213"/>
      <c r="W448" s="213"/>
      <c r="X448" s="213"/>
      <c r="Y448" s="213"/>
      <c r="Z448" s="213"/>
    </row>
    <row r="449" spans="1:26" ht="14.25">
      <c r="A449" s="213"/>
      <c r="B449" s="213"/>
      <c r="C449" s="213"/>
      <c r="D449" s="213"/>
      <c r="E449" s="213"/>
      <c r="F449" s="213"/>
      <c r="G449" s="213"/>
      <c r="H449" s="213"/>
      <c r="I449" s="213"/>
      <c r="J449" s="213"/>
      <c r="K449" s="213"/>
      <c r="L449" s="213"/>
      <c r="M449" s="213"/>
      <c r="N449" s="213"/>
      <c r="O449" s="213"/>
      <c r="P449" s="213"/>
      <c r="Q449" s="213"/>
      <c r="R449" s="213"/>
      <c r="S449" s="213"/>
      <c r="T449" s="213"/>
      <c r="U449" s="213"/>
      <c r="V449" s="213"/>
      <c r="W449" s="213"/>
      <c r="X449" s="213"/>
      <c r="Y449" s="213"/>
      <c r="Z449" s="213"/>
    </row>
    <row r="450" spans="1:26" ht="14.25">
      <c r="A450" s="213"/>
      <c r="B450" s="213"/>
      <c r="C450" s="213"/>
      <c r="D450" s="213"/>
      <c r="E450" s="213"/>
      <c r="F450" s="213"/>
      <c r="G450" s="213"/>
      <c r="H450" s="213"/>
      <c r="I450" s="213"/>
      <c r="J450" s="213"/>
      <c r="K450" s="213"/>
      <c r="L450" s="213"/>
      <c r="M450" s="213"/>
      <c r="N450" s="213"/>
      <c r="O450" s="213"/>
      <c r="P450" s="213"/>
      <c r="Q450" s="213"/>
      <c r="R450" s="213"/>
      <c r="S450" s="213"/>
      <c r="T450" s="213"/>
      <c r="U450" s="213"/>
      <c r="V450" s="213"/>
      <c r="W450" s="213"/>
      <c r="X450" s="213"/>
      <c r="Y450" s="213"/>
      <c r="Z450" s="213"/>
    </row>
    <row r="451" spans="1:26" ht="14.25">
      <c r="A451" s="213"/>
      <c r="B451" s="213"/>
      <c r="C451" s="213"/>
      <c r="D451" s="213"/>
      <c r="E451" s="213"/>
      <c r="F451" s="213"/>
      <c r="G451" s="213"/>
      <c r="H451" s="213"/>
      <c r="I451" s="213"/>
      <c r="J451" s="213"/>
      <c r="K451" s="213"/>
      <c r="L451" s="213"/>
      <c r="M451" s="213"/>
      <c r="N451" s="213"/>
      <c r="O451" s="213"/>
      <c r="P451" s="213"/>
      <c r="Q451" s="213"/>
      <c r="R451" s="213"/>
      <c r="S451" s="213"/>
      <c r="T451" s="213"/>
      <c r="U451" s="213"/>
      <c r="V451" s="213"/>
      <c r="W451" s="213"/>
      <c r="X451" s="213"/>
      <c r="Y451" s="213"/>
      <c r="Z451" s="213"/>
    </row>
    <row r="452" spans="1:26" ht="14.25">
      <c r="A452" s="213"/>
      <c r="B452" s="213"/>
      <c r="C452" s="213"/>
      <c r="D452" s="213"/>
      <c r="E452" s="213"/>
      <c r="F452" s="213"/>
      <c r="G452" s="213"/>
      <c r="H452" s="213"/>
      <c r="I452" s="213"/>
      <c r="J452" s="213"/>
      <c r="K452" s="213"/>
      <c r="L452" s="213"/>
      <c r="M452" s="213"/>
      <c r="N452" s="213"/>
      <c r="O452" s="213"/>
      <c r="P452" s="213"/>
      <c r="Q452" s="213"/>
      <c r="R452" s="213"/>
      <c r="S452" s="213"/>
      <c r="T452" s="213"/>
      <c r="U452" s="213"/>
      <c r="V452" s="213"/>
      <c r="W452" s="213"/>
      <c r="X452" s="213"/>
      <c r="Y452" s="213"/>
      <c r="Z452" s="213"/>
    </row>
    <row r="453" spans="1:26" ht="14.25">
      <c r="A453" s="213"/>
      <c r="B453" s="213"/>
      <c r="C453" s="213"/>
      <c r="D453" s="213"/>
      <c r="E453" s="213"/>
      <c r="F453" s="213"/>
      <c r="G453" s="213"/>
      <c r="H453" s="213"/>
      <c r="I453" s="213"/>
      <c r="J453" s="213"/>
      <c r="K453" s="213"/>
      <c r="L453" s="213"/>
      <c r="M453" s="213"/>
      <c r="N453" s="213"/>
      <c r="O453" s="213"/>
      <c r="P453" s="213"/>
      <c r="Q453" s="213"/>
      <c r="R453" s="213"/>
      <c r="S453" s="213"/>
      <c r="T453" s="213"/>
      <c r="U453" s="213"/>
      <c r="V453" s="213"/>
      <c r="W453" s="213"/>
      <c r="X453" s="213"/>
      <c r="Y453" s="213"/>
      <c r="Z453" s="213"/>
    </row>
    <row r="454" spans="1:26" ht="14.25">
      <c r="A454" s="213"/>
      <c r="B454" s="213"/>
      <c r="C454" s="213"/>
      <c r="D454" s="213"/>
      <c r="E454" s="213"/>
      <c r="F454" s="213"/>
      <c r="G454" s="213"/>
      <c r="H454" s="213"/>
      <c r="I454" s="213"/>
      <c r="J454" s="213"/>
      <c r="K454" s="213"/>
      <c r="L454" s="213"/>
      <c r="M454" s="213"/>
      <c r="N454" s="213"/>
      <c r="O454" s="213"/>
      <c r="P454" s="213"/>
      <c r="Q454" s="213"/>
      <c r="R454" s="213"/>
      <c r="S454" s="213"/>
      <c r="T454" s="213"/>
      <c r="U454" s="213"/>
      <c r="V454" s="213"/>
      <c r="W454" s="213"/>
      <c r="X454" s="213"/>
      <c r="Y454" s="213"/>
      <c r="Z454" s="213"/>
    </row>
    <row r="455" spans="1:26" ht="14.25">
      <c r="A455" s="213"/>
      <c r="B455" s="213"/>
      <c r="C455" s="213"/>
      <c r="D455" s="213"/>
      <c r="E455" s="213"/>
      <c r="F455" s="213"/>
      <c r="G455" s="213"/>
      <c r="H455" s="213"/>
      <c r="I455" s="213"/>
      <c r="J455" s="213"/>
      <c r="K455" s="213"/>
      <c r="L455" s="213"/>
      <c r="M455" s="213"/>
      <c r="N455" s="213"/>
      <c r="O455" s="213"/>
      <c r="P455" s="213"/>
      <c r="Q455" s="213"/>
      <c r="R455" s="213"/>
      <c r="S455" s="213"/>
      <c r="T455" s="213"/>
      <c r="U455" s="213"/>
      <c r="V455" s="213"/>
      <c r="W455" s="213"/>
      <c r="X455" s="213"/>
      <c r="Y455" s="213"/>
      <c r="Z455" s="213"/>
    </row>
    <row r="456" spans="1:26" ht="14.25">
      <c r="A456" s="213"/>
      <c r="B456" s="213"/>
      <c r="C456" s="213"/>
      <c r="D456" s="213"/>
      <c r="E456" s="213"/>
      <c r="F456" s="213"/>
      <c r="G456" s="213"/>
      <c r="H456" s="213"/>
      <c r="I456" s="213"/>
      <c r="J456" s="213"/>
      <c r="K456" s="213"/>
      <c r="L456" s="213"/>
      <c r="M456" s="213"/>
      <c r="N456" s="213"/>
      <c r="O456" s="213"/>
      <c r="P456" s="213"/>
      <c r="Q456" s="213"/>
      <c r="R456" s="213"/>
      <c r="S456" s="213"/>
      <c r="T456" s="213"/>
      <c r="U456" s="213"/>
      <c r="V456" s="213"/>
      <c r="W456" s="213"/>
      <c r="X456" s="213"/>
      <c r="Y456" s="213"/>
      <c r="Z456" s="213"/>
    </row>
    <row r="457" spans="1:26" ht="14.25">
      <c r="A457" s="213"/>
      <c r="B457" s="213"/>
      <c r="C457" s="213"/>
      <c r="D457" s="213"/>
      <c r="E457" s="213"/>
      <c r="F457" s="213"/>
      <c r="G457" s="213"/>
      <c r="H457" s="213"/>
      <c r="I457" s="213"/>
      <c r="J457" s="213"/>
      <c r="K457" s="213"/>
      <c r="L457" s="213"/>
      <c r="M457" s="213"/>
      <c r="N457" s="213"/>
      <c r="O457" s="213"/>
      <c r="P457" s="213"/>
      <c r="Q457" s="213"/>
      <c r="R457" s="213"/>
      <c r="S457" s="213"/>
      <c r="T457" s="213"/>
      <c r="U457" s="213"/>
      <c r="V457" s="213"/>
      <c r="W457" s="213"/>
      <c r="X457" s="213"/>
      <c r="Y457" s="213"/>
      <c r="Z457" s="213"/>
    </row>
    <row r="458" spans="1:26" ht="14.25">
      <c r="A458" s="213"/>
      <c r="B458" s="213"/>
      <c r="C458" s="213"/>
      <c r="D458" s="213"/>
      <c r="E458" s="213"/>
      <c r="F458" s="213"/>
      <c r="G458" s="213"/>
      <c r="H458" s="213"/>
      <c r="I458" s="213"/>
      <c r="J458" s="213"/>
      <c r="K458" s="213"/>
      <c r="L458" s="213"/>
      <c r="M458" s="213"/>
      <c r="N458" s="213"/>
      <c r="O458" s="213"/>
      <c r="P458" s="213"/>
      <c r="Q458" s="213"/>
      <c r="R458" s="213"/>
      <c r="S458" s="213"/>
      <c r="T458" s="213"/>
      <c r="U458" s="213"/>
      <c r="V458" s="213"/>
      <c r="W458" s="213"/>
      <c r="X458" s="213"/>
      <c r="Y458" s="213"/>
      <c r="Z458" s="213"/>
    </row>
    <row r="459" spans="1:26" ht="14.25">
      <c r="A459" s="213"/>
      <c r="B459" s="213"/>
      <c r="C459" s="213"/>
      <c r="D459" s="213"/>
      <c r="E459" s="213"/>
      <c r="F459" s="213"/>
      <c r="G459" s="213"/>
      <c r="H459" s="213"/>
      <c r="I459" s="213"/>
      <c r="J459" s="213"/>
      <c r="K459" s="213"/>
      <c r="L459" s="213"/>
      <c r="M459" s="213"/>
      <c r="N459" s="213"/>
      <c r="O459" s="213"/>
      <c r="P459" s="213"/>
      <c r="Q459" s="213"/>
      <c r="R459" s="213"/>
      <c r="S459" s="213"/>
      <c r="T459" s="213"/>
      <c r="U459" s="213"/>
      <c r="V459" s="213"/>
      <c r="W459" s="213"/>
      <c r="X459" s="213"/>
      <c r="Y459" s="213"/>
      <c r="Z459" s="213"/>
    </row>
    <row r="460" spans="1:26" ht="14.25">
      <c r="A460" s="213"/>
      <c r="B460" s="213"/>
      <c r="C460" s="213"/>
      <c r="D460" s="213"/>
      <c r="E460" s="213"/>
      <c r="F460" s="213"/>
      <c r="G460" s="213"/>
      <c r="H460" s="213"/>
      <c r="I460" s="213"/>
      <c r="J460" s="213"/>
      <c r="K460" s="213"/>
      <c r="L460" s="213"/>
      <c r="M460" s="213"/>
      <c r="N460" s="213"/>
      <c r="O460" s="213"/>
      <c r="P460" s="213"/>
      <c r="Q460" s="213"/>
      <c r="R460" s="213"/>
      <c r="S460" s="213"/>
      <c r="T460" s="213"/>
      <c r="U460" s="213"/>
      <c r="V460" s="213"/>
      <c r="W460" s="213"/>
      <c r="X460" s="213"/>
      <c r="Y460" s="213"/>
      <c r="Z460" s="213"/>
    </row>
    <row r="461" spans="1:26" ht="14.25">
      <c r="A461" s="213"/>
      <c r="B461" s="213"/>
      <c r="C461" s="213"/>
      <c r="D461" s="213"/>
      <c r="E461" s="213"/>
      <c r="F461" s="213"/>
      <c r="G461" s="213"/>
      <c r="H461" s="213"/>
      <c r="I461" s="213"/>
      <c r="J461" s="213"/>
      <c r="K461" s="213"/>
      <c r="L461" s="213"/>
      <c r="M461" s="213"/>
      <c r="N461" s="213"/>
      <c r="O461" s="213"/>
      <c r="P461" s="213"/>
      <c r="Q461" s="213"/>
      <c r="R461" s="213"/>
      <c r="S461" s="213"/>
      <c r="T461" s="213"/>
      <c r="U461" s="213"/>
      <c r="V461" s="213"/>
      <c r="W461" s="213"/>
      <c r="X461" s="213"/>
      <c r="Y461" s="213"/>
      <c r="Z461" s="213"/>
    </row>
    <row r="462" spans="1:26" ht="14.25">
      <c r="A462" s="213"/>
      <c r="B462" s="213"/>
      <c r="C462" s="213"/>
      <c r="D462" s="213"/>
      <c r="E462" s="213"/>
      <c r="F462" s="213"/>
      <c r="G462" s="213"/>
      <c r="H462" s="213"/>
      <c r="I462" s="213"/>
      <c r="J462" s="213"/>
      <c r="K462" s="213"/>
      <c r="L462" s="213"/>
      <c r="M462" s="213"/>
      <c r="N462" s="213"/>
      <c r="O462" s="213"/>
      <c r="P462" s="213"/>
      <c r="Q462" s="213"/>
      <c r="R462" s="213"/>
      <c r="S462" s="213"/>
      <c r="T462" s="213"/>
      <c r="U462" s="213"/>
      <c r="V462" s="213"/>
      <c r="W462" s="213"/>
      <c r="X462" s="213"/>
      <c r="Y462" s="213"/>
      <c r="Z462" s="213"/>
    </row>
    <row r="463" spans="1:26" ht="14.25">
      <c r="A463" s="213"/>
      <c r="B463" s="213"/>
      <c r="C463" s="213"/>
      <c r="D463" s="213"/>
      <c r="E463" s="213"/>
      <c r="F463" s="213"/>
      <c r="G463" s="213"/>
      <c r="H463" s="213"/>
      <c r="I463" s="213"/>
      <c r="J463" s="213"/>
      <c r="K463" s="213"/>
      <c r="L463" s="213"/>
      <c r="M463" s="213"/>
      <c r="N463" s="213"/>
      <c r="O463" s="213"/>
      <c r="P463" s="213"/>
      <c r="Q463" s="213"/>
      <c r="R463" s="213"/>
      <c r="S463" s="213"/>
      <c r="T463" s="213"/>
      <c r="U463" s="213"/>
      <c r="V463" s="213"/>
      <c r="W463" s="213"/>
      <c r="X463" s="213"/>
      <c r="Y463" s="213"/>
      <c r="Z463" s="213"/>
    </row>
    <row r="464" spans="1:26" ht="14.25">
      <c r="A464" s="213"/>
      <c r="B464" s="213"/>
      <c r="C464" s="213"/>
      <c r="D464" s="213"/>
      <c r="E464" s="213"/>
      <c r="F464" s="213"/>
      <c r="G464" s="213"/>
      <c r="H464" s="213"/>
      <c r="I464" s="213"/>
      <c r="J464" s="213"/>
      <c r="K464" s="213"/>
      <c r="L464" s="213"/>
      <c r="M464" s="213"/>
      <c r="N464" s="213"/>
      <c r="O464" s="213"/>
      <c r="P464" s="213"/>
      <c r="Q464" s="213"/>
      <c r="R464" s="213"/>
      <c r="S464" s="213"/>
      <c r="T464" s="213"/>
      <c r="U464" s="213"/>
      <c r="V464" s="213"/>
      <c r="W464" s="213"/>
      <c r="X464" s="213"/>
      <c r="Y464" s="213"/>
      <c r="Z464" s="213"/>
    </row>
    <row r="465" spans="1:26" ht="14.25">
      <c r="A465" s="213"/>
      <c r="B465" s="213"/>
      <c r="C465" s="213"/>
      <c r="D465" s="213"/>
      <c r="E465" s="213"/>
      <c r="F465" s="213"/>
      <c r="G465" s="213"/>
      <c r="H465" s="213"/>
      <c r="I465" s="213"/>
      <c r="J465" s="213"/>
      <c r="K465" s="213"/>
      <c r="L465" s="213"/>
      <c r="M465" s="213"/>
      <c r="N465" s="213"/>
      <c r="O465" s="213"/>
      <c r="P465" s="213"/>
      <c r="Q465" s="213"/>
      <c r="R465" s="213"/>
      <c r="S465" s="213"/>
      <c r="T465" s="213"/>
      <c r="U465" s="213"/>
      <c r="V465" s="213"/>
      <c r="W465" s="213"/>
      <c r="X465" s="213"/>
      <c r="Y465" s="213"/>
      <c r="Z465" s="213"/>
    </row>
    <row r="466" spans="1:26" ht="14.25">
      <c r="A466" s="213"/>
      <c r="B466" s="213"/>
      <c r="C466" s="213"/>
      <c r="D466" s="213"/>
      <c r="E466" s="213"/>
      <c r="F466" s="213"/>
      <c r="G466" s="213"/>
      <c r="H466" s="213"/>
      <c r="I466" s="213"/>
      <c r="J466" s="213"/>
      <c r="K466" s="213"/>
      <c r="L466" s="213"/>
      <c r="M466" s="213"/>
      <c r="N466" s="213"/>
      <c r="O466" s="213"/>
      <c r="P466" s="213"/>
      <c r="Q466" s="213"/>
      <c r="R466" s="213"/>
      <c r="S466" s="213"/>
      <c r="T466" s="213"/>
      <c r="U466" s="213"/>
      <c r="V466" s="213"/>
      <c r="W466" s="213"/>
      <c r="X466" s="213"/>
      <c r="Y466" s="213"/>
      <c r="Z466" s="213"/>
    </row>
    <row r="467" spans="1:26" ht="14.25">
      <c r="A467" s="213"/>
      <c r="B467" s="213"/>
      <c r="C467" s="213"/>
      <c r="D467" s="213"/>
      <c r="E467" s="213"/>
      <c r="F467" s="213"/>
      <c r="G467" s="213"/>
      <c r="H467" s="213"/>
      <c r="I467" s="213"/>
      <c r="J467" s="213"/>
      <c r="K467" s="213"/>
      <c r="L467" s="213"/>
      <c r="M467" s="213"/>
      <c r="N467" s="213"/>
      <c r="O467" s="213"/>
      <c r="P467" s="213"/>
      <c r="Q467" s="213"/>
      <c r="R467" s="213"/>
      <c r="S467" s="213"/>
      <c r="T467" s="213"/>
      <c r="U467" s="213"/>
      <c r="V467" s="213"/>
      <c r="W467" s="213"/>
      <c r="X467" s="213"/>
      <c r="Y467" s="213"/>
      <c r="Z467" s="213"/>
    </row>
    <row r="468" spans="1:26" ht="14.25">
      <c r="A468" s="213"/>
      <c r="B468" s="213"/>
      <c r="C468" s="213"/>
      <c r="D468" s="213"/>
      <c r="E468" s="213"/>
      <c r="F468" s="213"/>
      <c r="G468" s="213"/>
      <c r="H468" s="213"/>
      <c r="I468" s="213"/>
      <c r="J468" s="213"/>
      <c r="K468" s="213"/>
      <c r="L468" s="213"/>
      <c r="M468" s="213"/>
      <c r="N468" s="213"/>
      <c r="O468" s="213"/>
      <c r="P468" s="213"/>
      <c r="Q468" s="213"/>
      <c r="R468" s="213"/>
      <c r="S468" s="213"/>
      <c r="T468" s="213"/>
      <c r="U468" s="213"/>
      <c r="V468" s="213"/>
      <c r="W468" s="213"/>
      <c r="X468" s="213"/>
      <c r="Y468" s="213"/>
      <c r="Z468" s="213"/>
    </row>
    <row r="469" spans="1:26" ht="14.25">
      <c r="A469" s="213"/>
      <c r="B469" s="213"/>
      <c r="C469" s="213"/>
      <c r="D469" s="213"/>
      <c r="E469" s="213"/>
      <c r="F469" s="213"/>
      <c r="G469" s="213"/>
      <c r="H469" s="213"/>
      <c r="I469" s="213"/>
      <c r="J469" s="213"/>
      <c r="K469" s="213"/>
      <c r="L469" s="213"/>
      <c r="M469" s="213"/>
      <c r="N469" s="213"/>
      <c r="O469" s="213"/>
      <c r="P469" s="213"/>
      <c r="Q469" s="213"/>
      <c r="R469" s="213"/>
      <c r="S469" s="213"/>
      <c r="T469" s="213"/>
      <c r="U469" s="213"/>
      <c r="V469" s="213"/>
      <c r="W469" s="213"/>
      <c r="X469" s="213"/>
      <c r="Y469" s="213"/>
      <c r="Z469" s="213"/>
    </row>
    <row r="470" spans="1:26" ht="14.25">
      <c r="A470" s="213"/>
      <c r="B470" s="213"/>
      <c r="C470" s="213"/>
      <c r="D470" s="213"/>
      <c r="E470" s="213"/>
      <c r="F470" s="213"/>
      <c r="G470" s="213"/>
      <c r="H470" s="213"/>
      <c r="I470" s="213"/>
      <c r="J470" s="213"/>
      <c r="K470" s="213"/>
      <c r="L470" s="213"/>
      <c r="M470" s="213"/>
      <c r="N470" s="213"/>
      <c r="O470" s="213"/>
      <c r="P470" s="213"/>
      <c r="Q470" s="213"/>
      <c r="R470" s="213"/>
      <c r="S470" s="213"/>
      <c r="T470" s="213"/>
      <c r="U470" s="213"/>
      <c r="V470" s="213"/>
      <c r="W470" s="213"/>
      <c r="X470" s="213"/>
      <c r="Y470" s="213"/>
      <c r="Z470" s="213"/>
    </row>
    <row r="471" spans="1:26" ht="14.25">
      <c r="A471" s="213"/>
      <c r="B471" s="213"/>
      <c r="C471" s="213"/>
      <c r="D471" s="213"/>
      <c r="E471" s="213"/>
      <c r="F471" s="213"/>
      <c r="G471" s="213"/>
      <c r="H471" s="213"/>
      <c r="I471" s="213"/>
      <c r="J471" s="213"/>
      <c r="K471" s="213"/>
      <c r="L471" s="213"/>
      <c r="M471" s="213"/>
      <c r="N471" s="213"/>
      <c r="O471" s="213"/>
      <c r="P471" s="213"/>
      <c r="Q471" s="213"/>
      <c r="R471" s="213"/>
      <c r="S471" s="213"/>
      <c r="T471" s="213"/>
      <c r="U471" s="213"/>
      <c r="V471" s="213"/>
      <c r="W471" s="213"/>
      <c r="X471" s="213"/>
      <c r="Y471" s="213"/>
      <c r="Z471" s="213"/>
    </row>
    <row r="472" spans="1:26" ht="14.25">
      <c r="A472" s="213"/>
      <c r="B472" s="213"/>
      <c r="C472" s="213"/>
      <c r="D472" s="213"/>
      <c r="E472" s="213"/>
      <c r="F472" s="213"/>
      <c r="G472" s="213"/>
      <c r="H472" s="213"/>
      <c r="I472" s="213"/>
      <c r="J472" s="213"/>
      <c r="K472" s="213"/>
      <c r="L472" s="213"/>
      <c r="M472" s="213"/>
      <c r="N472" s="213"/>
      <c r="O472" s="213"/>
      <c r="P472" s="213"/>
      <c r="Q472" s="213"/>
      <c r="R472" s="213"/>
      <c r="S472" s="213"/>
      <c r="T472" s="213"/>
      <c r="U472" s="213"/>
      <c r="V472" s="213"/>
      <c r="W472" s="213"/>
      <c r="X472" s="213"/>
      <c r="Y472" s="213"/>
      <c r="Z472" s="213"/>
    </row>
    <row r="473" spans="1:26" ht="14.25">
      <c r="A473" s="213"/>
      <c r="B473" s="213"/>
      <c r="C473" s="213"/>
      <c r="D473" s="213"/>
      <c r="E473" s="213"/>
      <c r="F473" s="213"/>
      <c r="G473" s="213"/>
      <c r="H473" s="213"/>
      <c r="I473" s="213"/>
      <c r="J473" s="213"/>
      <c r="K473" s="213"/>
      <c r="L473" s="213"/>
      <c r="M473" s="213"/>
      <c r="N473" s="213"/>
      <c r="O473" s="213"/>
      <c r="P473" s="213"/>
      <c r="Q473" s="213"/>
      <c r="R473" s="213"/>
      <c r="S473" s="213"/>
      <c r="T473" s="213"/>
      <c r="U473" s="213"/>
      <c r="V473" s="213"/>
      <c r="W473" s="213"/>
      <c r="X473" s="213"/>
      <c r="Y473" s="213"/>
      <c r="Z473" s="213"/>
    </row>
    <row r="474" spans="1:26" ht="14.25">
      <c r="A474" s="213"/>
      <c r="B474" s="213"/>
      <c r="C474" s="213"/>
      <c r="D474" s="213"/>
      <c r="E474" s="213"/>
      <c r="F474" s="213"/>
      <c r="G474" s="213"/>
      <c r="H474" s="213"/>
      <c r="I474" s="213"/>
      <c r="J474" s="213"/>
      <c r="K474" s="213"/>
      <c r="L474" s="213"/>
      <c r="M474" s="213"/>
      <c r="N474" s="213"/>
      <c r="O474" s="213"/>
      <c r="P474" s="213"/>
      <c r="Q474" s="213"/>
      <c r="R474" s="213"/>
      <c r="S474" s="213"/>
      <c r="T474" s="213"/>
      <c r="U474" s="213"/>
      <c r="V474" s="213"/>
      <c r="W474" s="213"/>
      <c r="X474" s="213"/>
      <c r="Y474" s="213"/>
      <c r="Z474" s="213"/>
    </row>
    <row r="475" spans="1:26" ht="14.25">
      <c r="A475" s="213"/>
      <c r="B475" s="213"/>
      <c r="C475" s="213"/>
      <c r="D475" s="213"/>
      <c r="E475" s="213"/>
      <c r="F475" s="213"/>
      <c r="G475" s="213"/>
      <c r="H475" s="213"/>
      <c r="I475" s="213"/>
      <c r="J475" s="213"/>
      <c r="K475" s="213"/>
      <c r="L475" s="213"/>
      <c r="M475" s="213"/>
      <c r="N475" s="213"/>
      <c r="O475" s="213"/>
      <c r="P475" s="213"/>
      <c r="Q475" s="213"/>
      <c r="R475" s="213"/>
      <c r="S475" s="213"/>
      <c r="T475" s="213"/>
      <c r="U475" s="213"/>
      <c r="V475" s="213"/>
      <c r="W475" s="213"/>
      <c r="X475" s="213"/>
      <c r="Y475" s="213"/>
      <c r="Z475" s="213"/>
    </row>
    <row r="476" spans="1:26" ht="14.25">
      <c r="A476" s="213"/>
      <c r="B476" s="213"/>
      <c r="C476" s="213"/>
      <c r="D476" s="213"/>
      <c r="E476" s="213"/>
      <c r="F476" s="213"/>
      <c r="G476" s="213"/>
      <c r="H476" s="213"/>
      <c r="I476" s="213"/>
      <c r="J476" s="213"/>
      <c r="K476" s="213"/>
      <c r="L476" s="213"/>
      <c r="M476" s="213"/>
      <c r="N476" s="213"/>
      <c r="O476" s="213"/>
      <c r="P476" s="213"/>
      <c r="Q476" s="213"/>
      <c r="R476" s="213"/>
      <c r="S476" s="213"/>
      <c r="T476" s="213"/>
      <c r="U476" s="213"/>
      <c r="V476" s="213"/>
      <c r="W476" s="213"/>
      <c r="X476" s="213"/>
      <c r="Y476" s="213"/>
      <c r="Z476" s="213"/>
    </row>
    <row r="477" spans="1:26" ht="14.25">
      <c r="A477" s="213"/>
      <c r="B477" s="213"/>
      <c r="C477" s="213"/>
      <c r="D477" s="213"/>
      <c r="E477" s="213"/>
      <c r="F477" s="213"/>
      <c r="G477" s="213"/>
      <c r="H477" s="213"/>
      <c r="I477" s="213"/>
      <c r="J477" s="213"/>
      <c r="K477" s="213"/>
      <c r="L477" s="213"/>
      <c r="M477" s="213"/>
      <c r="N477" s="213"/>
      <c r="O477" s="213"/>
      <c r="P477" s="213"/>
      <c r="Q477" s="213"/>
      <c r="R477" s="213"/>
      <c r="S477" s="213"/>
      <c r="T477" s="213"/>
      <c r="U477" s="213"/>
      <c r="V477" s="213"/>
      <c r="W477" s="213"/>
      <c r="X477" s="213"/>
      <c r="Y477" s="213"/>
      <c r="Z477" s="213"/>
    </row>
    <row r="478" spans="1:26" ht="14.25">
      <c r="A478" s="213"/>
      <c r="B478" s="213"/>
      <c r="C478" s="213"/>
      <c r="D478" s="213"/>
      <c r="E478" s="213"/>
      <c r="F478" s="213"/>
      <c r="G478" s="213"/>
      <c r="H478" s="213"/>
      <c r="I478" s="213"/>
      <c r="J478" s="213"/>
      <c r="K478" s="213"/>
      <c r="L478" s="213"/>
      <c r="M478" s="213"/>
      <c r="N478" s="213"/>
      <c r="O478" s="213"/>
      <c r="P478" s="213"/>
      <c r="Q478" s="213"/>
      <c r="R478" s="213"/>
      <c r="S478" s="213"/>
      <c r="T478" s="213"/>
      <c r="U478" s="213"/>
      <c r="V478" s="213"/>
      <c r="W478" s="213"/>
      <c r="X478" s="213"/>
      <c r="Y478" s="213"/>
      <c r="Z478" s="213"/>
    </row>
    <row r="479" spans="1:26" ht="14.25">
      <c r="A479" s="213"/>
      <c r="B479" s="213"/>
      <c r="C479" s="213"/>
      <c r="D479" s="213"/>
      <c r="E479" s="213"/>
      <c r="F479" s="213"/>
      <c r="G479" s="213"/>
      <c r="H479" s="213"/>
      <c r="I479" s="213"/>
      <c r="J479" s="213"/>
      <c r="K479" s="213"/>
      <c r="L479" s="213"/>
      <c r="M479" s="213"/>
      <c r="N479" s="213"/>
      <c r="O479" s="213"/>
      <c r="P479" s="213"/>
      <c r="Q479" s="213"/>
      <c r="R479" s="213"/>
      <c r="S479" s="213"/>
      <c r="T479" s="213"/>
      <c r="U479" s="213"/>
      <c r="V479" s="213"/>
      <c r="W479" s="213"/>
      <c r="X479" s="213"/>
      <c r="Y479" s="213"/>
      <c r="Z479" s="213"/>
    </row>
    <row r="480" spans="1:26" ht="14.25">
      <c r="A480" s="213"/>
      <c r="B480" s="213"/>
      <c r="C480" s="213"/>
      <c r="D480" s="213"/>
      <c r="E480" s="213"/>
      <c r="F480" s="213"/>
      <c r="G480" s="213"/>
      <c r="H480" s="213"/>
      <c r="I480" s="213"/>
      <c r="J480" s="213"/>
      <c r="K480" s="213"/>
      <c r="L480" s="213"/>
      <c r="M480" s="213"/>
      <c r="N480" s="213"/>
      <c r="O480" s="213"/>
      <c r="P480" s="213"/>
      <c r="Q480" s="213"/>
      <c r="R480" s="213"/>
      <c r="S480" s="213"/>
      <c r="T480" s="213"/>
      <c r="U480" s="213"/>
      <c r="V480" s="213"/>
      <c r="W480" s="213"/>
      <c r="X480" s="213"/>
      <c r="Y480" s="213"/>
      <c r="Z480" s="213"/>
    </row>
    <row r="481" spans="1:26" ht="14.25">
      <c r="A481" s="213"/>
      <c r="B481" s="213"/>
      <c r="C481" s="213"/>
      <c r="D481" s="213"/>
      <c r="E481" s="213"/>
      <c r="F481" s="213"/>
      <c r="G481" s="213"/>
      <c r="H481" s="213"/>
      <c r="I481" s="213"/>
      <c r="J481" s="213"/>
      <c r="K481" s="213"/>
      <c r="L481" s="213"/>
      <c r="M481" s="213"/>
      <c r="N481" s="213"/>
      <c r="O481" s="213"/>
      <c r="P481" s="213"/>
      <c r="Q481" s="213"/>
      <c r="R481" s="213"/>
      <c r="S481" s="213"/>
      <c r="T481" s="213"/>
      <c r="U481" s="213"/>
      <c r="V481" s="213"/>
      <c r="W481" s="213"/>
      <c r="X481" s="213"/>
      <c r="Y481" s="213"/>
      <c r="Z481" s="213"/>
    </row>
    <row r="482" spans="1:26" ht="14.25">
      <c r="A482" s="213"/>
      <c r="B482" s="213"/>
      <c r="C482" s="213"/>
      <c r="D482" s="213"/>
      <c r="E482" s="213"/>
      <c r="F482" s="213"/>
      <c r="G482" s="213"/>
      <c r="H482" s="213"/>
      <c r="I482" s="213"/>
      <c r="J482" s="213"/>
      <c r="K482" s="213"/>
      <c r="L482" s="213"/>
      <c r="M482" s="213"/>
      <c r="N482" s="213"/>
      <c r="O482" s="213"/>
      <c r="P482" s="213"/>
      <c r="Q482" s="213"/>
      <c r="R482" s="213"/>
      <c r="S482" s="213"/>
      <c r="T482" s="213"/>
      <c r="U482" s="213"/>
      <c r="V482" s="213"/>
      <c r="W482" s="213"/>
      <c r="X482" s="213"/>
      <c r="Y482" s="213"/>
      <c r="Z482" s="213"/>
    </row>
    <row r="483" spans="1:26" ht="14.25">
      <c r="A483" s="213"/>
      <c r="B483" s="213"/>
      <c r="C483" s="213"/>
      <c r="D483" s="213"/>
      <c r="E483" s="213"/>
      <c r="F483" s="213"/>
      <c r="G483" s="213"/>
      <c r="H483" s="213"/>
      <c r="I483" s="213"/>
      <c r="J483" s="213"/>
      <c r="K483" s="213"/>
      <c r="L483" s="213"/>
      <c r="M483" s="213"/>
      <c r="N483" s="213"/>
      <c r="O483" s="213"/>
      <c r="P483" s="213"/>
      <c r="Q483" s="213"/>
      <c r="R483" s="213"/>
      <c r="S483" s="213"/>
      <c r="T483" s="213"/>
      <c r="U483" s="213"/>
      <c r="V483" s="213"/>
      <c r="W483" s="213"/>
      <c r="X483" s="213"/>
      <c r="Y483" s="213"/>
      <c r="Z483" s="213"/>
    </row>
    <row r="484" spans="1:26" ht="14.25">
      <c r="A484" s="213"/>
      <c r="B484" s="213"/>
      <c r="C484" s="213"/>
      <c r="D484" s="213"/>
      <c r="E484" s="213"/>
      <c r="F484" s="213"/>
      <c r="G484" s="213"/>
      <c r="H484" s="213"/>
      <c r="I484" s="213"/>
      <c r="J484" s="213"/>
      <c r="K484" s="213"/>
      <c r="L484" s="213"/>
      <c r="M484" s="213"/>
      <c r="N484" s="213"/>
      <c r="O484" s="213"/>
      <c r="P484" s="213"/>
      <c r="Q484" s="213"/>
      <c r="R484" s="213"/>
      <c r="S484" s="213"/>
      <c r="T484" s="213"/>
      <c r="U484" s="213"/>
      <c r="V484" s="213"/>
      <c r="W484" s="213"/>
      <c r="X484" s="213"/>
      <c r="Y484" s="213"/>
      <c r="Z484" s="213"/>
    </row>
    <row r="485" spans="1:26" ht="14.25">
      <c r="A485" s="213"/>
      <c r="B485" s="213"/>
      <c r="C485" s="213"/>
      <c r="D485" s="213"/>
      <c r="E485" s="213"/>
      <c r="F485" s="213"/>
      <c r="G485" s="213"/>
      <c r="H485" s="213"/>
      <c r="I485" s="213"/>
      <c r="J485" s="213"/>
      <c r="K485" s="213"/>
      <c r="L485" s="213"/>
      <c r="M485" s="213"/>
      <c r="N485" s="213"/>
      <c r="O485" s="213"/>
      <c r="P485" s="213"/>
      <c r="Q485" s="213"/>
      <c r="R485" s="213"/>
      <c r="S485" s="213"/>
      <c r="T485" s="213"/>
      <c r="U485" s="213"/>
      <c r="V485" s="213"/>
      <c r="W485" s="213"/>
      <c r="X485" s="213"/>
      <c r="Y485" s="213"/>
      <c r="Z485" s="213"/>
    </row>
    <row r="486" spans="1:26" ht="14.25">
      <c r="A486" s="213"/>
      <c r="B486" s="213"/>
      <c r="C486" s="213"/>
      <c r="D486" s="213"/>
      <c r="E486" s="213"/>
      <c r="F486" s="213"/>
      <c r="G486" s="213"/>
      <c r="H486" s="213"/>
      <c r="I486" s="213"/>
      <c r="J486" s="213"/>
      <c r="K486" s="213"/>
      <c r="L486" s="213"/>
      <c r="M486" s="213"/>
      <c r="N486" s="213"/>
      <c r="O486" s="213"/>
      <c r="P486" s="213"/>
      <c r="Q486" s="213"/>
      <c r="R486" s="213"/>
      <c r="S486" s="213"/>
      <c r="T486" s="213"/>
      <c r="U486" s="213"/>
      <c r="V486" s="213"/>
      <c r="W486" s="213"/>
      <c r="X486" s="213"/>
      <c r="Y486" s="213"/>
      <c r="Z486" s="213"/>
    </row>
    <row r="487" spans="1:26" ht="14.25">
      <c r="A487" s="213"/>
      <c r="B487" s="213"/>
      <c r="C487" s="213"/>
      <c r="D487" s="213"/>
      <c r="E487" s="213"/>
      <c r="F487" s="213"/>
      <c r="G487" s="213"/>
      <c r="H487" s="213"/>
      <c r="I487" s="213"/>
      <c r="J487" s="213"/>
      <c r="K487" s="213"/>
      <c r="L487" s="213"/>
      <c r="M487" s="213"/>
      <c r="N487" s="213"/>
      <c r="O487" s="213"/>
      <c r="P487" s="213"/>
      <c r="Q487" s="213"/>
      <c r="R487" s="213"/>
      <c r="S487" s="213"/>
      <c r="T487" s="213"/>
      <c r="U487" s="213"/>
      <c r="V487" s="213"/>
      <c r="W487" s="213"/>
      <c r="X487" s="213"/>
      <c r="Y487" s="213"/>
      <c r="Z487" s="213"/>
    </row>
    <row r="488" spans="1:26" ht="14.25">
      <c r="A488" s="213"/>
      <c r="B488" s="213"/>
      <c r="C488" s="213"/>
      <c r="D488" s="213"/>
      <c r="E488" s="213"/>
      <c r="F488" s="213"/>
      <c r="G488" s="213"/>
      <c r="H488" s="213"/>
      <c r="I488" s="213"/>
      <c r="J488" s="213"/>
      <c r="K488" s="213"/>
      <c r="L488" s="213"/>
      <c r="M488" s="213"/>
      <c r="N488" s="213"/>
      <c r="O488" s="213"/>
      <c r="P488" s="213"/>
      <c r="Q488" s="213"/>
      <c r="R488" s="213"/>
      <c r="S488" s="213"/>
      <c r="T488" s="213"/>
      <c r="U488" s="213"/>
      <c r="V488" s="213"/>
      <c r="W488" s="213"/>
      <c r="X488" s="213"/>
      <c r="Y488" s="213"/>
      <c r="Z488" s="213"/>
    </row>
    <row r="489" spans="1:26" ht="14.25">
      <c r="A489" s="213"/>
      <c r="B489" s="213"/>
      <c r="C489" s="213"/>
      <c r="D489" s="213"/>
      <c r="E489" s="213"/>
      <c r="F489" s="213"/>
      <c r="G489" s="213"/>
      <c r="H489" s="213"/>
      <c r="I489" s="213"/>
      <c r="J489" s="213"/>
      <c r="K489" s="213"/>
      <c r="L489" s="213"/>
      <c r="M489" s="213"/>
      <c r="N489" s="213"/>
      <c r="O489" s="213"/>
      <c r="P489" s="213"/>
      <c r="Q489" s="213"/>
      <c r="R489" s="213"/>
      <c r="S489" s="213"/>
      <c r="T489" s="213"/>
      <c r="U489" s="213"/>
      <c r="V489" s="213"/>
      <c r="W489" s="213"/>
      <c r="X489" s="213"/>
      <c r="Y489" s="213"/>
      <c r="Z489" s="213"/>
    </row>
    <row r="490" spans="1:26" ht="14.25">
      <c r="A490" s="213"/>
      <c r="B490" s="213"/>
      <c r="C490" s="213"/>
      <c r="D490" s="213"/>
      <c r="E490" s="213"/>
      <c r="F490" s="213"/>
      <c r="G490" s="213"/>
      <c r="H490" s="213"/>
      <c r="I490" s="213"/>
      <c r="J490" s="213"/>
      <c r="K490" s="213"/>
      <c r="L490" s="213"/>
      <c r="M490" s="213"/>
      <c r="N490" s="213"/>
      <c r="O490" s="213"/>
      <c r="P490" s="213"/>
      <c r="Q490" s="213"/>
      <c r="R490" s="213"/>
      <c r="S490" s="213"/>
      <c r="T490" s="213"/>
      <c r="U490" s="213"/>
      <c r="V490" s="213"/>
      <c r="W490" s="213"/>
      <c r="X490" s="213"/>
      <c r="Y490" s="213"/>
      <c r="Z490" s="213"/>
    </row>
    <row r="491" spans="1:26" ht="14.25">
      <c r="A491" s="213"/>
      <c r="B491" s="213"/>
      <c r="C491" s="213"/>
      <c r="D491" s="213"/>
      <c r="E491" s="213"/>
      <c r="F491" s="213"/>
      <c r="G491" s="213"/>
      <c r="H491" s="213"/>
      <c r="I491" s="213"/>
      <c r="J491" s="213"/>
      <c r="K491" s="213"/>
      <c r="L491" s="213"/>
      <c r="M491" s="213"/>
      <c r="N491" s="213"/>
      <c r="O491" s="213"/>
      <c r="P491" s="213"/>
      <c r="Q491" s="213"/>
      <c r="R491" s="213"/>
      <c r="S491" s="213"/>
      <c r="T491" s="213"/>
      <c r="U491" s="213"/>
      <c r="V491" s="213"/>
      <c r="W491" s="213"/>
      <c r="X491" s="213"/>
      <c r="Y491" s="213"/>
      <c r="Z491" s="213"/>
    </row>
    <row r="492" spans="1:26" ht="14.25">
      <c r="A492" s="213"/>
      <c r="B492" s="213"/>
      <c r="C492" s="213"/>
      <c r="D492" s="213"/>
      <c r="E492" s="213"/>
      <c r="F492" s="213"/>
      <c r="G492" s="213"/>
      <c r="H492" s="213"/>
      <c r="I492" s="213"/>
      <c r="J492" s="213"/>
      <c r="K492" s="213"/>
      <c r="L492" s="213"/>
      <c r="M492" s="213"/>
      <c r="N492" s="213"/>
      <c r="O492" s="213"/>
      <c r="P492" s="213"/>
      <c r="Q492" s="213"/>
      <c r="R492" s="213"/>
      <c r="S492" s="213"/>
      <c r="T492" s="213"/>
      <c r="U492" s="213"/>
      <c r="V492" s="213"/>
      <c r="W492" s="213"/>
      <c r="X492" s="213"/>
      <c r="Y492" s="213"/>
      <c r="Z492" s="213"/>
    </row>
    <row r="493" spans="1:26" ht="14.25">
      <c r="A493" s="213"/>
      <c r="B493" s="213"/>
      <c r="C493" s="213"/>
      <c r="D493" s="213"/>
      <c r="E493" s="213"/>
      <c r="F493" s="213"/>
      <c r="G493" s="213"/>
      <c r="H493" s="213"/>
      <c r="I493" s="213"/>
      <c r="J493" s="213"/>
      <c r="K493" s="213"/>
      <c r="L493" s="213"/>
      <c r="M493" s="213"/>
      <c r="N493" s="213"/>
      <c r="O493" s="213"/>
      <c r="P493" s="213"/>
      <c r="Q493" s="213"/>
      <c r="R493" s="213"/>
      <c r="S493" s="213"/>
      <c r="T493" s="213"/>
      <c r="U493" s="213"/>
      <c r="V493" s="213"/>
      <c r="W493" s="213"/>
      <c r="X493" s="213"/>
      <c r="Y493" s="213"/>
      <c r="Z493" s="213"/>
    </row>
    <row r="494" spans="1:26" ht="14.25">
      <c r="A494" s="213"/>
      <c r="B494" s="213"/>
      <c r="C494" s="213"/>
      <c r="D494" s="213"/>
      <c r="E494" s="213"/>
      <c r="F494" s="213"/>
      <c r="G494" s="213"/>
      <c r="H494" s="213"/>
      <c r="I494" s="213"/>
      <c r="J494" s="213"/>
      <c r="K494" s="213"/>
      <c r="L494" s="213"/>
      <c r="M494" s="213"/>
      <c r="N494" s="213"/>
      <c r="O494" s="213"/>
      <c r="P494" s="213"/>
      <c r="Q494" s="213"/>
      <c r="R494" s="213"/>
      <c r="S494" s="213"/>
      <c r="T494" s="213"/>
      <c r="U494" s="213"/>
      <c r="V494" s="213"/>
      <c r="W494" s="213"/>
      <c r="X494" s="213"/>
      <c r="Y494" s="213"/>
      <c r="Z494" s="213"/>
    </row>
    <row r="495" spans="1:26" ht="14.25">
      <c r="A495" s="213"/>
      <c r="B495" s="213"/>
      <c r="C495" s="213"/>
      <c r="D495" s="213"/>
      <c r="E495" s="213"/>
      <c r="F495" s="213"/>
      <c r="G495" s="213"/>
      <c r="H495" s="213"/>
      <c r="I495" s="213"/>
      <c r="J495" s="213"/>
      <c r="K495" s="213"/>
      <c r="L495" s="213"/>
      <c r="M495" s="213"/>
      <c r="N495" s="213"/>
      <c r="O495" s="213"/>
      <c r="P495" s="213"/>
      <c r="Q495" s="213"/>
      <c r="R495" s="213"/>
      <c r="S495" s="213"/>
      <c r="T495" s="213"/>
      <c r="U495" s="213"/>
      <c r="V495" s="213"/>
      <c r="W495" s="213"/>
      <c r="X495" s="213"/>
      <c r="Y495" s="213"/>
      <c r="Z495" s="213"/>
    </row>
    <row r="496" spans="1:26" ht="14.25">
      <c r="A496" s="213"/>
      <c r="B496" s="213"/>
      <c r="C496" s="213"/>
      <c r="D496" s="213"/>
      <c r="E496" s="213"/>
      <c r="F496" s="213"/>
      <c r="G496" s="213"/>
      <c r="H496" s="213"/>
      <c r="I496" s="213"/>
      <c r="J496" s="213"/>
      <c r="K496" s="213"/>
      <c r="L496" s="213"/>
      <c r="M496" s="213"/>
      <c r="N496" s="213"/>
      <c r="O496" s="213"/>
      <c r="P496" s="213"/>
      <c r="Q496" s="213"/>
      <c r="R496" s="213"/>
      <c r="S496" s="213"/>
      <c r="T496" s="213"/>
      <c r="U496" s="213"/>
      <c r="V496" s="213"/>
      <c r="W496" s="213"/>
      <c r="X496" s="213"/>
      <c r="Y496" s="213"/>
      <c r="Z496" s="213"/>
    </row>
    <row r="497" spans="1:26" ht="14.25">
      <c r="A497" s="213"/>
      <c r="B497" s="213"/>
      <c r="C497" s="213"/>
      <c r="D497" s="213"/>
      <c r="E497" s="213"/>
      <c r="F497" s="213"/>
      <c r="G497" s="213"/>
      <c r="H497" s="213"/>
      <c r="I497" s="213"/>
      <c r="J497" s="213"/>
      <c r="K497" s="213"/>
      <c r="L497" s="213"/>
      <c r="M497" s="213"/>
      <c r="N497" s="213"/>
      <c r="O497" s="213"/>
      <c r="P497" s="213"/>
      <c r="Q497" s="213"/>
      <c r="R497" s="213"/>
      <c r="S497" s="213"/>
      <c r="T497" s="213"/>
      <c r="U497" s="213"/>
      <c r="V497" s="213"/>
      <c r="W497" s="213"/>
      <c r="X497" s="213"/>
      <c r="Y497" s="213"/>
      <c r="Z497" s="213"/>
    </row>
    <row r="498" spans="1:26" ht="14.25">
      <c r="A498" s="213"/>
      <c r="B498" s="213"/>
      <c r="C498" s="213"/>
      <c r="D498" s="213"/>
      <c r="E498" s="213"/>
      <c r="F498" s="213"/>
      <c r="G498" s="213"/>
      <c r="H498" s="213"/>
      <c r="I498" s="213"/>
      <c r="J498" s="213"/>
      <c r="K498" s="213"/>
      <c r="L498" s="213"/>
      <c r="M498" s="213"/>
      <c r="N498" s="213"/>
      <c r="O498" s="213"/>
      <c r="P498" s="213"/>
      <c r="Q498" s="213"/>
      <c r="R498" s="213"/>
      <c r="S498" s="213"/>
      <c r="T498" s="213"/>
      <c r="U498" s="213"/>
      <c r="V498" s="213"/>
      <c r="W498" s="213"/>
      <c r="X498" s="213"/>
      <c r="Y498" s="213"/>
      <c r="Z498" s="213"/>
    </row>
    <row r="499" spans="1:26" ht="14.25">
      <c r="A499" s="213"/>
      <c r="B499" s="213"/>
      <c r="C499" s="213"/>
      <c r="D499" s="213"/>
      <c r="E499" s="213"/>
      <c r="F499" s="213"/>
      <c r="G499" s="213"/>
      <c r="H499" s="213"/>
      <c r="I499" s="213"/>
      <c r="J499" s="213"/>
      <c r="K499" s="213"/>
      <c r="L499" s="213"/>
      <c r="M499" s="213"/>
      <c r="N499" s="213"/>
      <c r="O499" s="213"/>
      <c r="P499" s="213"/>
      <c r="Q499" s="213"/>
      <c r="R499" s="213"/>
      <c r="S499" s="213"/>
      <c r="T499" s="213"/>
      <c r="U499" s="213"/>
      <c r="V499" s="213"/>
      <c r="W499" s="213"/>
      <c r="X499" s="213"/>
      <c r="Y499" s="213"/>
      <c r="Z499" s="213"/>
    </row>
    <row r="500" spans="1:26" ht="14.25">
      <c r="A500" s="213"/>
      <c r="B500" s="213"/>
      <c r="C500" s="213"/>
      <c r="D500" s="213"/>
      <c r="E500" s="213"/>
      <c r="F500" s="213"/>
      <c r="G500" s="213"/>
      <c r="H500" s="213"/>
      <c r="I500" s="213"/>
      <c r="J500" s="213"/>
      <c r="K500" s="213"/>
      <c r="L500" s="213"/>
      <c r="M500" s="213"/>
      <c r="N500" s="213"/>
      <c r="O500" s="213"/>
      <c r="P500" s="213"/>
      <c r="Q500" s="213"/>
      <c r="R500" s="213"/>
      <c r="S500" s="213"/>
      <c r="T500" s="213"/>
      <c r="U500" s="213"/>
      <c r="V500" s="213"/>
      <c r="W500" s="213"/>
      <c r="X500" s="213"/>
      <c r="Y500" s="213"/>
      <c r="Z500" s="213"/>
    </row>
    <row r="501" spans="1:26" ht="14.25">
      <c r="A501" s="213"/>
      <c r="B501" s="213"/>
      <c r="C501" s="213"/>
      <c r="D501" s="213"/>
      <c r="E501" s="213"/>
      <c r="F501" s="213"/>
      <c r="G501" s="213"/>
      <c r="H501" s="213"/>
      <c r="I501" s="213"/>
      <c r="J501" s="213"/>
      <c r="K501" s="213"/>
      <c r="L501" s="213"/>
      <c r="M501" s="213"/>
      <c r="N501" s="213"/>
      <c r="O501" s="213"/>
      <c r="P501" s="213"/>
      <c r="Q501" s="213"/>
      <c r="R501" s="213"/>
      <c r="S501" s="213"/>
      <c r="T501" s="213"/>
      <c r="U501" s="213"/>
      <c r="V501" s="213"/>
      <c r="W501" s="213"/>
      <c r="X501" s="213"/>
      <c r="Y501" s="213"/>
      <c r="Z501" s="213"/>
    </row>
    <row r="502" spans="1:26" ht="14.25">
      <c r="A502" s="213"/>
      <c r="B502" s="213"/>
      <c r="C502" s="213"/>
      <c r="D502" s="213"/>
      <c r="E502" s="213"/>
      <c r="F502" s="213"/>
      <c r="G502" s="213"/>
      <c r="H502" s="213"/>
      <c r="I502" s="213"/>
      <c r="J502" s="213"/>
      <c r="K502" s="213"/>
      <c r="L502" s="213"/>
      <c r="M502" s="213"/>
      <c r="N502" s="213"/>
      <c r="O502" s="213"/>
      <c r="P502" s="213"/>
      <c r="Q502" s="213"/>
      <c r="R502" s="213"/>
      <c r="S502" s="213"/>
      <c r="T502" s="213"/>
      <c r="U502" s="213"/>
      <c r="V502" s="213"/>
      <c r="W502" s="213"/>
      <c r="X502" s="213"/>
      <c r="Y502" s="213"/>
      <c r="Z502" s="213"/>
    </row>
    <row r="503" spans="1:26" ht="14.25">
      <c r="A503" s="213"/>
      <c r="B503" s="213"/>
      <c r="C503" s="213"/>
      <c r="D503" s="213"/>
      <c r="E503" s="213"/>
      <c r="F503" s="213"/>
      <c r="G503" s="213"/>
      <c r="H503" s="213"/>
      <c r="I503" s="213"/>
      <c r="J503" s="213"/>
      <c r="K503" s="213"/>
      <c r="L503" s="213"/>
      <c r="M503" s="213"/>
      <c r="N503" s="213"/>
      <c r="O503" s="213"/>
      <c r="P503" s="213"/>
      <c r="Q503" s="213"/>
      <c r="R503" s="213"/>
      <c r="S503" s="213"/>
      <c r="T503" s="213"/>
      <c r="U503" s="213"/>
      <c r="V503" s="213"/>
      <c r="W503" s="213"/>
      <c r="X503" s="213"/>
      <c r="Y503" s="213"/>
      <c r="Z503" s="213"/>
    </row>
    <row r="504" spans="1:26" ht="14.25">
      <c r="A504" s="213"/>
      <c r="B504" s="213"/>
      <c r="C504" s="213"/>
      <c r="D504" s="213"/>
      <c r="E504" s="213"/>
      <c r="F504" s="213"/>
      <c r="G504" s="213"/>
      <c r="H504" s="213"/>
      <c r="I504" s="213"/>
      <c r="J504" s="213"/>
      <c r="K504" s="213"/>
      <c r="L504" s="213"/>
      <c r="M504" s="213"/>
      <c r="N504" s="213"/>
      <c r="O504" s="213"/>
      <c r="P504" s="213"/>
      <c r="Q504" s="213"/>
      <c r="R504" s="213"/>
      <c r="S504" s="213"/>
      <c r="T504" s="213"/>
      <c r="U504" s="213"/>
      <c r="V504" s="213"/>
      <c r="W504" s="213"/>
      <c r="X504" s="213"/>
      <c r="Y504" s="213"/>
      <c r="Z504" s="213"/>
    </row>
    <row r="505" spans="1:26" ht="14.25">
      <c r="A505" s="213"/>
      <c r="B505" s="213"/>
      <c r="C505" s="213"/>
      <c r="D505" s="213"/>
      <c r="E505" s="213"/>
      <c r="F505" s="213"/>
      <c r="G505" s="213"/>
      <c r="H505" s="213"/>
      <c r="I505" s="213"/>
      <c r="J505" s="213"/>
      <c r="K505" s="213"/>
      <c r="L505" s="213"/>
      <c r="M505" s="213"/>
      <c r="N505" s="213"/>
      <c r="O505" s="213"/>
      <c r="P505" s="213"/>
      <c r="Q505" s="213"/>
      <c r="R505" s="213"/>
      <c r="S505" s="213"/>
      <c r="T505" s="213"/>
      <c r="U505" s="213"/>
      <c r="V505" s="213"/>
      <c r="W505" s="213"/>
      <c r="X505" s="213"/>
      <c r="Y505" s="213"/>
      <c r="Z505" s="213"/>
    </row>
    <row r="506" spans="1:26" ht="14.25">
      <c r="A506" s="213"/>
      <c r="B506" s="213"/>
      <c r="C506" s="213"/>
      <c r="D506" s="213"/>
      <c r="E506" s="213"/>
      <c r="F506" s="213"/>
      <c r="G506" s="213"/>
      <c r="H506" s="213"/>
      <c r="I506" s="213"/>
      <c r="J506" s="213"/>
      <c r="K506" s="213"/>
      <c r="L506" s="213"/>
      <c r="M506" s="213"/>
      <c r="N506" s="213"/>
      <c r="O506" s="213"/>
      <c r="P506" s="213"/>
      <c r="Q506" s="213"/>
      <c r="R506" s="213"/>
      <c r="S506" s="213"/>
      <c r="T506" s="213"/>
      <c r="U506" s="213"/>
      <c r="V506" s="213"/>
      <c r="W506" s="213"/>
      <c r="X506" s="213"/>
      <c r="Y506" s="213"/>
      <c r="Z506" s="213"/>
    </row>
    <row r="507" spans="1:26" ht="14.25">
      <c r="A507" s="213"/>
      <c r="B507" s="213"/>
      <c r="C507" s="213"/>
      <c r="D507" s="213"/>
      <c r="E507" s="213"/>
      <c r="F507" s="213"/>
      <c r="G507" s="213"/>
      <c r="H507" s="213"/>
      <c r="I507" s="213"/>
      <c r="J507" s="213"/>
      <c r="K507" s="213"/>
      <c r="L507" s="213"/>
      <c r="M507" s="213"/>
      <c r="N507" s="213"/>
      <c r="O507" s="213"/>
      <c r="P507" s="213"/>
      <c r="Q507" s="213"/>
      <c r="R507" s="213"/>
      <c r="S507" s="213"/>
      <c r="T507" s="213"/>
      <c r="U507" s="213"/>
      <c r="V507" s="213"/>
      <c r="W507" s="213"/>
      <c r="X507" s="213"/>
      <c r="Y507" s="213"/>
      <c r="Z507" s="213"/>
    </row>
    <row r="508" spans="1:26" ht="14.25">
      <c r="A508" s="213"/>
      <c r="B508" s="213"/>
      <c r="C508" s="213"/>
      <c r="D508" s="213"/>
      <c r="E508" s="213"/>
      <c r="F508" s="213"/>
      <c r="G508" s="213"/>
      <c r="H508" s="213"/>
      <c r="I508" s="213"/>
      <c r="J508" s="213"/>
      <c r="K508" s="213"/>
      <c r="L508" s="213"/>
      <c r="M508" s="213"/>
      <c r="N508" s="213"/>
      <c r="O508" s="213"/>
      <c r="P508" s="213"/>
      <c r="Q508" s="213"/>
      <c r="R508" s="213"/>
      <c r="S508" s="213"/>
      <c r="T508" s="213"/>
      <c r="U508" s="213"/>
      <c r="V508" s="213"/>
      <c r="W508" s="213"/>
      <c r="X508" s="213"/>
      <c r="Y508" s="213"/>
      <c r="Z508" s="213"/>
    </row>
    <row r="509" spans="1:26" ht="14.25">
      <c r="A509" s="213"/>
      <c r="B509" s="213"/>
      <c r="C509" s="213"/>
      <c r="D509" s="213"/>
      <c r="E509" s="213"/>
      <c r="F509" s="213"/>
      <c r="G509" s="213"/>
      <c r="H509" s="213"/>
      <c r="I509" s="213"/>
      <c r="J509" s="213"/>
      <c r="K509" s="213"/>
      <c r="L509" s="213"/>
      <c r="M509" s="213"/>
      <c r="N509" s="213"/>
      <c r="O509" s="213"/>
      <c r="P509" s="213"/>
      <c r="Q509" s="213"/>
      <c r="R509" s="213"/>
      <c r="S509" s="213"/>
      <c r="T509" s="213"/>
      <c r="U509" s="213"/>
      <c r="V509" s="213"/>
      <c r="W509" s="213"/>
      <c r="X509" s="213"/>
      <c r="Y509" s="213"/>
      <c r="Z509" s="213"/>
    </row>
    <row r="510" spans="1:26" ht="14.25">
      <c r="A510" s="213"/>
      <c r="B510" s="213"/>
      <c r="C510" s="213"/>
      <c r="D510" s="213"/>
      <c r="E510" s="213"/>
      <c r="F510" s="213"/>
      <c r="G510" s="213"/>
      <c r="H510" s="213"/>
      <c r="I510" s="213"/>
      <c r="J510" s="213"/>
      <c r="K510" s="213"/>
      <c r="L510" s="213"/>
      <c r="M510" s="213"/>
      <c r="N510" s="213"/>
      <c r="O510" s="213"/>
      <c r="P510" s="213"/>
      <c r="Q510" s="213"/>
      <c r="R510" s="213"/>
      <c r="S510" s="213"/>
      <c r="T510" s="213"/>
      <c r="U510" s="213"/>
      <c r="V510" s="213"/>
      <c r="W510" s="213"/>
      <c r="X510" s="213"/>
      <c r="Y510" s="213"/>
      <c r="Z510" s="213"/>
    </row>
    <row r="511" spans="1:26" ht="14.25">
      <c r="A511" s="213"/>
      <c r="B511" s="213"/>
      <c r="C511" s="213"/>
      <c r="D511" s="213"/>
      <c r="E511" s="213"/>
      <c r="F511" s="213"/>
      <c r="G511" s="213"/>
      <c r="H511" s="213"/>
      <c r="I511" s="213"/>
      <c r="J511" s="213"/>
      <c r="K511" s="213"/>
      <c r="L511" s="213"/>
      <c r="M511" s="213"/>
      <c r="N511" s="213"/>
      <c r="O511" s="213"/>
      <c r="P511" s="213"/>
      <c r="Q511" s="213"/>
      <c r="R511" s="213"/>
      <c r="S511" s="213"/>
      <c r="T511" s="213"/>
      <c r="U511" s="213"/>
      <c r="V511" s="213"/>
      <c r="W511" s="213"/>
      <c r="X511" s="213"/>
      <c r="Y511" s="213"/>
      <c r="Z511" s="213"/>
    </row>
    <row r="512" spans="1:26" ht="14.25">
      <c r="A512" s="213"/>
      <c r="B512" s="213"/>
      <c r="C512" s="213"/>
      <c r="D512" s="213"/>
      <c r="E512" s="213"/>
      <c r="F512" s="213"/>
      <c r="G512" s="213"/>
      <c r="H512" s="213"/>
      <c r="I512" s="213"/>
      <c r="J512" s="213"/>
      <c r="K512" s="213"/>
      <c r="L512" s="213"/>
      <c r="M512" s="213"/>
      <c r="N512" s="213"/>
      <c r="O512" s="213"/>
      <c r="P512" s="213"/>
      <c r="Q512" s="213"/>
      <c r="R512" s="213"/>
      <c r="S512" s="213"/>
      <c r="T512" s="213"/>
      <c r="U512" s="213"/>
      <c r="V512" s="213"/>
      <c r="W512" s="213"/>
      <c r="X512" s="213"/>
      <c r="Y512" s="213"/>
      <c r="Z512" s="213"/>
    </row>
    <row r="513" spans="1:26" ht="14.25">
      <c r="A513" s="213"/>
      <c r="B513" s="213"/>
      <c r="C513" s="213"/>
      <c r="D513" s="213"/>
      <c r="E513" s="213"/>
      <c r="F513" s="213"/>
      <c r="G513" s="213"/>
      <c r="H513" s="213"/>
      <c r="I513" s="213"/>
      <c r="J513" s="213"/>
      <c r="K513" s="213"/>
      <c r="L513" s="213"/>
      <c r="M513" s="213"/>
      <c r="N513" s="213"/>
      <c r="O513" s="213"/>
      <c r="P513" s="213"/>
      <c r="Q513" s="213"/>
      <c r="R513" s="213"/>
      <c r="S513" s="213"/>
      <c r="T513" s="213"/>
      <c r="U513" s="213"/>
      <c r="V513" s="213"/>
      <c r="W513" s="213"/>
      <c r="X513" s="213"/>
      <c r="Y513" s="213"/>
      <c r="Z513" s="213"/>
    </row>
    <row r="514" spans="1:26" ht="14.25">
      <c r="A514" s="213"/>
      <c r="B514" s="213"/>
      <c r="C514" s="213"/>
      <c r="D514" s="213"/>
      <c r="E514" s="213"/>
      <c r="F514" s="213"/>
      <c r="G514" s="213"/>
      <c r="H514" s="213"/>
      <c r="I514" s="213"/>
      <c r="J514" s="213"/>
      <c r="K514" s="213"/>
      <c r="L514" s="213"/>
      <c r="M514" s="213"/>
      <c r="N514" s="213"/>
      <c r="O514" s="213"/>
      <c r="P514" s="213"/>
      <c r="Q514" s="213"/>
      <c r="R514" s="213"/>
      <c r="S514" s="213"/>
      <c r="T514" s="213"/>
      <c r="U514" s="213"/>
      <c r="V514" s="213"/>
      <c r="W514" s="213"/>
      <c r="X514" s="213"/>
      <c r="Y514" s="213"/>
      <c r="Z514" s="213"/>
    </row>
    <row r="515" spans="1:26" ht="14.25">
      <c r="A515" s="213"/>
      <c r="B515" s="213"/>
      <c r="C515" s="213"/>
      <c r="D515" s="213"/>
      <c r="E515" s="213"/>
      <c r="F515" s="213"/>
      <c r="G515" s="213"/>
      <c r="H515" s="213"/>
      <c r="I515" s="213"/>
      <c r="J515" s="213"/>
      <c r="K515" s="213"/>
      <c r="L515" s="213"/>
      <c r="M515" s="213"/>
      <c r="N515" s="213"/>
      <c r="O515" s="213"/>
      <c r="P515" s="213"/>
      <c r="Q515" s="213"/>
      <c r="R515" s="213"/>
      <c r="S515" s="213"/>
      <c r="T515" s="213"/>
      <c r="U515" s="213"/>
      <c r="V515" s="213"/>
      <c r="W515" s="213"/>
      <c r="X515" s="213"/>
      <c r="Y515" s="213"/>
      <c r="Z515" s="213"/>
    </row>
    <row r="516" spans="1:26" ht="14.25">
      <c r="A516" s="213"/>
      <c r="B516" s="213"/>
      <c r="C516" s="213"/>
      <c r="D516" s="213"/>
      <c r="E516" s="213"/>
      <c r="F516" s="213"/>
      <c r="G516" s="213"/>
      <c r="H516" s="213"/>
      <c r="I516" s="213"/>
      <c r="J516" s="213"/>
      <c r="K516" s="213"/>
      <c r="L516" s="213"/>
      <c r="M516" s="213"/>
      <c r="N516" s="213"/>
      <c r="O516" s="213"/>
      <c r="P516" s="213"/>
      <c r="Q516" s="213"/>
      <c r="R516" s="213"/>
      <c r="S516" s="213"/>
      <c r="T516" s="213"/>
      <c r="U516" s="213"/>
      <c r="V516" s="213"/>
      <c r="W516" s="213"/>
      <c r="X516" s="213"/>
      <c r="Y516" s="213"/>
      <c r="Z516" s="213"/>
    </row>
    <row r="517" spans="1:26" ht="14.25">
      <c r="A517" s="213"/>
      <c r="B517" s="213"/>
      <c r="C517" s="213"/>
      <c r="D517" s="213"/>
      <c r="E517" s="213"/>
      <c r="F517" s="213"/>
      <c r="G517" s="213"/>
      <c r="H517" s="213"/>
      <c r="I517" s="213"/>
      <c r="J517" s="213"/>
      <c r="K517" s="213"/>
      <c r="L517" s="213"/>
      <c r="M517" s="213"/>
      <c r="N517" s="213"/>
      <c r="O517" s="213"/>
      <c r="P517" s="213"/>
      <c r="Q517" s="213"/>
      <c r="R517" s="213"/>
      <c r="S517" s="213"/>
      <c r="T517" s="213"/>
      <c r="U517" s="213"/>
      <c r="V517" s="213"/>
      <c r="W517" s="213"/>
      <c r="X517" s="213"/>
      <c r="Y517" s="213"/>
      <c r="Z517" s="213"/>
    </row>
    <row r="518" spans="1:26" ht="14.25">
      <c r="A518" s="213"/>
      <c r="B518" s="213"/>
      <c r="C518" s="213"/>
      <c r="D518" s="213"/>
      <c r="E518" s="213"/>
      <c r="F518" s="213"/>
      <c r="G518" s="213"/>
      <c r="H518" s="213"/>
      <c r="I518" s="213"/>
      <c r="J518" s="213"/>
      <c r="K518" s="213"/>
      <c r="L518" s="213"/>
      <c r="M518" s="213"/>
      <c r="N518" s="213"/>
      <c r="O518" s="213"/>
      <c r="P518" s="213"/>
      <c r="Q518" s="213"/>
      <c r="R518" s="213"/>
      <c r="S518" s="213"/>
      <c r="T518" s="213"/>
      <c r="U518" s="213"/>
      <c r="V518" s="213"/>
      <c r="W518" s="213"/>
      <c r="X518" s="213"/>
      <c r="Y518" s="213"/>
      <c r="Z518" s="213"/>
    </row>
    <row r="519" spans="1:26" ht="14.25">
      <c r="A519" s="213"/>
      <c r="B519" s="213"/>
      <c r="C519" s="213"/>
      <c r="D519" s="213"/>
      <c r="E519" s="213"/>
      <c r="F519" s="213"/>
      <c r="G519" s="213"/>
      <c r="H519" s="213"/>
      <c r="I519" s="213"/>
      <c r="J519" s="213"/>
      <c r="K519" s="213"/>
      <c r="L519" s="213"/>
      <c r="M519" s="213"/>
      <c r="N519" s="213"/>
      <c r="O519" s="213"/>
      <c r="P519" s="213"/>
      <c r="Q519" s="213"/>
      <c r="R519" s="213"/>
      <c r="S519" s="213"/>
      <c r="T519" s="213"/>
      <c r="U519" s="213"/>
      <c r="V519" s="213"/>
      <c r="W519" s="213"/>
      <c r="X519" s="213"/>
      <c r="Y519" s="213"/>
      <c r="Z519" s="213"/>
    </row>
    <row r="520" spans="1:26" ht="14.25">
      <c r="A520" s="213"/>
      <c r="B520" s="213"/>
      <c r="C520" s="213"/>
      <c r="D520" s="213"/>
      <c r="E520" s="213"/>
      <c r="F520" s="213"/>
      <c r="G520" s="213"/>
      <c r="H520" s="213"/>
      <c r="I520" s="213"/>
      <c r="J520" s="213"/>
      <c r="K520" s="213"/>
      <c r="L520" s="213"/>
      <c r="M520" s="213"/>
      <c r="N520" s="213"/>
      <c r="O520" s="213"/>
      <c r="P520" s="213"/>
      <c r="Q520" s="213"/>
      <c r="R520" s="213"/>
      <c r="S520" s="213"/>
      <c r="T520" s="213"/>
      <c r="U520" s="213"/>
      <c r="V520" s="213"/>
      <c r="W520" s="213"/>
      <c r="X520" s="213"/>
      <c r="Y520" s="213"/>
      <c r="Z520" s="213"/>
    </row>
    <row r="521" spans="1:26" ht="14.25">
      <c r="A521" s="213"/>
      <c r="B521" s="213"/>
      <c r="C521" s="213"/>
      <c r="D521" s="213"/>
      <c r="E521" s="213"/>
      <c r="F521" s="213"/>
      <c r="G521" s="213"/>
      <c r="H521" s="213"/>
      <c r="I521" s="213"/>
      <c r="J521" s="213"/>
      <c r="K521" s="213"/>
      <c r="L521" s="213"/>
      <c r="M521" s="213"/>
      <c r="N521" s="213"/>
      <c r="O521" s="213"/>
      <c r="P521" s="213"/>
      <c r="Q521" s="213"/>
      <c r="R521" s="213"/>
      <c r="S521" s="213"/>
      <c r="T521" s="213"/>
      <c r="U521" s="213"/>
      <c r="V521" s="213"/>
      <c r="W521" s="213"/>
      <c r="X521" s="213"/>
      <c r="Y521" s="213"/>
      <c r="Z521" s="213"/>
    </row>
    <row r="522" spans="1:26" ht="14.25">
      <c r="A522" s="213"/>
      <c r="B522" s="213"/>
      <c r="C522" s="213"/>
      <c r="D522" s="213"/>
      <c r="E522" s="213"/>
      <c r="F522" s="213"/>
      <c r="G522" s="213"/>
      <c r="H522" s="213"/>
      <c r="I522" s="213"/>
      <c r="J522" s="213"/>
      <c r="K522" s="213"/>
      <c r="L522" s="213"/>
      <c r="M522" s="213"/>
      <c r="N522" s="213"/>
      <c r="O522" s="213"/>
      <c r="P522" s="213"/>
      <c r="Q522" s="213"/>
      <c r="R522" s="213"/>
      <c r="S522" s="213"/>
      <c r="T522" s="213"/>
      <c r="U522" s="213"/>
      <c r="V522" s="213"/>
      <c r="W522" s="213"/>
      <c r="X522" s="213"/>
      <c r="Y522" s="213"/>
      <c r="Z522" s="213"/>
    </row>
    <row r="523" spans="1:26" ht="14.25">
      <c r="A523" s="213"/>
      <c r="B523" s="213"/>
      <c r="C523" s="213"/>
      <c r="D523" s="213"/>
      <c r="E523" s="213"/>
      <c r="F523" s="213"/>
      <c r="G523" s="213"/>
      <c r="H523" s="213"/>
      <c r="I523" s="213"/>
      <c r="J523" s="213"/>
      <c r="K523" s="213"/>
      <c r="L523" s="213"/>
      <c r="M523" s="213"/>
      <c r="N523" s="213"/>
      <c r="O523" s="213"/>
      <c r="P523" s="213"/>
      <c r="Q523" s="213"/>
      <c r="R523" s="213"/>
      <c r="S523" s="213"/>
      <c r="T523" s="213"/>
      <c r="U523" s="213"/>
      <c r="V523" s="213"/>
      <c r="W523" s="213"/>
      <c r="X523" s="213"/>
      <c r="Y523" s="213"/>
      <c r="Z523" s="213"/>
    </row>
    <row r="524" spans="1:26" ht="14.25">
      <c r="A524" s="213"/>
      <c r="B524" s="213"/>
      <c r="C524" s="213"/>
      <c r="D524" s="213"/>
      <c r="E524" s="213"/>
      <c r="F524" s="213"/>
      <c r="G524" s="213"/>
      <c r="H524" s="213"/>
      <c r="I524" s="213"/>
      <c r="J524" s="213"/>
      <c r="K524" s="213"/>
      <c r="L524" s="213"/>
      <c r="M524" s="213"/>
      <c r="N524" s="213"/>
      <c r="O524" s="213"/>
      <c r="P524" s="213"/>
      <c r="Q524" s="213"/>
      <c r="R524" s="213"/>
      <c r="S524" s="213"/>
      <c r="T524" s="213"/>
      <c r="U524" s="213"/>
      <c r="V524" s="213"/>
      <c r="W524" s="213"/>
      <c r="X524" s="213"/>
      <c r="Y524" s="213"/>
      <c r="Z524" s="213"/>
    </row>
    <row r="525" spans="1:26" ht="14.25">
      <c r="A525" s="213"/>
      <c r="B525" s="213"/>
      <c r="C525" s="213"/>
      <c r="D525" s="213"/>
      <c r="E525" s="213"/>
      <c r="F525" s="213"/>
      <c r="G525" s="213"/>
      <c r="H525" s="213"/>
      <c r="I525" s="213"/>
      <c r="J525" s="213"/>
      <c r="K525" s="213"/>
      <c r="L525" s="213"/>
      <c r="M525" s="213"/>
      <c r="N525" s="213"/>
      <c r="O525" s="213"/>
      <c r="P525" s="213"/>
      <c r="Q525" s="213"/>
      <c r="R525" s="213"/>
      <c r="S525" s="213"/>
      <c r="T525" s="213"/>
      <c r="U525" s="213"/>
      <c r="V525" s="213"/>
      <c r="W525" s="213"/>
      <c r="X525" s="213"/>
      <c r="Y525" s="213"/>
      <c r="Z525" s="213"/>
    </row>
    <row r="526" spans="1:26" ht="14.25">
      <c r="A526" s="213"/>
      <c r="B526" s="213"/>
      <c r="C526" s="213"/>
      <c r="D526" s="213"/>
      <c r="E526" s="213"/>
      <c r="F526" s="213"/>
      <c r="G526" s="213"/>
      <c r="H526" s="213"/>
      <c r="I526" s="213"/>
      <c r="J526" s="213"/>
      <c r="K526" s="213"/>
      <c r="L526" s="213"/>
      <c r="M526" s="213"/>
      <c r="N526" s="213"/>
      <c r="O526" s="213"/>
      <c r="P526" s="213"/>
      <c r="Q526" s="213"/>
      <c r="R526" s="213"/>
      <c r="S526" s="213"/>
      <c r="T526" s="213"/>
      <c r="U526" s="213"/>
      <c r="V526" s="213"/>
      <c r="W526" s="213"/>
      <c r="X526" s="213"/>
      <c r="Y526" s="213"/>
      <c r="Z526" s="213"/>
    </row>
    <row r="527" spans="1:26" ht="14.25">
      <c r="A527" s="213"/>
      <c r="B527" s="213"/>
      <c r="C527" s="213"/>
      <c r="D527" s="213"/>
      <c r="E527" s="213"/>
      <c r="F527" s="213"/>
      <c r="G527" s="213"/>
      <c r="H527" s="213"/>
      <c r="I527" s="213"/>
      <c r="J527" s="213"/>
      <c r="K527" s="213"/>
      <c r="L527" s="213"/>
      <c r="M527" s="213"/>
      <c r="N527" s="213"/>
      <c r="O527" s="213"/>
      <c r="P527" s="213"/>
      <c r="Q527" s="213"/>
      <c r="R527" s="213"/>
      <c r="S527" s="213"/>
      <c r="T527" s="213"/>
      <c r="U527" s="213"/>
      <c r="V527" s="213"/>
      <c r="W527" s="213"/>
      <c r="X527" s="213"/>
      <c r="Y527" s="213"/>
      <c r="Z527" s="213"/>
    </row>
    <row r="528" spans="1:26" ht="14.25">
      <c r="A528" s="213"/>
      <c r="B528" s="213"/>
      <c r="C528" s="213"/>
      <c r="D528" s="213"/>
      <c r="E528" s="213"/>
      <c r="F528" s="213"/>
      <c r="G528" s="213"/>
      <c r="H528" s="213"/>
      <c r="I528" s="213"/>
      <c r="J528" s="213"/>
      <c r="K528" s="213"/>
      <c r="L528" s="213"/>
      <c r="M528" s="213"/>
      <c r="N528" s="213"/>
      <c r="O528" s="213"/>
      <c r="P528" s="213"/>
      <c r="Q528" s="213"/>
      <c r="R528" s="213"/>
      <c r="S528" s="213"/>
      <c r="T528" s="213"/>
      <c r="U528" s="213"/>
      <c r="V528" s="213"/>
      <c r="W528" s="213"/>
      <c r="X528" s="213"/>
      <c r="Y528" s="213"/>
      <c r="Z528" s="213"/>
    </row>
    <row r="529" spans="1:26" ht="14.25">
      <c r="A529" s="213"/>
      <c r="B529" s="213"/>
      <c r="C529" s="213"/>
      <c r="D529" s="213"/>
      <c r="E529" s="213"/>
      <c r="F529" s="213"/>
      <c r="G529" s="213"/>
      <c r="H529" s="213"/>
      <c r="I529" s="213"/>
      <c r="J529" s="213"/>
      <c r="K529" s="213"/>
      <c r="L529" s="213"/>
      <c r="M529" s="213"/>
      <c r="N529" s="213"/>
      <c r="O529" s="213"/>
      <c r="P529" s="213"/>
      <c r="Q529" s="213"/>
      <c r="R529" s="213"/>
      <c r="S529" s="213"/>
      <c r="T529" s="213"/>
      <c r="U529" s="213"/>
      <c r="V529" s="213"/>
      <c r="W529" s="213"/>
      <c r="X529" s="213"/>
      <c r="Y529" s="213"/>
      <c r="Z529" s="213"/>
    </row>
    <row r="530" spans="1:26" ht="14.25">
      <c r="A530" s="213"/>
      <c r="B530" s="213"/>
      <c r="C530" s="213"/>
      <c r="D530" s="213"/>
      <c r="E530" s="213"/>
      <c r="F530" s="213"/>
      <c r="G530" s="213"/>
      <c r="H530" s="213"/>
      <c r="I530" s="213"/>
      <c r="J530" s="213"/>
      <c r="K530" s="213"/>
      <c r="L530" s="213"/>
      <c r="M530" s="213"/>
      <c r="N530" s="213"/>
      <c r="O530" s="213"/>
      <c r="P530" s="213"/>
      <c r="Q530" s="213"/>
      <c r="R530" s="213"/>
      <c r="S530" s="213"/>
      <c r="T530" s="213"/>
      <c r="U530" s="213"/>
      <c r="V530" s="213"/>
      <c r="W530" s="213"/>
      <c r="X530" s="213"/>
      <c r="Y530" s="213"/>
      <c r="Z530" s="213"/>
    </row>
    <row r="531" spans="1:26" ht="14.25">
      <c r="A531" s="213"/>
      <c r="B531" s="213"/>
      <c r="C531" s="213"/>
      <c r="D531" s="213"/>
      <c r="E531" s="213"/>
      <c r="F531" s="213"/>
      <c r="G531" s="213"/>
      <c r="H531" s="213"/>
      <c r="I531" s="213"/>
      <c r="J531" s="213"/>
      <c r="K531" s="213"/>
      <c r="L531" s="213"/>
      <c r="M531" s="213"/>
      <c r="N531" s="213"/>
      <c r="O531" s="213"/>
      <c r="P531" s="213"/>
      <c r="Q531" s="213"/>
      <c r="R531" s="213"/>
      <c r="S531" s="213"/>
      <c r="T531" s="213"/>
      <c r="U531" s="213"/>
      <c r="V531" s="213"/>
      <c r="W531" s="213"/>
      <c r="X531" s="213"/>
      <c r="Y531" s="213"/>
      <c r="Z531" s="213"/>
    </row>
    <row r="532" spans="1:26" ht="14.25">
      <c r="A532" s="213"/>
      <c r="B532" s="213"/>
      <c r="C532" s="213"/>
      <c r="D532" s="213"/>
      <c r="E532" s="213"/>
      <c r="F532" s="213"/>
      <c r="G532" s="213"/>
      <c r="H532" s="213"/>
      <c r="I532" s="213"/>
      <c r="J532" s="213"/>
      <c r="K532" s="213"/>
      <c r="L532" s="213"/>
      <c r="M532" s="213"/>
      <c r="N532" s="213"/>
      <c r="O532" s="213"/>
      <c r="P532" s="213"/>
      <c r="Q532" s="213"/>
      <c r="R532" s="213"/>
      <c r="S532" s="213"/>
      <c r="T532" s="213"/>
      <c r="U532" s="213"/>
      <c r="V532" s="213"/>
      <c r="W532" s="213"/>
      <c r="X532" s="213"/>
      <c r="Y532" s="213"/>
      <c r="Z532" s="213"/>
    </row>
    <row r="533" spans="1:26" ht="14.25">
      <c r="A533" s="213"/>
      <c r="B533" s="213"/>
      <c r="C533" s="213"/>
      <c r="D533" s="213"/>
      <c r="E533" s="213"/>
      <c r="F533" s="213"/>
      <c r="G533" s="213"/>
      <c r="H533" s="213"/>
      <c r="I533" s="213"/>
      <c r="J533" s="213"/>
      <c r="K533" s="213"/>
      <c r="L533" s="213"/>
      <c r="M533" s="213"/>
      <c r="N533" s="213"/>
      <c r="O533" s="213"/>
      <c r="P533" s="213"/>
      <c r="Q533" s="213"/>
      <c r="R533" s="213"/>
      <c r="S533" s="213"/>
      <c r="T533" s="213"/>
      <c r="U533" s="213"/>
      <c r="V533" s="213"/>
      <c r="W533" s="213"/>
      <c r="X533" s="213"/>
      <c r="Y533" s="213"/>
      <c r="Z533" s="213"/>
    </row>
    <row r="534" spans="1:26" ht="14.25">
      <c r="A534" s="213"/>
      <c r="B534" s="213"/>
      <c r="C534" s="213"/>
      <c r="D534" s="213"/>
      <c r="E534" s="213"/>
      <c r="F534" s="213"/>
      <c r="G534" s="213"/>
      <c r="H534" s="213"/>
      <c r="I534" s="213"/>
      <c r="J534" s="213"/>
      <c r="K534" s="213"/>
      <c r="L534" s="213"/>
      <c r="M534" s="213"/>
      <c r="N534" s="213"/>
      <c r="O534" s="213"/>
      <c r="P534" s="213"/>
      <c r="Q534" s="213"/>
      <c r="R534" s="213"/>
      <c r="S534" s="213"/>
      <c r="T534" s="213"/>
      <c r="U534" s="213"/>
      <c r="V534" s="213"/>
      <c r="W534" s="213"/>
      <c r="X534" s="213"/>
      <c r="Y534" s="213"/>
      <c r="Z534" s="213"/>
    </row>
    <row r="535" spans="1:26" ht="14.25">
      <c r="A535" s="213"/>
      <c r="B535" s="213"/>
      <c r="C535" s="213"/>
      <c r="D535" s="213"/>
      <c r="E535" s="213"/>
      <c r="F535" s="213"/>
      <c r="G535" s="213"/>
      <c r="H535" s="213"/>
      <c r="I535" s="213"/>
      <c r="J535" s="213"/>
      <c r="K535" s="213"/>
      <c r="L535" s="213"/>
      <c r="M535" s="213"/>
      <c r="N535" s="213"/>
      <c r="O535" s="213"/>
      <c r="P535" s="213"/>
      <c r="Q535" s="213"/>
      <c r="R535" s="213"/>
      <c r="S535" s="213"/>
      <c r="T535" s="213"/>
      <c r="U535" s="213"/>
      <c r="V535" s="213"/>
      <c r="W535" s="213"/>
      <c r="X535" s="213"/>
      <c r="Y535" s="213"/>
      <c r="Z535" s="213"/>
    </row>
    <row r="536" spans="1:26" ht="14.25">
      <c r="A536" s="213"/>
      <c r="B536" s="213"/>
      <c r="C536" s="213"/>
      <c r="D536" s="213"/>
      <c r="E536" s="213"/>
      <c r="F536" s="213"/>
      <c r="G536" s="213"/>
      <c r="H536" s="213"/>
      <c r="I536" s="213"/>
      <c r="J536" s="213"/>
      <c r="K536" s="213"/>
      <c r="L536" s="213"/>
      <c r="M536" s="213"/>
      <c r="N536" s="213"/>
      <c r="O536" s="213"/>
      <c r="P536" s="213"/>
      <c r="Q536" s="213"/>
      <c r="R536" s="213"/>
      <c r="S536" s="213"/>
      <c r="T536" s="213"/>
      <c r="U536" s="213"/>
      <c r="V536" s="213"/>
      <c r="W536" s="213"/>
      <c r="X536" s="213"/>
      <c r="Y536" s="213"/>
      <c r="Z536" s="213"/>
    </row>
    <row r="537" spans="1:26" ht="14.25">
      <c r="A537" s="213"/>
      <c r="B537" s="213"/>
      <c r="C537" s="213"/>
      <c r="D537" s="213"/>
      <c r="E537" s="213"/>
      <c r="F537" s="213"/>
      <c r="G537" s="213"/>
      <c r="H537" s="213"/>
      <c r="I537" s="213"/>
      <c r="J537" s="213"/>
      <c r="K537" s="213"/>
      <c r="L537" s="213"/>
      <c r="M537" s="213"/>
      <c r="N537" s="213"/>
      <c r="O537" s="213"/>
      <c r="P537" s="213"/>
      <c r="Q537" s="213"/>
      <c r="R537" s="213"/>
      <c r="S537" s="213"/>
      <c r="T537" s="213"/>
      <c r="U537" s="213"/>
      <c r="V537" s="213"/>
      <c r="W537" s="213"/>
      <c r="X537" s="213"/>
      <c r="Y537" s="213"/>
      <c r="Z537" s="213"/>
    </row>
    <row r="538" spans="1:26" ht="14.25">
      <c r="A538" s="213"/>
      <c r="B538" s="213"/>
      <c r="C538" s="213"/>
      <c r="D538" s="213"/>
      <c r="E538" s="213"/>
      <c r="F538" s="213"/>
      <c r="G538" s="213"/>
      <c r="H538" s="213"/>
      <c r="I538" s="213"/>
      <c r="J538" s="213"/>
      <c r="K538" s="213"/>
      <c r="L538" s="213"/>
      <c r="M538" s="213"/>
      <c r="N538" s="213"/>
      <c r="O538" s="213"/>
      <c r="P538" s="213"/>
      <c r="Q538" s="213"/>
      <c r="R538" s="213"/>
      <c r="S538" s="213"/>
      <c r="T538" s="213"/>
      <c r="U538" s="213"/>
      <c r="V538" s="213"/>
      <c r="W538" s="213"/>
      <c r="X538" s="213"/>
      <c r="Y538" s="213"/>
      <c r="Z538" s="213"/>
    </row>
    <row r="539" spans="1:26" ht="14.25">
      <c r="A539" s="213"/>
      <c r="B539" s="213"/>
      <c r="C539" s="213"/>
      <c r="D539" s="213"/>
      <c r="E539" s="213"/>
      <c r="F539" s="213"/>
      <c r="G539" s="213"/>
      <c r="H539" s="213"/>
      <c r="I539" s="213"/>
      <c r="J539" s="213"/>
      <c r="K539" s="213"/>
      <c r="L539" s="213"/>
      <c r="M539" s="213"/>
      <c r="N539" s="213"/>
      <c r="O539" s="213"/>
      <c r="P539" s="213"/>
      <c r="Q539" s="213"/>
      <c r="R539" s="213"/>
      <c r="S539" s="213"/>
      <c r="T539" s="213"/>
      <c r="U539" s="213"/>
      <c r="V539" s="213"/>
      <c r="W539" s="213"/>
      <c r="X539" s="213"/>
      <c r="Y539" s="213"/>
      <c r="Z539" s="213"/>
    </row>
    <row r="540" spans="1:26" ht="14.25">
      <c r="A540" s="213"/>
      <c r="B540" s="213"/>
      <c r="C540" s="213"/>
      <c r="D540" s="213"/>
      <c r="E540" s="213"/>
      <c r="F540" s="213"/>
      <c r="G540" s="213"/>
      <c r="H540" s="213"/>
      <c r="I540" s="213"/>
      <c r="J540" s="213"/>
      <c r="K540" s="213"/>
      <c r="L540" s="213"/>
      <c r="M540" s="213"/>
      <c r="N540" s="213"/>
      <c r="O540" s="213"/>
      <c r="P540" s="213"/>
      <c r="Q540" s="213"/>
      <c r="R540" s="213"/>
      <c r="S540" s="213"/>
      <c r="T540" s="213"/>
      <c r="U540" s="213"/>
      <c r="V540" s="213"/>
      <c r="W540" s="213"/>
      <c r="X540" s="213"/>
      <c r="Y540" s="213"/>
      <c r="Z540" s="213"/>
    </row>
    <row r="541" spans="1:26" ht="14.25">
      <c r="A541" s="213"/>
      <c r="B541" s="213"/>
      <c r="C541" s="213"/>
      <c r="D541" s="213"/>
      <c r="E541" s="213"/>
      <c r="F541" s="213"/>
      <c r="G541" s="213"/>
      <c r="H541" s="213"/>
      <c r="I541" s="213"/>
      <c r="J541" s="213"/>
      <c r="K541" s="213"/>
      <c r="L541" s="213"/>
      <c r="M541" s="213"/>
      <c r="N541" s="213"/>
      <c r="O541" s="213"/>
      <c r="P541" s="213"/>
      <c r="Q541" s="213"/>
      <c r="R541" s="213"/>
      <c r="S541" s="213"/>
      <c r="T541" s="213"/>
      <c r="U541" s="213"/>
      <c r="V541" s="213"/>
      <c r="W541" s="213"/>
      <c r="X541" s="213"/>
      <c r="Y541" s="213"/>
      <c r="Z541" s="213"/>
    </row>
    <row r="542" spans="1:26" ht="14.25">
      <c r="A542" s="213"/>
      <c r="B542" s="213"/>
      <c r="C542" s="213"/>
      <c r="D542" s="213"/>
      <c r="E542" s="213"/>
      <c r="F542" s="213"/>
      <c r="G542" s="213"/>
      <c r="H542" s="213"/>
      <c r="I542" s="213"/>
      <c r="J542" s="213"/>
      <c r="K542" s="213"/>
      <c r="L542" s="213"/>
      <c r="M542" s="213"/>
      <c r="N542" s="213"/>
      <c r="O542" s="213"/>
      <c r="P542" s="213"/>
      <c r="Q542" s="213"/>
      <c r="R542" s="213"/>
      <c r="S542" s="213"/>
      <c r="T542" s="213"/>
      <c r="U542" s="213"/>
      <c r="V542" s="213"/>
      <c r="W542" s="213"/>
      <c r="X542" s="213"/>
      <c r="Y542" s="213"/>
      <c r="Z542" s="213"/>
    </row>
    <row r="543" spans="1:26" ht="14.25">
      <c r="A543" s="213"/>
      <c r="B543" s="213"/>
      <c r="C543" s="213"/>
      <c r="D543" s="213"/>
      <c r="E543" s="213"/>
      <c r="F543" s="213"/>
      <c r="G543" s="213"/>
      <c r="H543" s="213"/>
      <c r="I543" s="213"/>
      <c r="J543" s="213"/>
      <c r="K543" s="213"/>
      <c r="L543" s="213"/>
      <c r="M543" s="213"/>
      <c r="N543" s="213"/>
      <c r="O543" s="213"/>
      <c r="P543" s="213"/>
      <c r="Q543" s="213"/>
      <c r="R543" s="213"/>
      <c r="S543" s="213"/>
      <c r="T543" s="213"/>
      <c r="U543" s="213"/>
      <c r="V543" s="213"/>
      <c r="W543" s="213"/>
      <c r="X543" s="213"/>
      <c r="Y543" s="213"/>
      <c r="Z543" s="213"/>
    </row>
    <row r="544" spans="1:26" ht="14.25">
      <c r="A544" s="213"/>
      <c r="B544" s="213"/>
      <c r="C544" s="213"/>
      <c r="D544" s="213"/>
      <c r="E544" s="213"/>
      <c r="F544" s="213"/>
      <c r="G544" s="213"/>
      <c r="H544" s="213"/>
      <c r="I544" s="213"/>
      <c r="J544" s="213"/>
      <c r="K544" s="213"/>
      <c r="L544" s="213"/>
      <c r="M544" s="213"/>
      <c r="N544" s="213"/>
      <c r="O544" s="213"/>
      <c r="P544" s="213"/>
      <c r="Q544" s="213"/>
      <c r="R544" s="213"/>
      <c r="S544" s="213"/>
      <c r="T544" s="213"/>
      <c r="U544" s="213"/>
      <c r="V544" s="213"/>
      <c r="W544" s="213"/>
      <c r="X544" s="213"/>
      <c r="Y544" s="213"/>
      <c r="Z544" s="213"/>
    </row>
    <row r="545" spans="1:26" ht="14.25">
      <c r="A545" s="213"/>
      <c r="B545" s="213"/>
      <c r="C545" s="213"/>
      <c r="D545" s="213"/>
      <c r="E545" s="213"/>
      <c r="F545" s="213"/>
      <c r="G545" s="213"/>
      <c r="H545" s="213"/>
      <c r="I545" s="213"/>
      <c r="J545" s="213"/>
      <c r="K545" s="213"/>
      <c r="L545" s="213"/>
      <c r="M545" s="213"/>
      <c r="N545" s="213"/>
      <c r="O545" s="213"/>
      <c r="P545" s="213"/>
      <c r="Q545" s="213"/>
      <c r="R545" s="213"/>
      <c r="S545" s="213"/>
      <c r="T545" s="213"/>
      <c r="U545" s="213"/>
      <c r="V545" s="213"/>
      <c r="W545" s="213"/>
      <c r="X545" s="213"/>
      <c r="Y545" s="213"/>
      <c r="Z545" s="213"/>
    </row>
    <row r="546" spans="1:26" ht="14.25">
      <c r="A546" s="213"/>
      <c r="B546" s="213"/>
      <c r="C546" s="213"/>
      <c r="D546" s="213"/>
      <c r="E546" s="213"/>
      <c r="F546" s="213"/>
      <c r="G546" s="213"/>
      <c r="H546" s="213"/>
      <c r="I546" s="213"/>
      <c r="J546" s="213"/>
      <c r="K546" s="213"/>
      <c r="L546" s="213"/>
      <c r="M546" s="213"/>
      <c r="N546" s="213"/>
      <c r="O546" s="213"/>
      <c r="P546" s="213"/>
      <c r="Q546" s="213"/>
      <c r="R546" s="213"/>
      <c r="S546" s="213"/>
      <c r="T546" s="213"/>
      <c r="U546" s="213"/>
      <c r="V546" s="213"/>
      <c r="W546" s="213"/>
      <c r="X546" s="213"/>
      <c r="Y546" s="213"/>
      <c r="Z546" s="213"/>
    </row>
    <row r="547" spans="1:26" ht="14.25">
      <c r="A547" s="213"/>
      <c r="B547" s="213"/>
      <c r="C547" s="213"/>
      <c r="D547" s="213"/>
      <c r="E547" s="213"/>
      <c r="F547" s="213"/>
      <c r="G547" s="213"/>
      <c r="H547" s="213"/>
      <c r="I547" s="213"/>
      <c r="J547" s="213"/>
      <c r="K547" s="213"/>
      <c r="L547" s="213"/>
      <c r="M547" s="213"/>
      <c r="N547" s="213"/>
      <c r="O547" s="213"/>
      <c r="P547" s="213"/>
      <c r="Q547" s="213"/>
      <c r="R547" s="213"/>
      <c r="S547" s="213"/>
      <c r="T547" s="213"/>
      <c r="U547" s="213"/>
      <c r="V547" s="213"/>
      <c r="W547" s="213"/>
      <c r="X547" s="213"/>
      <c r="Y547" s="213"/>
      <c r="Z547" s="213"/>
    </row>
    <row r="548" spans="1:26" ht="14.25">
      <c r="A548" s="213"/>
      <c r="B548" s="213"/>
      <c r="C548" s="213"/>
      <c r="D548" s="213"/>
      <c r="E548" s="213"/>
      <c r="F548" s="213"/>
      <c r="G548" s="213"/>
      <c r="H548" s="213"/>
      <c r="I548" s="213"/>
      <c r="J548" s="213"/>
      <c r="K548" s="213"/>
      <c r="L548" s="213"/>
      <c r="M548" s="213"/>
      <c r="N548" s="213"/>
      <c r="O548" s="213"/>
      <c r="P548" s="213"/>
      <c r="Q548" s="213"/>
      <c r="R548" s="213"/>
      <c r="S548" s="213"/>
      <c r="T548" s="213"/>
      <c r="U548" s="213"/>
      <c r="V548" s="213"/>
      <c r="W548" s="213"/>
      <c r="X548" s="213"/>
      <c r="Y548" s="213"/>
      <c r="Z548" s="213"/>
    </row>
    <row r="549" spans="1:26" ht="14.25">
      <c r="A549" s="213"/>
      <c r="B549" s="213"/>
      <c r="C549" s="213"/>
      <c r="D549" s="213"/>
      <c r="E549" s="213"/>
      <c r="F549" s="213"/>
      <c r="G549" s="213"/>
      <c r="H549" s="213"/>
      <c r="I549" s="213"/>
      <c r="J549" s="213"/>
      <c r="K549" s="213"/>
      <c r="L549" s="213"/>
      <c r="M549" s="213"/>
      <c r="N549" s="213"/>
      <c r="O549" s="213"/>
      <c r="P549" s="213"/>
      <c r="Q549" s="213"/>
      <c r="R549" s="213"/>
      <c r="S549" s="213"/>
      <c r="T549" s="213"/>
      <c r="U549" s="213"/>
      <c r="V549" s="213"/>
      <c r="W549" s="213"/>
      <c r="X549" s="213"/>
      <c r="Y549" s="213"/>
      <c r="Z549" s="213"/>
    </row>
    <row r="550" spans="1:26" ht="14.25">
      <c r="A550" s="213"/>
      <c r="B550" s="213"/>
      <c r="C550" s="213"/>
      <c r="D550" s="213"/>
      <c r="E550" s="213"/>
      <c r="F550" s="213"/>
      <c r="G550" s="213"/>
      <c r="H550" s="213"/>
      <c r="I550" s="213"/>
      <c r="J550" s="213"/>
      <c r="K550" s="213"/>
      <c r="L550" s="213"/>
      <c r="M550" s="213"/>
      <c r="N550" s="213"/>
      <c r="O550" s="213"/>
      <c r="P550" s="213"/>
      <c r="Q550" s="213"/>
      <c r="R550" s="213"/>
      <c r="S550" s="213"/>
      <c r="T550" s="213"/>
      <c r="U550" s="213"/>
      <c r="V550" s="213"/>
      <c r="W550" s="213"/>
      <c r="X550" s="213"/>
      <c r="Y550" s="213"/>
      <c r="Z550" s="213"/>
    </row>
    <row r="551" spans="1:26" ht="14.25">
      <c r="A551" s="213"/>
      <c r="B551" s="213"/>
      <c r="C551" s="213"/>
      <c r="D551" s="213"/>
      <c r="E551" s="213"/>
      <c r="F551" s="213"/>
      <c r="G551" s="213"/>
      <c r="H551" s="213"/>
      <c r="I551" s="213"/>
      <c r="J551" s="213"/>
      <c r="K551" s="213"/>
      <c r="L551" s="213"/>
      <c r="M551" s="213"/>
      <c r="N551" s="213"/>
      <c r="O551" s="213"/>
      <c r="P551" s="213"/>
      <c r="Q551" s="213"/>
      <c r="R551" s="213"/>
      <c r="S551" s="213"/>
      <c r="T551" s="213"/>
      <c r="U551" s="213"/>
      <c r="V551" s="213"/>
      <c r="W551" s="213"/>
      <c r="X551" s="213"/>
      <c r="Y551" s="213"/>
      <c r="Z551" s="213"/>
    </row>
    <row r="552" spans="1:26" ht="14.25">
      <c r="A552" s="213"/>
      <c r="B552" s="213"/>
      <c r="C552" s="213"/>
      <c r="D552" s="213"/>
      <c r="E552" s="213"/>
      <c r="F552" s="213"/>
      <c r="G552" s="213"/>
      <c r="H552" s="213"/>
      <c r="I552" s="213"/>
      <c r="J552" s="213"/>
      <c r="K552" s="213"/>
      <c r="L552" s="213"/>
      <c r="M552" s="213"/>
      <c r="N552" s="213"/>
      <c r="O552" s="213"/>
      <c r="P552" s="213"/>
      <c r="Q552" s="213"/>
      <c r="R552" s="213"/>
      <c r="S552" s="213"/>
      <c r="T552" s="213"/>
      <c r="U552" s="213"/>
      <c r="V552" s="213"/>
      <c r="W552" s="213"/>
      <c r="X552" s="213"/>
      <c r="Y552" s="213"/>
      <c r="Z552" s="213"/>
    </row>
    <row r="553" spans="1:26" ht="14.25">
      <c r="A553" s="213"/>
      <c r="B553" s="213"/>
      <c r="C553" s="213"/>
      <c r="D553" s="213"/>
      <c r="E553" s="213"/>
      <c r="F553" s="213"/>
      <c r="G553" s="213"/>
      <c r="H553" s="213"/>
      <c r="I553" s="213"/>
      <c r="J553" s="213"/>
      <c r="K553" s="213"/>
      <c r="L553" s="213"/>
      <c r="M553" s="213"/>
      <c r="N553" s="213"/>
      <c r="O553" s="213"/>
      <c r="P553" s="213"/>
      <c r="Q553" s="213"/>
      <c r="R553" s="213"/>
      <c r="S553" s="213"/>
      <c r="T553" s="213"/>
      <c r="U553" s="213"/>
      <c r="V553" s="213"/>
      <c r="W553" s="213"/>
      <c r="X553" s="213"/>
      <c r="Y553" s="213"/>
      <c r="Z553" s="213"/>
    </row>
    <row r="554" spans="1:26" ht="14.25">
      <c r="A554" s="213"/>
      <c r="B554" s="213"/>
      <c r="C554" s="213"/>
      <c r="D554" s="213"/>
      <c r="E554" s="213"/>
      <c r="F554" s="213"/>
      <c r="G554" s="213"/>
      <c r="H554" s="213"/>
      <c r="I554" s="213"/>
      <c r="J554" s="213"/>
      <c r="K554" s="213"/>
      <c r="L554" s="213"/>
      <c r="M554" s="213"/>
      <c r="N554" s="213"/>
      <c r="O554" s="213"/>
      <c r="P554" s="213"/>
      <c r="Q554" s="213"/>
      <c r="R554" s="213"/>
      <c r="S554" s="213"/>
      <c r="T554" s="213"/>
      <c r="U554" s="213"/>
      <c r="V554" s="213"/>
      <c r="W554" s="213"/>
      <c r="X554" s="213"/>
      <c r="Y554" s="213"/>
      <c r="Z554" s="213"/>
    </row>
    <row r="555" spans="1:26" ht="14.25">
      <c r="A555" s="213"/>
      <c r="B555" s="213"/>
      <c r="C555" s="213"/>
      <c r="D555" s="213"/>
      <c r="E555" s="213"/>
      <c r="F555" s="213"/>
      <c r="G555" s="213"/>
      <c r="H555" s="213"/>
      <c r="I555" s="213"/>
      <c r="J555" s="213"/>
      <c r="K555" s="213"/>
      <c r="L555" s="213"/>
      <c r="M555" s="213"/>
      <c r="N555" s="213"/>
      <c r="O555" s="213"/>
      <c r="P555" s="213"/>
      <c r="Q555" s="213"/>
      <c r="R555" s="213"/>
      <c r="S555" s="213"/>
      <c r="T555" s="213"/>
      <c r="U555" s="213"/>
      <c r="V555" s="213"/>
      <c r="W555" s="213"/>
      <c r="X555" s="213"/>
      <c r="Y555" s="213"/>
      <c r="Z555" s="213"/>
    </row>
    <row r="556" spans="1:26" ht="14.25">
      <c r="A556" s="213"/>
      <c r="B556" s="213"/>
      <c r="C556" s="213"/>
      <c r="D556" s="213"/>
      <c r="E556" s="213"/>
      <c r="F556" s="213"/>
      <c r="G556" s="213"/>
      <c r="H556" s="213"/>
      <c r="I556" s="213"/>
      <c r="J556" s="213"/>
      <c r="K556" s="213"/>
      <c r="L556" s="213"/>
      <c r="M556" s="213"/>
      <c r="N556" s="213"/>
      <c r="O556" s="213"/>
      <c r="P556" s="213"/>
      <c r="Q556" s="213"/>
      <c r="R556" s="213"/>
      <c r="S556" s="213"/>
      <c r="T556" s="213"/>
      <c r="U556" s="213"/>
      <c r="V556" s="213"/>
      <c r="W556" s="213"/>
      <c r="X556" s="213"/>
      <c r="Y556" s="213"/>
      <c r="Z556" s="213"/>
    </row>
    <row r="557" spans="1:26" ht="14.25">
      <c r="A557" s="213"/>
      <c r="B557" s="213"/>
      <c r="C557" s="213"/>
      <c r="D557" s="213"/>
      <c r="E557" s="213"/>
      <c r="F557" s="213"/>
      <c r="G557" s="213"/>
      <c r="H557" s="213"/>
      <c r="I557" s="213"/>
      <c r="J557" s="213"/>
      <c r="K557" s="213"/>
      <c r="L557" s="213"/>
      <c r="M557" s="213"/>
      <c r="N557" s="213"/>
      <c r="O557" s="213"/>
      <c r="P557" s="213"/>
      <c r="Q557" s="213"/>
      <c r="R557" s="213"/>
      <c r="S557" s="213"/>
      <c r="T557" s="213"/>
      <c r="U557" s="213"/>
      <c r="V557" s="213"/>
      <c r="W557" s="213"/>
      <c r="X557" s="213"/>
      <c r="Y557" s="213"/>
      <c r="Z557" s="213"/>
    </row>
    <row r="558" spans="1:26" ht="14.25">
      <c r="A558" s="213"/>
      <c r="B558" s="213"/>
      <c r="C558" s="213"/>
      <c r="D558" s="213"/>
      <c r="E558" s="213"/>
      <c r="F558" s="213"/>
      <c r="G558" s="213"/>
      <c r="H558" s="213"/>
      <c r="I558" s="213"/>
      <c r="J558" s="213"/>
      <c r="K558" s="213"/>
      <c r="L558" s="213"/>
      <c r="M558" s="213"/>
      <c r="N558" s="213"/>
      <c r="O558" s="213"/>
      <c r="P558" s="213"/>
      <c r="Q558" s="213"/>
      <c r="R558" s="213"/>
      <c r="S558" s="213"/>
      <c r="T558" s="213"/>
      <c r="U558" s="213"/>
      <c r="V558" s="213"/>
      <c r="W558" s="213"/>
      <c r="X558" s="213"/>
      <c r="Y558" s="213"/>
      <c r="Z558" s="213"/>
    </row>
    <row r="559" spans="1:26" ht="14.25">
      <c r="A559" s="213"/>
      <c r="B559" s="213"/>
      <c r="C559" s="213"/>
      <c r="D559" s="213"/>
      <c r="E559" s="213"/>
      <c r="F559" s="213"/>
      <c r="G559" s="213"/>
      <c r="H559" s="213"/>
      <c r="I559" s="213"/>
      <c r="J559" s="213"/>
      <c r="K559" s="213"/>
      <c r="L559" s="213"/>
      <c r="M559" s="213"/>
      <c r="N559" s="213"/>
      <c r="O559" s="213"/>
      <c r="P559" s="213"/>
      <c r="Q559" s="213"/>
      <c r="R559" s="213"/>
      <c r="S559" s="213"/>
      <c r="T559" s="213"/>
      <c r="U559" s="213"/>
      <c r="V559" s="213"/>
      <c r="W559" s="213"/>
      <c r="X559" s="213"/>
      <c r="Y559" s="213"/>
      <c r="Z559" s="213"/>
    </row>
    <row r="560" spans="1:26" ht="14.25">
      <c r="A560" s="213"/>
      <c r="B560" s="213"/>
      <c r="C560" s="213"/>
      <c r="D560" s="213"/>
      <c r="E560" s="213"/>
      <c r="F560" s="213"/>
      <c r="G560" s="213"/>
      <c r="H560" s="213"/>
      <c r="I560" s="213"/>
      <c r="J560" s="213"/>
      <c r="K560" s="213"/>
      <c r="L560" s="213"/>
      <c r="M560" s="213"/>
      <c r="N560" s="213"/>
      <c r="O560" s="213"/>
      <c r="P560" s="213"/>
      <c r="Q560" s="213"/>
      <c r="R560" s="213"/>
      <c r="S560" s="213"/>
      <c r="T560" s="213"/>
      <c r="U560" s="213"/>
      <c r="V560" s="213"/>
      <c r="W560" s="213"/>
      <c r="X560" s="213"/>
      <c r="Y560" s="213"/>
      <c r="Z560" s="213"/>
    </row>
    <row r="561" spans="1:26" ht="14.25">
      <c r="A561" s="213"/>
      <c r="B561" s="213"/>
      <c r="C561" s="213"/>
      <c r="D561" s="213"/>
      <c r="E561" s="213"/>
      <c r="F561" s="213"/>
      <c r="G561" s="213"/>
      <c r="H561" s="213"/>
      <c r="I561" s="213"/>
      <c r="J561" s="213"/>
      <c r="K561" s="213"/>
      <c r="L561" s="213"/>
      <c r="M561" s="213"/>
      <c r="N561" s="213"/>
      <c r="O561" s="213"/>
      <c r="P561" s="213"/>
      <c r="Q561" s="213"/>
      <c r="R561" s="213"/>
      <c r="S561" s="213"/>
      <c r="T561" s="213"/>
      <c r="U561" s="213"/>
      <c r="V561" s="213"/>
      <c r="W561" s="213"/>
      <c r="X561" s="213"/>
      <c r="Y561" s="213"/>
      <c r="Z561" s="213"/>
    </row>
    <row r="562" spans="1:26" ht="14.25">
      <c r="A562" s="213"/>
      <c r="B562" s="213"/>
      <c r="C562" s="213"/>
      <c r="D562" s="213"/>
      <c r="E562" s="213"/>
      <c r="F562" s="213"/>
      <c r="G562" s="213"/>
      <c r="H562" s="213"/>
      <c r="I562" s="213"/>
      <c r="J562" s="213"/>
      <c r="K562" s="213"/>
      <c r="L562" s="213"/>
      <c r="M562" s="213"/>
      <c r="N562" s="213"/>
      <c r="O562" s="213"/>
      <c r="P562" s="213"/>
      <c r="Q562" s="213"/>
      <c r="R562" s="213"/>
      <c r="S562" s="213"/>
      <c r="T562" s="213"/>
      <c r="U562" s="213"/>
      <c r="V562" s="213"/>
      <c r="W562" s="213"/>
      <c r="X562" s="213"/>
      <c r="Y562" s="213"/>
      <c r="Z562" s="213"/>
    </row>
    <row r="563" spans="1:26" ht="14.25">
      <c r="A563" s="213"/>
      <c r="B563" s="213"/>
      <c r="C563" s="213"/>
      <c r="D563" s="213"/>
      <c r="E563" s="213"/>
      <c r="F563" s="213"/>
      <c r="G563" s="213"/>
      <c r="H563" s="213"/>
      <c r="I563" s="213"/>
      <c r="J563" s="213"/>
      <c r="K563" s="213"/>
      <c r="L563" s="213"/>
      <c r="M563" s="213"/>
      <c r="N563" s="213"/>
      <c r="O563" s="213"/>
      <c r="P563" s="213"/>
      <c r="Q563" s="213"/>
      <c r="R563" s="213"/>
      <c r="S563" s="213"/>
      <c r="T563" s="213"/>
      <c r="U563" s="213"/>
      <c r="V563" s="213"/>
      <c r="W563" s="213"/>
      <c r="X563" s="213"/>
      <c r="Y563" s="213"/>
      <c r="Z563" s="213"/>
    </row>
    <row r="564" spans="1:26" ht="14.25">
      <c r="A564" s="213"/>
      <c r="B564" s="213"/>
      <c r="C564" s="213"/>
      <c r="D564" s="213"/>
      <c r="E564" s="213"/>
      <c r="F564" s="213"/>
      <c r="G564" s="213"/>
      <c r="H564" s="213"/>
      <c r="I564" s="213"/>
      <c r="J564" s="213"/>
      <c r="K564" s="213"/>
      <c r="L564" s="213"/>
      <c r="M564" s="213"/>
      <c r="N564" s="213"/>
      <c r="O564" s="213"/>
      <c r="P564" s="213"/>
      <c r="Q564" s="213"/>
      <c r="R564" s="213"/>
      <c r="S564" s="213"/>
      <c r="T564" s="213"/>
      <c r="U564" s="213"/>
      <c r="V564" s="213"/>
      <c r="W564" s="213"/>
      <c r="X564" s="213"/>
      <c r="Y564" s="213"/>
      <c r="Z564" s="213"/>
    </row>
    <row r="565" spans="1:26" ht="14.25">
      <c r="A565" s="213"/>
      <c r="B565" s="213"/>
      <c r="C565" s="213"/>
      <c r="D565" s="213"/>
      <c r="E565" s="213"/>
      <c r="F565" s="213"/>
      <c r="G565" s="213"/>
      <c r="H565" s="213"/>
      <c r="I565" s="213"/>
      <c r="J565" s="213"/>
      <c r="K565" s="213"/>
      <c r="L565" s="213"/>
      <c r="M565" s="213"/>
      <c r="N565" s="213"/>
      <c r="O565" s="213"/>
      <c r="P565" s="213"/>
      <c r="Q565" s="213"/>
      <c r="R565" s="213"/>
      <c r="S565" s="213"/>
      <c r="T565" s="213"/>
      <c r="U565" s="213"/>
      <c r="V565" s="213"/>
      <c r="W565" s="213"/>
      <c r="X565" s="213"/>
      <c r="Y565" s="213"/>
      <c r="Z565" s="213"/>
    </row>
    <row r="566" spans="1:26" ht="14.25">
      <c r="A566" s="213"/>
      <c r="B566" s="213"/>
      <c r="C566" s="213"/>
      <c r="D566" s="213"/>
      <c r="E566" s="213"/>
      <c r="F566" s="213"/>
      <c r="G566" s="213"/>
      <c r="H566" s="213"/>
      <c r="I566" s="213"/>
      <c r="J566" s="213"/>
      <c r="K566" s="213"/>
      <c r="L566" s="213"/>
      <c r="M566" s="213"/>
      <c r="N566" s="213"/>
      <c r="O566" s="213"/>
      <c r="P566" s="213"/>
      <c r="Q566" s="213"/>
      <c r="R566" s="213"/>
      <c r="S566" s="213"/>
      <c r="T566" s="213"/>
      <c r="U566" s="213"/>
      <c r="V566" s="213"/>
      <c r="W566" s="213"/>
      <c r="X566" s="213"/>
      <c r="Y566" s="213"/>
      <c r="Z566" s="213"/>
    </row>
    <row r="567" spans="1:26" ht="14.25">
      <c r="A567" s="213"/>
      <c r="B567" s="213"/>
      <c r="C567" s="213"/>
      <c r="D567" s="213"/>
      <c r="E567" s="213"/>
      <c r="F567" s="213"/>
      <c r="G567" s="213"/>
      <c r="H567" s="213"/>
      <c r="I567" s="213"/>
      <c r="J567" s="213"/>
      <c r="K567" s="213"/>
      <c r="L567" s="213"/>
      <c r="M567" s="213"/>
      <c r="N567" s="213"/>
      <c r="O567" s="213"/>
      <c r="P567" s="213"/>
      <c r="Q567" s="213"/>
      <c r="R567" s="213"/>
      <c r="S567" s="213"/>
      <c r="T567" s="213"/>
      <c r="U567" s="213"/>
      <c r="V567" s="213"/>
      <c r="W567" s="213"/>
      <c r="X567" s="213"/>
      <c r="Y567" s="213"/>
      <c r="Z567" s="213"/>
    </row>
    <row r="568" spans="1:26" ht="14.25">
      <c r="A568" s="213"/>
      <c r="B568" s="213"/>
      <c r="C568" s="213"/>
      <c r="D568" s="213"/>
      <c r="E568" s="213"/>
      <c r="F568" s="213"/>
      <c r="G568" s="213"/>
      <c r="H568" s="213"/>
      <c r="I568" s="213"/>
      <c r="J568" s="213"/>
      <c r="K568" s="213"/>
      <c r="L568" s="213"/>
      <c r="M568" s="213"/>
      <c r="N568" s="213"/>
      <c r="O568" s="213"/>
      <c r="P568" s="213"/>
      <c r="Q568" s="213"/>
      <c r="R568" s="213"/>
      <c r="S568" s="213"/>
      <c r="T568" s="213"/>
      <c r="U568" s="213"/>
      <c r="V568" s="213"/>
      <c r="W568" s="213"/>
      <c r="X568" s="213"/>
      <c r="Y568" s="213"/>
      <c r="Z568" s="213"/>
    </row>
    <row r="569" spans="1:26" ht="14.25">
      <c r="A569" s="213"/>
      <c r="B569" s="213"/>
      <c r="C569" s="213"/>
      <c r="D569" s="213"/>
      <c r="E569" s="213"/>
      <c r="F569" s="213"/>
      <c r="G569" s="213"/>
      <c r="H569" s="213"/>
      <c r="I569" s="213"/>
      <c r="J569" s="213"/>
      <c r="K569" s="213"/>
      <c r="L569" s="213"/>
      <c r="M569" s="213"/>
      <c r="N569" s="213"/>
      <c r="O569" s="213"/>
      <c r="P569" s="213"/>
      <c r="Q569" s="213"/>
      <c r="R569" s="213"/>
      <c r="S569" s="213"/>
      <c r="T569" s="213"/>
      <c r="U569" s="213"/>
      <c r="V569" s="213"/>
      <c r="W569" s="213"/>
      <c r="X569" s="213"/>
      <c r="Y569" s="213"/>
      <c r="Z569" s="213"/>
    </row>
    <row r="570" spans="1:26" ht="14.25">
      <c r="A570" s="213"/>
      <c r="B570" s="213"/>
      <c r="C570" s="213"/>
      <c r="D570" s="213"/>
      <c r="E570" s="213"/>
      <c r="F570" s="213"/>
      <c r="G570" s="213"/>
      <c r="H570" s="213"/>
      <c r="I570" s="213"/>
      <c r="J570" s="213"/>
      <c r="K570" s="213"/>
      <c r="L570" s="213"/>
      <c r="M570" s="213"/>
      <c r="N570" s="213"/>
      <c r="O570" s="213"/>
      <c r="P570" s="213"/>
      <c r="Q570" s="213"/>
      <c r="R570" s="213"/>
      <c r="S570" s="213"/>
      <c r="T570" s="213"/>
      <c r="U570" s="213"/>
      <c r="V570" s="213"/>
      <c r="W570" s="213"/>
      <c r="X570" s="213"/>
      <c r="Y570" s="213"/>
      <c r="Z570" s="213"/>
    </row>
    <row r="571" spans="1:26" ht="14.25">
      <c r="A571" s="213"/>
      <c r="B571" s="213"/>
      <c r="C571" s="213"/>
      <c r="D571" s="213"/>
      <c r="E571" s="213"/>
      <c r="F571" s="213"/>
      <c r="G571" s="213"/>
      <c r="H571" s="213"/>
      <c r="I571" s="213"/>
      <c r="J571" s="213"/>
      <c r="K571" s="213"/>
      <c r="L571" s="213"/>
      <c r="M571" s="213"/>
      <c r="N571" s="213"/>
      <c r="O571" s="213"/>
      <c r="P571" s="213"/>
      <c r="Q571" s="213"/>
      <c r="R571" s="213"/>
      <c r="S571" s="213"/>
      <c r="T571" s="213"/>
      <c r="U571" s="213"/>
      <c r="V571" s="213"/>
      <c r="W571" s="213"/>
      <c r="X571" s="213"/>
      <c r="Y571" s="213"/>
      <c r="Z571" s="213"/>
    </row>
    <row r="572" spans="1:26" ht="14.25">
      <c r="A572" s="213"/>
      <c r="B572" s="213"/>
      <c r="C572" s="213"/>
      <c r="D572" s="213"/>
      <c r="E572" s="213"/>
      <c r="F572" s="213"/>
      <c r="G572" s="213"/>
      <c r="H572" s="213"/>
      <c r="I572" s="213"/>
      <c r="J572" s="213"/>
      <c r="K572" s="213"/>
      <c r="L572" s="213"/>
      <c r="M572" s="213"/>
      <c r="N572" s="213"/>
      <c r="O572" s="213"/>
      <c r="P572" s="213"/>
      <c r="Q572" s="213"/>
      <c r="R572" s="213"/>
      <c r="S572" s="213"/>
      <c r="T572" s="213"/>
      <c r="U572" s="213"/>
      <c r="V572" s="213"/>
      <c r="W572" s="213"/>
      <c r="X572" s="213"/>
      <c r="Y572" s="213"/>
      <c r="Z572" s="213"/>
    </row>
    <row r="573" spans="1:26" ht="14.25">
      <c r="A573" s="213"/>
      <c r="B573" s="213"/>
      <c r="C573" s="213"/>
      <c r="D573" s="213"/>
      <c r="E573" s="213"/>
      <c r="F573" s="213"/>
      <c r="G573" s="213"/>
      <c r="H573" s="213"/>
      <c r="I573" s="213"/>
      <c r="J573" s="213"/>
      <c r="K573" s="213"/>
      <c r="L573" s="213"/>
      <c r="M573" s="213"/>
      <c r="N573" s="213"/>
      <c r="O573" s="213"/>
      <c r="P573" s="213"/>
      <c r="Q573" s="213"/>
      <c r="R573" s="213"/>
      <c r="S573" s="213"/>
      <c r="T573" s="213"/>
      <c r="U573" s="213"/>
      <c r="V573" s="213"/>
      <c r="W573" s="213"/>
      <c r="X573" s="213"/>
      <c r="Y573" s="213"/>
      <c r="Z573" s="213"/>
    </row>
    <row r="574" spans="1:26" ht="14.25">
      <c r="A574" s="213"/>
      <c r="B574" s="213"/>
      <c r="C574" s="213"/>
      <c r="D574" s="213"/>
      <c r="E574" s="213"/>
      <c r="F574" s="213"/>
      <c r="G574" s="213"/>
      <c r="H574" s="213"/>
      <c r="I574" s="213"/>
      <c r="J574" s="213"/>
      <c r="K574" s="213"/>
      <c r="L574" s="213"/>
      <c r="M574" s="213"/>
      <c r="N574" s="213"/>
      <c r="O574" s="213"/>
      <c r="P574" s="213"/>
      <c r="Q574" s="213"/>
      <c r="R574" s="213"/>
      <c r="S574" s="213"/>
      <c r="T574" s="213"/>
      <c r="U574" s="213"/>
      <c r="V574" s="213"/>
      <c r="W574" s="213"/>
      <c r="X574" s="213"/>
      <c r="Y574" s="213"/>
      <c r="Z574" s="213"/>
    </row>
    <row r="575" spans="1:26" ht="14.25">
      <c r="A575" s="213"/>
      <c r="B575" s="213"/>
      <c r="C575" s="213"/>
      <c r="D575" s="213"/>
      <c r="E575" s="213"/>
      <c r="F575" s="213"/>
      <c r="G575" s="213"/>
      <c r="H575" s="213"/>
      <c r="I575" s="213"/>
      <c r="J575" s="213"/>
      <c r="K575" s="213"/>
      <c r="L575" s="213"/>
      <c r="M575" s="213"/>
      <c r="N575" s="213"/>
      <c r="O575" s="213"/>
      <c r="P575" s="213"/>
      <c r="Q575" s="213"/>
      <c r="R575" s="213"/>
      <c r="S575" s="213"/>
      <c r="T575" s="213"/>
      <c r="U575" s="213"/>
      <c r="V575" s="213"/>
      <c r="W575" s="213"/>
      <c r="X575" s="213"/>
      <c r="Y575" s="213"/>
      <c r="Z575" s="213"/>
    </row>
    <row r="576" spans="1:26" ht="14.25">
      <c r="A576" s="213"/>
      <c r="B576" s="213"/>
      <c r="C576" s="213"/>
      <c r="D576" s="213"/>
      <c r="E576" s="213"/>
      <c r="F576" s="213"/>
      <c r="G576" s="213"/>
      <c r="H576" s="213"/>
      <c r="I576" s="213"/>
      <c r="J576" s="213"/>
      <c r="K576" s="213"/>
      <c r="L576" s="213"/>
      <c r="M576" s="213"/>
      <c r="N576" s="213"/>
      <c r="O576" s="213"/>
      <c r="P576" s="213"/>
      <c r="Q576" s="213"/>
      <c r="R576" s="213"/>
      <c r="S576" s="213"/>
      <c r="T576" s="213"/>
      <c r="U576" s="213"/>
      <c r="V576" s="213"/>
      <c r="W576" s="213"/>
      <c r="X576" s="213"/>
      <c r="Y576" s="213"/>
      <c r="Z576" s="213"/>
    </row>
    <row r="577" spans="1:26" ht="14.25">
      <c r="A577" s="213"/>
      <c r="B577" s="213"/>
      <c r="C577" s="213"/>
      <c r="D577" s="213"/>
      <c r="E577" s="213"/>
      <c r="F577" s="213"/>
      <c r="G577" s="213"/>
      <c r="H577" s="213"/>
      <c r="I577" s="213"/>
      <c r="J577" s="213"/>
      <c r="K577" s="213"/>
      <c r="L577" s="213"/>
      <c r="M577" s="213"/>
      <c r="N577" s="213"/>
      <c r="O577" s="213"/>
      <c r="P577" s="213"/>
      <c r="Q577" s="213"/>
      <c r="R577" s="213"/>
      <c r="S577" s="213"/>
      <c r="T577" s="213"/>
      <c r="U577" s="213"/>
      <c r="V577" s="213"/>
      <c r="W577" s="213"/>
      <c r="X577" s="213"/>
      <c r="Y577" s="213"/>
      <c r="Z577" s="213"/>
    </row>
    <row r="578" spans="1:26" ht="14.25">
      <c r="A578" s="213"/>
      <c r="B578" s="213"/>
      <c r="C578" s="213"/>
      <c r="D578" s="213"/>
      <c r="E578" s="213"/>
      <c r="F578" s="213"/>
      <c r="G578" s="213"/>
      <c r="H578" s="213"/>
      <c r="I578" s="213"/>
      <c r="J578" s="213"/>
      <c r="K578" s="213"/>
      <c r="L578" s="213"/>
      <c r="M578" s="213"/>
      <c r="N578" s="213"/>
      <c r="O578" s="213"/>
      <c r="P578" s="213"/>
      <c r="Q578" s="213"/>
      <c r="R578" s="213"/>
      <c r="S578" s="213"/>
      <c r="T578" s="213"/>
      <c r="U578" s="213"/>
      <c r="V578" s="213"/>
      <c r="W578" s="213"/>
      <c r="X578" s="213"/>
      <c r="Y578" s="213"/>
      <c r="Z578" s="213"/>
    </row>
    <row r="579" spans="1:26" ht="14.25">
      <c r="A579" s="213"/>
      <c r="B579" s="213"/>
      <c r="C579" s="213"/>
      <c r="D579" s="213"/>
      <c r="E579" s="213"/>
      <c r="F579" s="213"/>
      <c r="G579" s="213"/>
      <c r="H579" s="213"/>
      <c r="I579" s="213"/>
      <c r="J579" s="213"/>
      <c r="K579" s="213"/>
      <c r="L579" s="213"/>
      <c r="M579" s="213"/>
      <c r="N579" s="213"/>
      <c r="O579" s="213"/>
      <c r="P579" s="213"/>
      <c r="Q579" s="213"/>
      <c r="R579" s="213"/>
      <c r="S579" s="213"/>
      <c r="T579" s="213"/>
      <c r="U579" s="213"/>
      <c r="V579" s="213"/>
      <c r="W579" s="213"/>
      <c r="X579" s="213"/>
      <c r="Y579" s="213"/>
      <c r="Z579" s="213"/>
    </row>
    <row r="580" spans="1:26" ht="14.25">
      <c r="A580" s="213"/>
      <c r="B580" s="213"/>
      <c r="C580" s="213"/>
      <c r="D580" s="213"/>
      <c r="E580" s="213"/>
      <c r="F580" s="213"/>
      <c r="G580" s="213"/>
      <c r="H580" s="213"/>
      <c r="I580" s="213"/>
      <c r="J580" s="213"/>
      <c r="K580" s="213"/>
      <c r="L580" s="213"/>
      <c r="M580" s="213"/>
      <c r="N580" s="213"/>
      <c r="O580" s="213"/>
      <c r="P580" s="213"/>
      <c r="Q580" s="213"/>
      <c r="R580" s="213"/>
      <c r="S580" s="213"/>
      <c r="T580" s="213"/>
      <c r="U580" s="213"/>
      <c r="V580" s="213"/>
      <c r="W580" s="213"/>
      <c r="X580" s="213"/>
      <c r="Y580" s="213"/>
      <c r="Z580" s="213"/>
    </row>
    <row r="581" spans="1:26" ht="14.25">
      <c r="A581" s="213"/>
      <c r="B581" s="213"/>
      <c r="C581" s="213"/>
      <c r="D581" s="213"/>
      <c r="E581" s="213"/>
      <c r="F581" s="213"/>
      <c r="G581" s="213"/>
      <c r="H581" s="213"/>
      <c r="I581" s="213"/>
      <c r="J581" s="213"/>
      <c r="K581" s="213"/>
      <c r="L581" s="213"/>
      <c r="M581" s="213"/>
      <c r="N581" s="213"/>
      <c r="O581" s="213"/>
      <c r="P581" s="213"/>
      <c r="Q581" s="213"/>
      <c r="R581" s="213"/>
      <c r="S581" s="213"/>
      <c r="T581" s="213"/>
      <c r="U581" s="213"/>
      <c r="V581" s="213"/>
      <c r="W581" s="213"/>
      <c r="X581" s="213"/>
      <c r="Y581" s="213"/>
      <c r="Z581" s="213"/>
    </row>
    <row r="582" spans="1:26" ht="14.25">
      <c r="A582" s="213"/>
      <c r="B582" s="213"/>
      <c r="C582" s="213"/>
      <c r="D582" s="213"/>
      <c r="E582" s="213"/>
      <c r="F582" s="213"/>
      <c r="G582" s="213"/>
      <c r="H582" s="213"/>
      <c r="I582" s="213"/>
      <c r="J582" s="213"/>
      <c r="K582" s="213"/>
      <c r="L582" s="213"/>
      <c r="M582" s="213"/>
      <c r="N582" s="213"/>
      <c r="O582" s="213"/>
      <c r="P582" s="213"/>
      <c r="Q582" s="213"/>
      <c r="R582" s="213"/>
      <c r="S582" s="213"/>
      <c r="T582" s="213"/>
      <c r="U582" s="213"/>
      <c r="V582" s="213"/>
      <c r="W582" s="213"/>
      <c r="X582" s="213"/>
      <c r="Y582" s="213"/>
      <c r="Z582" s="213"/>
    </row>
    <row r="583" spans="1:26" ht="14.25">
      <c r="A583" s="213"/>
      <c r="B583" s="213"/>
      <c r="C583" s="213"/>
      <c r="D583" s="213"/>
      <c r="E583" s="213"/>
      <c r="F583" s="213"/>
      <c r="G583" s="213"/>
      <c r="H583" s="213"/>
      <c r="I583" s="213"/>
      <c r="J583" s="213"/>
      <c r="K583" s="213"/>
      <c r="L583" s="213"/>
      <c r="M583" s="213"/>
      <c r="N583" s="213"/>
      <c r="O583" s="213"/>
      <c r="P583" s="213"/>
      <c r="Q583" s="213"/>
      <c r="R583" s="213"/>
      <c r="S583" s="213"/>
      <c r="T583" s="213"/>
      <c r="U583" s="213"/>
      <c r="V583" s="213"/>
      <c r="W583" s="213"/>
      <c r="X583" s="213"/>
      <c r="Y583" s="213"/>
      <c r="Z583" s="213"/>
    </row>
    <row r="584" spans="1:26" ht="14.25">
      <c r="A584" s="213"/>
      <c r="B584" s="213"/>
      <c r="C584" s="213"/>
      <c r="D584" s="213"/>
      <c r="E584" s="213"/>
      <c r="F584" s="213"/>
      <c r="G584" s="213"/>
      <c r="H584" s="213"/>
      <c r="I584" s="213"/>
      <c r="J584" s="213"/>
      <c r="K584" s="213"/>
      <c r="L584" s="213"/>
      <c r="M584" s="213"/>
      <c r="N584" s="213"/>
      <c r="O584" s="213"/>
      <c r="P584" s="213"/>
      <c r="Q584" s="213"/>
      <c r="R584" s="213"/>
      <c r="S584" s="213"/>
      <c r="T584" s="213"/>
      <c r="U584" s="213"/>
      <c r="V584" s="213"/>
      <c r="W584" s="213"/>
      <c r="X584" s="213"/>
      <c r="Y584" s="213"/>
      <c r="Z584" s="213"/>
    </row>
    <row r="585" spans="1:26" ht="14.25">
      <c r="A585" s="213"/>
      <c r="B585" s="213"/>
      <c r="C585" s="213"/>
      <c r="D585" s="213"/>
      <c r="E585" s="213"/>
      <c r="F585" s="213"/>
      <c r="G585" s="213"/>
      <c r="H585" s="213"/>
      <c r="I585" s="213"/>
      <c r="J585" s="213"/>
      <c r="K585" s="213"/>
      <c r="L585" s="213"/>
      <c r="M585" s="213"/>
      <c r="N585" s="213"/>
      <c r="O585" s="213"/>
      <c r="P585" s="213"/>
      <c r="Q585" s="213"/>
      <c r="R585" s="213"/>
      <c r="S585" s="213"/>
      <c r="T585" s="213"/>
      <c r="U585" s="213"/>
      <c r="V585" s="213"/>
      <c r="W585" s="213"/>
      <c r="X585" s="213"/>
      <c r="Y585" s="213"/>
      <c r="Z585" s="213"/>
    </row>
    <row r="586" spans="1:26" ht="14.25">
      <c r="A586" s="213"/>
      <c r="B586" s="213"/>
      <c r="C586" s="213"/>
      <c r="D586" s="213"/>
      <c r="E586" s="213"/>
      <c r="F586" s="213"/>
      <c r="G586" s="213"/>
      <c r="H586" s="213"/>
      <c r="I586" s="213"/>
      <c r="J586" s="213"/>
      <c r="K586" s="213"/>
      <c r="L586" s="213"/>
      <c r="M586" s="213"/>
      <c r="N586" s="213"/>
      <c r="O586" s="213"/>
      <c r="P586" s="213"/>
      <c r="Q586" s="213"/>
      <c r="R586" s="213"/>
      <c r="S586" s="213"/>
      <c r="T586" s="213"/>
      <c r="U586" s="213"/>
      <c r="V586" s="213"/>
      <c r="W586" s="213"/>
      <c r="X586" s="213"/>
      <c r="Y586" s="213"/>
      <c r="Z586" s="213"/>
    </row>
    <row r="587" spans="1:26" ht="14.25">
      <c r="A587" s="213"/>
      <c r="B587" s="213"/>
      <c r="C587" s="213"/>
      <c r="D587" s="213"/>
      <c r="E587" s="213"/>
      <c r="F587" s="213"/>
      <c r="G587" s="213"/>
      <c r="H587" s="213"/>
      <c r="I587" s="213"/>
      <c r="J587" s="213"/>
      <c r="K587" s="213"/>
      <c r="L587" s="213"/>
      <c r="M587" s="213"/>
      <c r="N587" s="213"/>
      <c r="O587" s="213"/>
      <c r="P587" s="213"/>
      <c r="Q587" s="213"/>
      <c r="R587" s="213"/>
      <c r="S587" s="213"/>
      <c r="T587" s="213"/>
      <c r="U587" s="213"/>
      <c r="V587" s="213"/>
      <c r="W587" s="213"/>
      <c r="X587" s="213"/>
      <c r="Y587" s="213"/>
      <c r="Z587" s="213"/>
    </row>
    <row r="588" spans="1:26" ht="14.25">
      <c r="A588" s="213"/>
      <c r="B588" s="213"/>
      <c r="C588" s="213"/>
      <c r="D588" s="213"/>
      <c r="E588" s="213"/>
      <c r="F588" s="213"/>
      <c r="G588" s="213"/>
      <c r="H588" s="213"/>
      <c r="I588" s="213"/>
      <c r="J588" s="213"/>
      <c r="K588" s="213"/>
      <c r="L588" s="213"/>
      <c r="M588" s="213"/>
      <c r="N588" s="213"/>
      <c r="O588" s="213"/>
      <c r="P588" s="213"/>
      <c r="Q588" s="213"/>
      <c r="R588" s="213"/>
      <c r="S588" s="213"/>
      <c r="T588" s="213"/>
      <c r="U588" s="213"/>
      <c r="V588" s="213"/>
      <c r="W588" s="213"/>
      <c r="X588" s="213"/>
      <c r="Y588" s="213"/>
      <c r="Z588" s="213"/>
    </row>
    <row r="589" spans="1:26" ht="14.25">
      <c r="A589" s="213"/>
      <c r="B589" s="213"/>
      <c r="C589" s="213"/>
      <c r="D589" s="213"/>
      <c r="E589" s="213"/>
      <c r="F589" s="213"/>
      <c r="G589" s="213"/>
      <c r="H589" s="213"/>
      <c r="I589" s="213"/>
      <c r="J589" s="213"/>
      <c r="K589" s="213"/>
      <c r="L589" s="213"/>
      <c r="M589" s="213"/>
      <c r="N589" s="213"/>
      <c r="O589" s="213"/>
      <c r="P589" s="213"/>
      <c r="Q589" s="213"/>
      <c r="R589" s="213"/>
      <c r="S589" s="213"/>
      <c r="T589" s="213"/>
      <c r="U589" s="213"/>
      <c r="V589" s="213"/>
      <c r="W589" s="213"/>
      <c r="X589" s="213"/>
      <c r="Y589" s="213"/>
      <c r="Z589" s="213"/>
    </row>
    <row r="590" spans="1:26" ht="14.25">
      <c r="A590" s="213"/>
      <c r="B590" s="213"/>
      <c r="C590" s="213"/>
      <c r="D590" s="213"/>
      <c r="E590" s="213"/>
      <c r="F590" s="213"/>
      <c r="G590" s="213"/>
      <c r="H590" s="213"/>
      <c r="I590" s="213"/>
      <c r="J590" s="213"/>
      <c r="K590" s="213"/>
      <c r="L590" s="213"/>
      <c r="M590" s="213"/>
      <c r="N590" s="213"/>
      <c r="O590" s="213"/>
      <c r="P590" s="213"/>
      <c r="Q590" s="213"/>
      <c r="R590" s="213"/>
      <c r="S590" s="213"/>
      <c r="T590" s="213"/>
      <c r="U590" s="213"/>
      <c r="V590" s="213"/>
      <c r="W590" s="213"/>
      <c r="X590" s="213"/>
      <c r="Y590" s="213"/>
      <c r="Z590" s="213"/>
    </row>
    <row r="591" spans="1:26" ht="14.25">
      <c r="A591" s="213"/>
      <c r="B591" s="213"/>
      <c r="C591" s="213"/>
      <c r="D591" s="213"/>
      <c r="E591" s="213"/>
      <c r="F591" s="213"/>
      <c r="G591" s="213"/>
      <c r="H591" s="213"/>
      <c r="I591" s="213"/>
      <c r="J591" s="213"/>
      <c r="K591" s="213"/>
      <c r="L591" s="213"/>
      <c r="M591" s="213"/>
      <c r="N591" s="213"/>
      <c r="O591" s="213"/>
      <c r="P591" s="213"/>
      <c r="Q591" s="213"/>
      <c r="R591" s="213"/>
      <c r="S591" s="213"/>
      <c r="T591" s="213"/>
      <c r="U591" s="213"/>
      <c r="V591" s="213"/>
      <c r="W591" s="213"/>
      <c r="X591" s="213"/>
      <c r="Y591" s="213"/>
      <c r="Z591" s="213"/>
    </row>
    <row r="592" spans="1:26" ht="14.25">
      <c r="A592" s="213"/>
      <c r="B592" s="213"/>
      <c r="C592" s="213"/>
      <c r="D592" s="213"/>
      <c r="E592" s="213"/>
      <c r="F592" s="213"/>
      <c r="G592" s="213"/>
      <c r="H592" s="213"/>
      <c r="I592" s="213"/>
      <c r="J592" s="213"/>
      <c r="K592" s="213"/>
      <c r="L592" s="213"/>
      <c r="M592" s="213"/>
      <c r="N592" s="213"/>
      <c r="O592" s="213"/>
      <c r="P592" s="213"/>
      <c r="Q592" s="213"/>
      <c r="R592" s="213"/>
      <c r="S592" s="213"/>
      <c r="T592" s="213"/>
      <c r="U592" s="213"/>
      <c r="V592" s="213"/>
      <c r="W592" s="213"/>
      <c r="X592" s="213"/>
      <c r="Y592" s="213"/>
      <c r="Z592" s="213"/>
    </row>
    <row r="593" spans="1:26" ht="14.25">
      <c r="A593" s="213"/>
      <c r="B593" s="213"/>
      <c r="C593" s="213"/>
      <c r="D593" s="213"/>
      <c r="E593" s="213"/>
      <c r="F593" s="213"/>
      <c r="G593" s="213"/>
      <c r="H593" s="213"/>
      <c r="I593" s="213"/>
      <c r="J593" s="213"/>
      <c r="K593" s="213"/>
      <c r="L593" s="213"/>
      <c r="M593" s="213"/>
      <c r="N593" s="213"/>
      <c r="O593" s="213"/>
      <c r="P593" s="213"/>
      <c r="Q593" s="213"/>
      <c r="R593" s="213"/>
      <c r="S593" s="213"/>
      <c r="T593" s="213"/>
      <c r="U593" s="213"/>
      <c r="V593" s="213"/>
      <c r="W593" s="213"/>
      <c r="X593" s="213"/>
      <c r="Y593" s="213"/>
      <c r="Z593" s="213"/>
    </row>
    <row r="594" spans="1:26" ht="14.25">
      <c r="A594" s="213"/>
      <c r="B594" s="213"/>
      <c r="C594" s="213"/>
      <c r="D594" s="213"/>
      <c r="E594" s="213"/>
      <c r="F594" s="213"/>
      <c r="G594" s="213"/>
      <c r="H594" s="213"/>
      <c r="I594" s="213"/>
      <c r="J594" s="213"/>
      <c r="K594" s="213"/>
      <c r="L594" s="213"/>
      <c r="M594" s="213"/>
      <c r="N594" s="213"/>
      <c r="O594" s="213"/>
      <c r="P594" s="213"/>
      <c r="Q594" s="213"/>
      <c r="R594" s="213"/>
      <c r="S594" s="213"/>
      <c r="T594" s="213"/>
      <c r="U594" s="213"/>
      <c r="V594" s="213"/>
      <c r="W594" s="213"/>
      <c r="X594" s="213"/>
      <c r="Y594" s="213"/>
      <c r="Z594" s="213"/>
    </row>
    <row r="595" spans="1:26" ht="14.25">
      <c r="A595" s="213"/>
      <c r="B595" s="213"/>
      <c r="C595" s="213"/>
      <c r="D595" s="213"/>
      <c r="E595" s="213"/>
      <c r="F595" s="213"/>
      <c r="G595" s="213"/>
      <c r="H595" s="213"/>
      <c r="I595" s="213"/>
      <c r="J595" s="213"/>
      <c r="K595" s="213"/>
      <c r="L595" s="213"/>
      <c r="M595" s="213"/>
      <c r="N595" s="213"/>
      <c r="O595" s="213"/>
      <c r="P595" s="213"/>
      <c r="Q595" s="213"/>
      <c r="R595" s="213"/>
      <c r="S595" s="213"/>
      <c r="T595" s="213"/>
      <c r="U595" s="213"/>
      <c r="V595" s="213"/>
      <c r="W595" s="213"/>
      <c r="X595" s="213"/>
      <c r="Y595" s="213"/>
      <c r="Z595" s="213"/>
    </row>
    <row r="596" spans="1:26" ht="14.25">
      <c r="A596" s="213"/>
      <c r="B596" s="213"/>
      <c r="C596" s="213"/>
      <c r="D596" s="213"/>
      <c r="E596" s="213"/>
      <c r="F596" s="213"/>
      <c r="G596" s="213"/>
      <c r="H596" s="213"/>
      <c r="I596" s="213"/>
      <c r="J596" s="213"/>
      <c r="K596" s="213"/>
      <c r="L596" s="213"/>
      <c r="M596" s="213"/>
      <c r="N596" s="213"/>
      <c r="O596" s="213"/>
      <c r="P596" s="213"/>
      <c r="Q596" s="213"/>
      <c r="R596" s="213"/>
      <c r="S596" s="213"/>
      <c r="T596" s="213"/>
      <c r="U596" s="213"/>
      <c r="V596" s="213"/>
      <c r="W596" s="213"/>
      <c r="X596" s="213"/>
      <c r="Y596" s="213"/>
      <c r="Z596" s="213"/>
    </row>
    <row r="597" spans="1:26" ht="14.25">
      <c r="A597" s="213"/>
      <c r="B597" s="213"/>
      <c r="C597" s="213"/>
      <c r="D597" s="213"/>
      <c r="E597" s="213"/>
      <c r="F597" s="213"/>
      <c r="G597" s="213"/>
      <c r="H597" s="213"/>
      <c r="I597" s="213"/>
      <c r="J597" s="213"/>
      <c r="K597" s="213"/>
      <c r="L597" s="213"/>
      <c r="M597" s="213"/>
      <c r="N597" s="213"/>
      <c r="O597" s="213"/>
      <c r="P597" s="213"/>
      <c r="Q597" s="213"/>
      <c r="R597" s="213"/>
      <c r="S597" s="213"/>
      <c r="T597" s="213"/>
      <c r="U597" s="213"/>
      <c r="V597" s="213"/>
      <c r="W597" s="213"/>
      <c r="X597" s="213"/>
      <c r="Y597" s="213"/>
      <c r="Z597" s="213"/>
    </row>
    <row r="598" spans="1:26" ht="14.25">
      <c r="A598" s="213"/>
      <c r="B598" s="213"/>
      <c r="C598" s="213"/>
      <c r="D598" s="213"/>
      <c r="E598" s="213"/>
      <c r="F598" s="213"/>
      <c r="G598" s="213"/>
      <c r="H598" s="213"/>
      <c r="I598" s="213"/>
      <c r="J598" s="213"/>
      <c r="K598" s="213"/>
      <c r="L598" s="213"/>
      <c r="M598" s="213"/>
      <c r="N598" s="213"/>
      <c r="O598" s="213"/>
      <c r="P598" s="213"/>
      <c r="Q598" s="213"/>
      <c r="R598" s="213"/>
      <c r="S598" s="213"/>
      <c r="T598" s="213"/>
      <c r="U598" s="213"/>
      <c r="V598" s="213"/>
      <c r="W598" s="213"/>
      <c r="X598" s="213"/>
      <c r="Y598" s="213"/>
      <c r="Z598" s="213"/>
    </row>
    <row r="599" spans="1:26" ht="14.25">
      <c r="A599" s="213"/>
      <c r="B599" s="213"/>
      <c r="C599" s="213"/>
      <c r="D599" s="213"/>
      <c r="E599" s="213"/>
      <c r="F599" s="213"/>
      <c r="G599" s="213"/>
      <c r="H599" s="213"/>
      <c r="I599" s="213"/>
      <c r="J599" s="213"/>
      <c r="K599" s="213"/>
      <c r="L599" s="213"/>
      <c r="M599" s="213"/>
      <c r="N599" s="213"/>
      <c r="O599" s="213"/>
      <c r="P599" s="213"/>
      <c r="Q599" s="213"/>
      <c r="R599" s="213"/>
      <c r="S599" s="213"/>
      <c r="T599" s="213"/>
      <c r="U599" s="213"/>
      <c r="V599" s="213"/>
      <c r="W599" s="213"/>
      <c r="X599" s="213"/>
      <c r="Y599" s="213"/>
      <c r="Z599" s="213"/>
    </row>
    <row r="600" spans="1:26" ht="14.25">
      <c r="A600" s="213"/>
      <c r="B600" s="213"/>
      <c r="C600" s="213"/>
      <c r="D600" s="213"/>
      <c r="E600" s="213"/>
      <c r="F600" s="213"/>
      <c r="G600" s="213"/>
      <c r="H600" s="213"/>
      <c r="I600" s="213"/>
      <c r="J600" s="213"/>
      <c r="K600" s="213"/>
      <c r="L600" s="213"/>
      <c r="M600" s="213"/>
      <c r="N600" s="213"/>
      <c r="O600" s="213"/>
      <c r="P600" s="213"/>
      <c r="Q600" s="213"/>
      <c r="R600" s="213"/>
      <c r="S600" s="213"/>
      <c r="T600" s="213"/>
      <c r="U600" s="213"/>
      <c r="V600" s="213"/>
      <c r="W600" s="213"/>
      <c r="X600" s="213"/>
      <c r="Y600" s="213"/>
      <c r="Z600" s="213"/>
    </row>
    <row r="601" spans="1:26" ht="14.25">
      <c r="A601" s="213"/>
      <c r="B601" s="213"/>
      <c r="C601" s="213"/>
      <c r="D601" s="213"/>
      <c r="E601" s="213"/>
      <c r="F601" s="213"/>
      <c r="G601" s="213"/>
      <c r="H601" s="213"/>
      <c r="I601" s="213"/>
      <c r="J601" s="213"/>
      <c r="K601" s="213"/>
      <c r="L601" s="213"/>
      <c r="M601" s="213"/>
      <c r="N601" s="213"/>
      <c r="O601" s="213"/>
      <c r="P601" s="213"/>
      <c r="Q601" s="213"/>
      <c r="R601" s="213"/>
      <c r="S601" s="213"/>
      <c r="T601" s="213"/>
      <c r="U601" s="213"/>
      <c r="V601" s="213"/>
      <c r="W601" s="213"/>
      <c r="X601" s="213"/>
      <c r="Y601" s="213"/>
      <c r="Z601" s="213"/>
    </row>
    <row r="602" spans="1:26" ht="14.25">
      <c r="A602" s="213"/>
      <c r="B602" s="213"/>
      <c r="C602" s="213"/>
      <c r="D602" s="213"/>
      <c r="E602" s="213"/>
      <c r="F602" s="213"/>
      <c r="G602" s="213"/>
      <c r="H602" s="213"/>
      <c r="I602" s="213"/>
      <c r="J602" s="213"/>
      <c r="K602" s="213"/>
      <c r="L602" s="213"/>
      <c r="M602" s="213"/>
      <c r="N602" s="213"/>
      <c r="O602" s="213"/>
      <c r="P602" s="213"/>
      <c r="Q602" s="213"/>
      <c r="R602" s="213"/>
      <c r="S602" s="213"/>
      <c r="T602" s="213"/>
      <c r="U602" s="213"/>
      <c r="V602" s="213"/>
      <c r="W602" s="213"/>
      <c r="X602" s="213"/>
      <c r="Y602" s="213"/>
      <c r="Z602" s="213"/>
    </row>
    <row r="603" spans="1:26" ht="14.25">
      <c r="A603" s="213"/>
      <c r="B603" s="213"/>
      <c r="C603" s="213"/>
      <c r="D603" s="213"/>
      <c r="E603" s="213"/>
      <c r="F603" s="213"/>
      <c r="G603" s="213"/>
      <c r="H603" s="213"/>
      <c r="I603" s="213"/>
      <c r="J603" s="213"/>
      <c r="K603" s="213"/>
      <c r="L603" s="213"/>
      <c r="M603" s="213"/>
      <c r="N603" s="213"/>
      <c r="O603" s="213"/>
      <c r="P603" s="213"/>
      <c r="Q603" s="213"/>
      <c r="R603" s="213"/>
      <c r="S603" s="213"/>
      <c r="T603" s="213"/>
      <c r="U603" s="213"/>
      <c r="V603" s="213"/>
      <c r="W603" s="213"/>
      <c r="X603" s="213"/>
      <c r="Y603" s="213"/>
      <c r="Z603" s="213"/>
    </row>
    <row r="604" spans="1:26" ht="14.25">
      <c r="A604" s="213"/>
      <c r="B604" s="213"/>
      <c r="C604" s="213"/>
      <c r="D604" s="213"/>
      <c r="E604" s="213"/>
      <c r="F604" s="213"/>
      <c r="G604" s="213"/>
      <c r="H604" s="213"/>
      <c r="I604" s="213"/>
      <c r="J604" s="213"/>
      <c r="K604" s="213"/>
      <c r="L604" s="213"/>
      <c r="M604" s="213"/>
      <c r="N604" s="213"/>
      <c r="O604" s="213"/>
      <c r="P604" s="213"/>
      <c r="Q604" s="213"/>
      <c r="R604" s="213"/>
      <c r="S604" s="213"/>
      <c r="T604" s="213"/>
      <c r="U604" s="213"/>
      <c r="V604" s="213"/>
      <c r="W604" s="213"/>
      <c r="X604" s="213"/>
      <c r="Y604" s="213"/>
      <c r="Z604" s="213"/>
    </row>
    <row r="605" spans="1:26" ht="14.25">
      <c r="A605" s="213"/>
      <c r="B605" s="213"/>
      <c r="C605" s="213"/>
      <c r="D605" s="213"/>
      <c r="E605" s="213"/>
      <c r="F605" s="213"/>
      <c r="G605" s="213"/>
      <c r="H605" s="213"/>
      <c r="I605" s="213"/>
      <c r="J605" s="213"/>
      <c r="K605" s="213"/>
      <c r="L605" s="213"/>
      <c r="M605" s="213"/>
      <c r="N605" s="213"/>
      <c r="O605" s="213"/>
      <c r="P605" s="213"/>
      <c r="Q605" s="213"/>
      <c r="R605" s="213"/>
      <c r="S605" s="213"/>
      <c r="T605" s="213"/>
      <c r="U605" s="213"/>
      <c r="V605" s="213"/>
      <c r="W605" s="213"/>
      <c r="X605" s="213"/>
      <c r="Y605" s="213"/>
      <c r="Z605" s="213"/>
    </row>
    <row r="606" spans="1:26" ht="14.25">
      <c r="A606" s="213"/>
      <c r="B606" s="213"/>
      <c r="C606" s="213"/>
      <c r="D606" s="213"/>
      <c r="E606" s="213"/>
      <c r="F606" s="213"/>
      <c r="G606" s="213"/>
      <c r="H606" s="213"/>
      <c r="I606" s="213"/>
      <c r="J606" s="213"/>
      <c r="K606" s="213"/>
      <c r="L606" s="213"/>
      <c r="M606" s="213"/>
      <c r="N606" s="213"/>
      <c r="O606" s="213"/>
      <c r="P606" s="213"/>
      <c r="Q606" s="213"/>
      <c r="R606" s="213"/>
      <c r="S606" s="213"/>
      <c r="T606" s="213"/>
      <c r="U606" s="213"/>
      <c r="V606" s="213"/>
      <c r="W606" s="213"/>
      <c r="X606" s="213"/>
      <c r="Y606" s="213"/>
      <c r="Z606" s="213"/>
    </row>
    <row r="607" spans="1:26" ht="14.25">
      <c r="A607" s="213"/>
      <c r="B607" s="213"/>
      <c r="C607" s="213"/>
      <c r="D607" s="213"/>
      <c r="E607" s="213"/>
      <c r="F607" s="213"/>
      <c r="G607" s="213"/>
      <c r="H607" s="213"/>
      <c r="I607" s="213"/>
      <c r="J607" s="213"/>
      <c r="K607" s="213"/>
      <c r="L607" s="213"/>
      <c r="M607" s="213"/>
      <c r="N607" s="213"/>
      <c r="O607" s="213"/>
      <c r="P607" s="213"/>
      <c r="Q607" s="213"/>
      <c r="R607" s="213"/>
      <c r="S607" s="213"/>
      <c r="T607" s="213"/>
      <c r="U607" s="213"/>
      <c r="V607" s="213"/>
      <c r="W607" s="213"/>
      <c r="X607" s="213"/>
      <c r="Y607" s="213"/>
      <c r="Z607" s="213"/>
    </row>
    <row r="608" spans="1:26" ht="14.25">
      <c r="A608" s="213"/>
      <c r="B608" s="213"/>
      <c r="C608" s="213"/>
      <c r="D608" s="213"/>
      <c r="E608" s="213"/>
      <c r="F608" s="213"/>
      <c r="G608" s="213"/>
      <c r="H608" s="213"/>
      <c r="I608" s="213"/>
      <c r="J608" s="213"/>
      <c r="K608" s="213"/>
      <c r="L608" s="213"/>
      <c r="M608" s="213"/>
      <c r="N608" s="213"/>
      <c r="O608" s="213"/>
      <c r="P608" s="213"/>
      <c r="Q608" s="213"/>
      <c r="R608" s="213"/>
      <c r="S608" s="213"/>
      <c r="T608" s="213"/>
      <c r="U608" s="213"/>
      <c r="V608" s="213"/>
      <c r="W608" s="213"/>
      <c r="X608" s="213"/>
      <c r="Y608" s="213"/>
      <c r="Z608" s="213"/>
    </row>
    <row r="609" spans="1:26" ht="14.25">
      <c r="A609" s="213"/>
      <c r="B609" s="213"/>
      <c r="C609" s="213"/>
      <c r="D609" s="213"/>
      <c r="E609" s="213"/>
      <c r="F609" s="213"/>
      <c r="G609" s="213"/>
      <c r="H609" s="213"/>
      <c r="I609" s="213"/>
      <c r="J609" s="213"/>
      <c r="K609" s="213"/>
      <c r="L609" s="213"/>
      <c r="M609" s="213"/>
      <c r="N609" s="213"/>
      <c r="O609" s="213"/>
      <c r="P609" s="213"/>
      <c r="Q609" s="213"/>
      <c r="R609" s="213"/>
      <c r="S609" s="213"/>
      <c r="T609" s="213"/>
      <c r="U609" s="213"/>
      <c r="V609" s="213"/>
      <c r="W609" s="213"/>
      <c r="X609" s="213"/>
      <c r="Y609" s="213"/>
      <c r="Z609" s="213"/>
    </row>
    <row r="610" spans="1:26" ht="14.25">
      <c r="A610" s="213"/>
      <c r="B610" s="213"/>
      <c r="C610" s="213"/>
      <c r="D610" s="213"/>
      <c r="E610" s="213"/>
      <c r="F610" s="213"/>
      <c r="G610" s="213"/>
      <c r="H610" s="213"/>
      <c r="I610" s="213"/>
      <c r="J610" s="213"/>
      <c r="K610" s="213"/>
      <c r="L610" s="213"/>
      <c r="M610" s="213"/>
      <c r="N610" s="213"/>
      <c r="O610" s="213"/>
      <c r="P610" s="213"/>
      <c r="Q610" s="213"/>
      <c r="R610" s="213"/>
      <c r="S610" s="213"/>
      <c r="T610" s="213"/>
      <c r="U610" s="213"/>
      <c r="V610" s="213"/>
      <c r="W610" s="213"/>
      <c r="X610" s="213"/>
      <c r="Y610" s="213"/>
      <c r="Z610" s="213"/>
    </row>
    <row r="611" spans="1:26" ht="14.25">
      <c r="A611" s="213"/>
      <c r="B611" s="213"/>
      <c r="C611" s="213"/>
      <c r="D611" s="213"/>
      <c r="E611" s="213"/>
      <c r="F611" s="213"/>
      <c r="G611" s="213"/>
      <c r="H611" s="213"/>
      <c r="I611" s="213"/>
      <c r="J611" s="213"/>
      <c r="K611" s="213"/>
      <c r="L611" s="213"/>
      <c r="M611" s="213"/>
      <c r="N611" s="213"/>
      <c r="O611" s="213"/>
      <c r="P611" s="213"/>
      <c r="Q611" s="213"/>
      <c r="R611" s="213"/>
      <c r="S611" s="213"/>
      <c r="T611" s="213"/>
      <c r="U611" s="213"/>
      <c r="V611" s="213"/>
      <c r="W611" s="213"/>
      <c r="X611" s="213"/>
      <c r="Y611" s="213"/>
      <c r="Z611" s="213"/>
    </row>
    <row r="612" spans="1:26" ht="14.25">
      <c r="A612" s="213"/>
      <c r="B612" s="213"/>
      <c r="C612" s="213"/>
      <c r="D612" s="213"/>
      <c r="E612" s="213"/>
      <c r="F612" s="213"/>
      <c r="G612" s="213"/>
      <c r="H612" s="213"/>
      <c r="I612" s="213"/>
      <c r="J612" s="213"/>
      <c r="K612" s="213"/>
      <c r="L612" s="213"/>
      <c r="M612" s="213"/>
      <c r="N612" s="213"/>
      <c r="O612" s="213"/>
      <c r="P612" s="213"/>
      <c r="Q612" s="213"/>
      <c r="R612" s="213"/>
      <c r="S612" s="213"/>
      <c r="T612" s="213"/>
      <c r="U612" s="213"/>
      <c r="V612" s="213"/>
      <c r="W612" s="213"/>
      <c r="X612" s="213"/>
      <c r="Y612" s="213"/>
      <c r="Z612" s="213"/>
    </row>
    <row r="613" spans="1:26" ht="14.25">
      <c r="A613" s="213"/>
      <c r="B613" s="213"/>
      <c r="C613" s="213"/>
      <c r="D613" s="213"/>
      <c r="E613" s="213"/>
      <c r="F613" s="213"/>
      <c r="G613" s="213"/>
      <c r="H613" s="213"/>
      <c r="I613" s="213"/>
      <c r="J613" s="213"/>
      <c r="K613" s="213"/>
      <c r="L613" s="213"/>
      <c r="M613" s="213"/>
      <c r="N613" s="213"/>
      <c r="O613" s="213"/>
      <c r="P613" s="213"/>
      <c r="Q613" s="213"/>
      <c r="R613" s="213"/>
      <c r="S613" s="213"/>
      <c r="T613" s="213"/>
      <c r="U613" s="213"/>
      <c r="V613" s="213"/>
      <c r="W613" s="213"/>
      <c r="X613" s="213"/>
      <c r="Y613" s="213"/>
      <c r="Z613" s="213"/>
    </row>
    <row r="614" spans="1:26" ht="14.25">
      <c r="A614" s="213"/>
      <c r="B614" s="213"/>
      <c r="C614" s="213"/>
      <c r="D614" s="213"/>
      <c r="E614" s="213"/>
      <c r="F614" s="213"/>
      <c r="G614" s="213"/>
      <c r="H614" s="213"/>
      <c r="I614" s="213"/>
      <c r="J614" s="213"/>
      <c r="K614" s="213"/>
      <c r="L614" s="213"/>
      <c r="M614" s="213"/>
      <c r="N614" s="213"/>
      <c r="O614" s="213"/>
      <c r="P614" s="213"/>
      <c r="Q614" s="213"/>
      <c r="R614" s="213"/>
      <c r="S614" s="213"/>
      <c r="T614" s="213"/>
      <c r="U614" s="213"/>
      <c r="V614" s="213"/>
      <c r="W614" s="213"/>
      <c r="X614" s="213"/>
      <c r="Y614" s="213"/>
      <c r="Z614" s="213"/>
    </row>
    <row r="615" spans="1:26" ht="14.25">
      <c r="A615" s="213"/>
      <c r="B615" s="213"/>
      <c r="C615" s="213"/>
      <c r="D615" s="213"/>
      <c r="E615" s="213"/>
      <c r="F615" s="213"/>
      <c r="G615" s="213"/>
      <c r="H615" s="213"/>
      <c r="I615" s="213"/>
      <c r="J615" s="213"/>
      <c r="K615" s="213"/>
      <c r="L615" s="213"/>
      <c r="M615" s="213"/>
      <c r="N615" s="213"/>
      <c r="O615" s="213"/>
      <c r="P615" s="213"/>
      <c r="Q615" s="213"/>
      <c r="R615" s="213"/>
      <c r="S615" s="213"/>
      <c r="T615" s="213"/>
      <c r="U615" s="213"/>
      <c r="V615" s="213"/>
      <c r="W615" s="213"/>
      <c r="X615" s="213"/>
      <c r="Y615" s="213"/>
      <c r="Z615" s="213"/>
    </row>
    <row r="616" spans="1:26" ht="14.25">
      <c r="A616" s="213"/>
      <c r="B616" s="213"/>
      <c r="C616" s="213"/>
      <c r="D616" s="213"/>
      <c r="E616" s="213"/>
      <c r="F616" s="213"/>
      <c r="G616" s="213"/>
      <c r="H616" s="213"/>
      <c r="I616" s="213"/>
      <c r="J616" s="213"/>
      <c r="K616" s="213"/>
      <c r="L616" s="213"/>
      <c r="M616" s="213"/>
      <c r="N616" s="213"/>
      <c r="O616" s="213"/>
      <c r="P616" s="213"/>
      <c r="Q616" s="213"/>
      <c r="R616" s="213"/>
      <c r="S616" s="213"/>
      <c r="T616" s="213"/>
      <c r="U616" s="213"/>
      <c r="V616" s="213"/>
      <c r="W616" s="213"/>
      <c r="X616" s="213"/>
      <c r="Y616" s="213"/>
      <c r="Z616" s="213"/>
    </row>
    <row r="617" spans="1:26" ht="14.25">
      <c r="A617" s="213"/>
      <c r="B617" s="213"/>
      <c r="C617" s="213"/>
      <c r="D617" s="213"/>
      <c r="E617" s="213"/>
      <c r="F617" s="213"/>
      <c r="G617" s="213"/>
      <c r="H617" s="213"/>
      <c r="I617" s="213"/>
      <c r="J617" s="213"/>
      <c r="K617" s="213"/>
      <c r="L617" s="213"/>
      <c r="M617" s="213"/>
      <c r="N617" s="213"/>
      <c r="O617" s="213"/>
      <c r="P617" s="213"/>
      <c r="Q617" s="213"/>
      <c r="R617" s="213"/>
      <c r="S617" s="213"/>
      <c r="T617" s="213"/>
      <c r="U617" s="213"/>
      <c r="V617" s="213"/>
      <c r="W617" s="213"/>
      <c r="X617" s="213"/>
      <c r="Y617" s="213"/>
      <c r="Z617" s="213"/>
    </row>
    <row r="618" spans="1:26" ht="14.25">
      <c r="A618" s="213"/>
      <c r="B618" s="213"/>
      <c r="C618" s="213"/>
      <c r="D618" s="213"/>
      <c r="E618" s="213"/>
      <c r="F618" s="213"/>
      <c r="G618" s="213"/>
      <c r="H618" s="213"/>
      <c r="I618" s="213"/>
      <c r="J618" s="213"/>
      <c r="K618" s="213"/>
      <c r="L618" s="213"/>
      <c r="M618" s="213"/>
      <c r="N618" s="213"/>
      <c r="O618" s="213"/>
      <c r="P618" s="213"/>
      <c r="Q618" s="213"/>
      <c r="R618" s="213"/>
      <c r="S618" s="213"/>
      <c r="T618" s="213"/>
      <c r="U618" s="213"/>
      <c r="V618" s="213"/>
      <c r="W618" s="213"/>
      <c r="X618" s="213"/>
      <c r="Y618" s="213"/>
      <c r="Z618" s="213"/>
    </row>
    <row r="619" spans="1:26" ht="14.25">
      <c r="A619" s="213"/>
      <c r="B619" s="213"/>
      <c r="C619" s="213"/>
      <c r="D619" s="213"/>
      <c r="E619" s="213"/>
      <c r="F619" s="213"/>
      <c r="G619" s="213"/>
      <c r="H619" s="213"/>
      <c r="I619" s="213"/>
      <c r="J619" s="213"/>
      <c r="K619" s="213"/>
      <c r="L619" s="213"/>
      <c r="M619" s="213"/>
      <c r="N619" s="213"/>
      <c r="O619" s="213"/>
      <c r="P619" s="213"/>
      <c r="Q619" s="213"/>
      <c r="R619" s="213"/>
      <c r="S619" s="213"/>
      <c r="T619" s="213"/>
      <c r="U619" s="213"/>
      <c r="V619" s="213"/>
      <c r="W619" s="213"/>
      <c r="X619" s="213"/>
      <c r="Y619" s="213"/>
      <c r="Z619" s="213"/>
    </row>
    <row r="620" spans="1:26" ht="14.25">
      <c r="A620" s="213"/>
      <c r="B620" s="213"/>
      <c r="C620" s="213"/>
      <c r="D620" s="213"/>
      <c r="E620" s="213"/>
      <c r="F620" s="213"/>
      <c r="G620" s="213"/>
      <c r="H620" s="213"/>
      <c r="I620" s="213"/>
      <c r="J620" s="213"/>
      <c r="K620" s="213"/>
      <c r="L620" s="213"/>
      <c r="M620" s="213"/>
      <c r="N620" s="213"/>
      <c r="O620" s="213"/>
      <c r="P620" s="213"/>
      <c r="Q620" s="213"/>
      <c r="R620" s="213"/>
      <c r="S620" s="213"/>
      <c r="T620" s="213"/>
      <c r="U620" s="213"/>
      <c r="V620" s="213"/>
      <c r="W620" s="213"/>
      <c r="X620" s="213"/>
      <c r="Y620" s="213"/>
      <c r="Z620" s="213"/>
    </row>
    <row r="621" spans="1:26" ht="14.25">
      <c r="A621" s="213"/>
      <c r="B621" s="213"/>
      <c r="C621" s="213"/>
      <c r="D621" s="213"/>
      <c r="E621" s="213"/>
      <c r="F621" s="213"/>
      <c r="G621" s="213"/>
      <c r="H621" s="213"/>
      <c r="I621" s="213"/>
      <c r="J621" s="213"/>
      <c r="K621" s="213"/>
      <c r="L621" s="213"/>
      <c r="M621" s="213"/>
      <c r="N621" s="213"/>
      <c r="O621" s="213"/>
      <c r="P621" s="213"/>
      <c r="Q621" s="213"/>
      <c r="R621" s="213"/>
      <c r="S621" s="213"/>
      <c r="T621" s="213"/>
      <c r="U621" s="213"/>
      <c r="V621" s="213"/>
      <c r="W621" s="213"/>
      <c r="X621" s="213"/>
      <c r="Y621" s="213"/>
      <c r="Z621" s="213"/>
    </row>
    <row r="622" spans="1:26" ht="14.25">
      <c r="A622" s="213"/>
      <c r="B622" s="213"/>
      <c r="C622" s="213"/>
      <c r="D622" s="213"/>
      <c r="E622" s="213"/>
      <c r="F622" s="213"/>
      <c r="G622" s="213"/>
      <c r="H622" s="213"/>
      <c r="I622" s="213"/>
      <c r="J622" s="213"/>
      <c r="K622" s="213"/>
      <c r="L622" s="213"/>
      <c r="M622" s="213"/>
      <c r="N622" s="213"/>
      <c r="O622" s="213"/>
      <c r="P622" s="213"/>
      <c r="Q622" s="213"/>
      <c r="R622" s="213"/>
      <c r="S622" s="213"/>
      <c r="T622" s="213"/>
      <c r="U622" s="213"/>
      <c r="V622" s="213"/>
      <c r="W622" s="213"/>
      <c r="X622" s="213"/>
      <c r="Y622" s="213"/>
      <c r="Z622" s="213"/>
    </row>
    <row r="623" spans="1:26" ht="14.25">
      <c r="A623" s="213"/>
      <c r="B623" s="213"/>
      <c r="C623" s="213"/>
      <c r="D623" s="213"/>
      <c r="E623" s="213"/>
      <c r="F623" s="213"/>
      <c r="G623" s="213"/>
      <c r="H623" s="213"/>
      <c r="I623" s="213"/>
      <c r="J623" s="213"/>
      <c r="K623" s="213"/>
      <c r="L623" s="213"/>
      <c r="M623" s="213"/>
      <c r="N623" s="213"/>
      <c r="O623" s="213"/>
      <c r="P623" s="213"/>
      <c r="Q623" s="213"/>
      <c r="R623" s="213"/>
      <c r="S623" s="213"/>
      <c r="T623" s="213"/>
      <c r="U623" s="213"/>
      <c r="V623" s="213"/>
      <c r="W623" s="213"/>
      <c r="X623" s="213"/>
      <c r="Y623" s="213"/>
      <c r="Z623" s="213"/>
    </row>
    <row r="624" spans="1:26" ht="14.25">
      <c r="A624" s="213"/>
      <c r="B624" s="213"/>
      <c r="C624" s="213"/>
      <c r="D624" s="213"/>
      <c r="E624" s="213"/>
      <c r="F624" s="213"/>
      <c r="G624" s="213"/>
      <c r="H624" s="213"/>
      <c r="I624" s="213"/>
      <c r="J624" s="213"/>
      <c r="K624" s="213"/>
      <c r="L624" s="213"/>
      <c r="M624" s="213"/>
      <c r="N624" s="213"/>
      <c r="O624" s="213"/>
      <c r="P624" s="213"/>
      <c r="Q624" s="213"/>
      <c r="R624" s="213"/>
      <c r="S624" s="213"/>
      <c r="T624" s="213"/>
      <c r="U624" s="213"/>
      <c r="V624" s="213"/>
      <c r="W624" s="213"/>
      <c r="X624" s="213"/>
      <c r="Y624" s="213"/>
      <c r="Z624" s="213"/>
    </row>
    <row r="625" spans="1:26" ht="14.25">
      <c r="A625" s="213"/>
      <c r="B625" s="213"/>
      <c r="C625" s="213"/>
      <c r="D625" s="213"/>
      <c r="E625" s="213"/>
      <c r="F625" s="213"/>
      <c r="G625" s="213"/>
      <c r="H625" s="213"/>
      <c r="I625" s="213"/>
      <c r="J625" s="213"/>
      <c r="K625" s="213"/>
      <c r="L625" s="213"/>
      <c r="M625" s="213"/>
      <c r="N625" s="213"/>
      <c r="O625" s="213"/>
      <c r="P625" s="213"/>
      <c r="Q625" s="213"/>
      <c r="R625" s="213"/>
      <c r="S625" s="213"/>
      <c r="T625" s="213"/>
      <c r="U625" s="213"/>
      <c r="V625" s="213"/>
      <c r="W625" s="213"/>
      <c r="X625" s="213"/>
      <c r="Y625" s="213"/>
      <c r="Z625" s="213"/>
    </row>
    <row r="626" spans="1:26" ht="14.25">
      <c r="A626" s="213"/>
      <c r="B626" s="213"/>
      <c r="C626" s="213"/>
      <c r="D626" s="213"/>
      <c r="E626" s="213"/>
      <c r="F626" s="213"/>
      <c r="G626" s="213"/>
      <c r="H626" s="213"/>
      <c r="I626" s="213"/>
      <c r="J626" s="213"/>
      <c r="K626" s="213"/>
      <c r="L626" s="213"/>
      <c r="M626" s="213"/>
      <c r="N626" s="213"/>
      <c r="O626" s="213"/>
      <c r="P626" s="213"/>
      <c r="Q626" s="213"/>
      <c r="R626" s="213"/>
      <c r="S626" s="213"/>
      <c r="T626" s="213"/>
      <c r="U626" s="213"/>
      <c r="V626" s="213"/>
      <c r="W626" s="213"/>
      <c r="X626" s="213"/>
      <c r="Y626" s="213"/>
      <c r="Z626" s="213"/>
    </row>
    <row r="627" spans="1:26" ht="14.25">
      <c r="A627" s="213"/>
      <c r="B627" s="213"/>
      <c r="C627" s="213"/>
      <c r="D627" s="213"/>
      <c r="E627" s="213"/>
      <c r="F627" s="213"/>
      <c r="G627" s="213"/>
      <c r="H627" s="213"/>
      <c r="I627" s="213"/>
      <c r="J627" s="213"/>
      <c r="K627" s="213"/>
      <c r="L627" s="213"/>
      <c r="M627" s="213"/>
      <c r="N627" s="213"/>
      <c r="O627" s="213"/>
      <c r="P627" s="213"/>
      <c r="Q627" s="213"/>
      <c r="R627" s="213"/>
      <c r="S627" s="213"/>
      <c r="T627" s="213"/>
      <c r="U627" s="213"/>
      <c r="V627" s="213"/>
      <c r="W627" s="213"/>
      <c r="X627" s="213"/>
      <c r="Y627" s="213"/>
      <c r="Z627" s="213"/>
    </row>
    <row r="628" spans="1:26" ht="14.25">
      <c r="A628" s="213"/>
      <c r="B628" s="213"/>
      <c r="C628" s="213"/>
      <c r="D628" s="213"/>
      <c r="E628" s="213"/>
      <c r="F628" s="213"/>
      <c r="G628" s="213"/>
      <c r="H628" s="213"/>
      <c r="I628" s="213"/>
      <c r="J628" s="213"/>
      <c r="K628" s="213"/>
      <c r="L628" s="213"/>
      <c r="M628" s="213"/>
      <c r="N628" s="213"/>
      <c r="O628" s="213"/>
      <c r="P628" s="213"/>
      <c r="Q628" s="213"/>
      <c r="R628" s="213"/>
      <c r="S628" s="213"/>
      <c r="T628" s="213"/>
      <c r="U628" s="213"/>
      <c r="V628" s="213"/>
      <c r="W628" s="213"/>
      <c r="X628" s="213"/>
      <c r="Y628" s="213"/>
      <c r="Z628" s="213"/>
    </row>
    <row r="629" spans="1:26" ht="14.25">
      <c r="A629" s="213"/>
      <c r="B629" s="213"/>
      <c r="C629" s="213"/>
      <c r="D629" s="213"/>
      <c r="E629" s="213"/>
      <c r="F629" s="213"/>
      <c r="G629" s="213"/>
      <c r="H629" s="213"/>
      <c r="I629" s="213"/>
      <c r="J629" s="213"/>
      <c r="K629" s="213"/>
      <c r="L629" s="213"/>
      <c r="M629" s="213"/>
      <c r="N629" s="213"/>
      <c r="O629" s="213"/>
      <c r="P629" s="213"/>
      <c r="Q629" s="213"/>
      <c r="R629" s="213"/>
      <c r="S629" s="213"/>
      <c r="T629" s="213"/>
      <c r="U629" s="213"/>
      <c r="V629" s="213"/>
      <c r="W629" s="213"/>
      <c r="X629" s="213"/>
      <c r="Y629" s="213"/>
      <c r="Z629" s="213"/>
    </row>
    <row r="630" spans="1:26" ht="14.25">
      <c r="A630" s="213"/>
      <c r="B630" s="213"/>
      <c r="C630" s="213"/>
      <c r="D630" s="213"/>
      <c r="E630" s="213"/>
      <c r="F630" s="213"/>
      <c r="G630" s="213"/>
      <c r="H630" s="213"/>
      <c r="I630" s="213"/>
      <c r="J630" s="213"/>
      <c r="K630" s="213"/>
      <c r="L630" s="213"/>
      <c r="M630" s="213"/>
      <c r="N630" s="213"/>
      <c r="O630" s="213"/>
      <c r="P630" s="213"/>
      <c r="Q630" s="213"/>
      <c r="R630" s="213"/>
      <c r="S630" s="213"/>
      <c r="T630" s="213"/>
      <c r="U630" s="213"/>
      <c r="V630" s="213"/>
      <c r="W630" s="213"/>
      <c r="X630" s="213"/>
      <c r="Y630" s="213"/>
      <c r="Z630" s="213"/>
    </row>
    <row r="631" spans="1:26" ht="14.25">
      <c r="A631" s="213"/>
      <c r="B631" s="213"/>
      <c r="C631" s="213"/>
      <c r="D631" s="213"/>
      <c r="E631" s="213"/>
      <c r="F631" s="213"/>
      <c r="G631" s="213"/>
      <c r="H631" s="213"/>
      <c r="I631" s="213"/>
      <c r="J631" s="213"/>
      <c r="K631" s="213"/>
      <c r="L631" s="213"/>
      <c r="M631" s="213"/>
      <c r="N631" s="213"/>
      <c r="O631" s="213"/>
      <c r="P631" s="213"/>
      <c r="Q631" s="213"/>
      <c r="R631" s="213"/>
      <c r="S631" s="213"/>
      <c r="T631" s="213"/>
      <c r="U631" s="213"/>
      <c r="V631" s="213"/>
      <c r="W631" s="213"/>
      <c r="X631" s="213"/>
      <c r="Y631" s="213"/>
      <c r="Z631" s="213"/>
    </row>
    <row r="632" spans="1:26" ht="14.25">
      <c r="A632" s="213"/>
      <c r="B632" s="213"/>
      <c r="C632" s="213"/>
      <c r="D632" s="213"/>
      <c r="E632" s="213"/>
      <c r="F632" s="213"/>
      <c r="G632" s="213"/>
      <c r="H632" s="213"/>
      <c r="I632" s="213"/>
      <c r="J632" s="213"/>
      <c r="K632" s="213"/>
      <c r="L632" s="213"/>
      <c r="M632" s="213"/>
      <c r="N632" s="213"/>
      <c r="O632" s="213"/>
      <c r="P632" s="213"/>
      <c r="Q632" s="213"/>
      <c r="R632" s="213"/>
      <c r="S632" s="213"/>
      <c r="T632" s="213"/>
      <c r="U632" s="213"/>
      <c r="V632" s="213"/>
      <c r="W632" s="213"/>
      <c r="X632" s="213"/>
      <c r="Y632" s="213"/>
      <c r="Z632" s="213"/>
    </row>
    <row r="633" spans="1:26" ht="14.25">
      <c r="A633" s="213"/>
      <c r="B633" s="213"/>
      <c r="C633" s="213"/>
      <c r="D633" s="213"/>
      <c r="E633" s="213"/>
      <c r="F633" s="213"/>
      <c r="G633" s="213"/>
      <c r="H633" s="213"/>
      <c r="I633" s="213"/>
      <c r="J633" s="213"/>
      <c r="K633" s="213"/>
      <c r="L633" s="213"/>
      <c r="M633" s="213"/>
      <c r="N633" s="213"/>
      <c r="O633" s="213"/>
      <c r="P633" s="213"/>
      <c r="Q633" s="213"/>
      <c r="R633" s="213"/>
      <c r="S633" s="213"/>
      <c r="T633" s="213"/>
      <c r="U633" s="213"/>
      <c r="V633" s="213"/>
      <c r="W633" s="213"/>
      <c r="X633" s="213"/>
      <c r="Y633" s="213"/>
      <c r="Z633" s="213"/>
    </row>
    <row r="634" spans="1:26" ht="14.25">
      <c r="A634" s="213"/>
      <c r="B634" s="213"/>
      <c r="C634" s="213"/>
      <c r="D634" s="213"/>
      <c r="E634" s="213"/>
      <c r="F634" s="213"/>
      <c r="G634" s="213"/>
      <c r="H634" s="213"/>
      <c r="I634" s="213"/>
      <c r="J634" s="213"/>
      <c r="K634" s="213"/>
      <c r="L634" s="213"/>
      <c r="M634" s="213"/>
      <c r="N634" s="213"/>
      <c r="O634" s="213"/>
      <c r="P634" s="213"/>
      <c r="Q634" s="213"/>
      <c r="R634" s="213"/>
      <c r="S634" s="213"/>
      <c r="T634" s="213"/>
      <c r="U634" s="213"/>
      <c r="V634" s="213"/>
      <c r="W634" s="213"/>
      <c r="X634" s="213"/>
      <c r="Y634" s="213"/>
      <c r="Z634" s="213"/>
    </row>
    <row r="635" spans="1:26" ht="14.25">
      <c r="A635" s="213"/>
      <c r="B635" s="213"/>
      <c r="C635" s="213"/>
      <c r="D635" s="213"/>
      <c r="E635" s="213"/>
      <c r="F635" s="213"/>
      <c r="G635" s="213"/>
      <c r="H635" s="213"/>
      <c r="I635" s="213"/>
      <c r="J635" s="213"/>
      <c r="K635" s="213"/>
      <c r="L635" s="213"/>
      <c r="M635" s="213"/>
      <c r="N635" s="213"/>
      <c r="O635" s="213"/>
      <c r="P635" s="213"/>
      <c r="Q635" s="213"/>
      <c r="R635" s="213"/>
      <c r="S635" s="213"/>
      <c r="T635" s="213"/>
      <c r="U635" s="213"/>
      <c r="V635" s="213"/>
      <c r="W635" s="213"/>
      <c r="X635" s="213"/>
      <c r="Y635" s="213"/>
      <c r="Z635" s="213"/>
    </row>
    <row r="636" spans="1:26" ht="14.25">
      <c r="A636" s="213"/>
      <c r="B636" s="213"/>
      <c r="C636" s="213"/>
      <c r="D636" s="213"/>
      <c r="E636" s="213"/>
      <c r="F636" s="213"/>
      <c r="G636" s="213"/>
      <c r="H636" s="213"/>
      <c r="I636" s="213"/>
      <c r="J636" s="213"/>
      <c r="K636" s="213"/>
      <c r="L636" s="213"/>
      <c r="M636" s="213"/>
      <c r="N636" s="213"/>
      <c r="O636" s="213"/>
      <c r="P636" s="213"/>
      <c r="Q636" s="213"/>
      <c r="R636" s="213"/>
      <c r="S636" s="213"/>
      <c r="T636" s="213"/>
      <c r="U636" s="213"/>
      <c r="V636" s="213"/>
      <c r="W636" s="213"/>
      <c r="X636" s="213"/>
      <c r="Y636" s="213"/>
      <c r="Z636" s="213"/>
    </row>
    <row r="637" spans="1:26" ht="14.25">
      <c r="A637" s="213"/>
      <c r="B637" s="213"/>
      <c r="C637" s="213"/>
      <c r="D637" s="213"/>
      <c r="E637" s="213"/>
      <c r="F637" s="213"/>
      <c r="G637" s="213"/>
      <c r="H637" s="213"/>
      <c r="I637" s="213"/>
      <c r="J637" s="213"/>
      <c r="K637" s="213"/>
      <c r="L637" s="213"/>
      <c r="M637" s="213"/>
      <c r="N637" s="213"/>
      <c r="O637" s="213"/>
      <c r="P637" s="213"/>
      <c r="Q637" s="213"/>
      <c r="R637" s="213"/>
      <c r="S637" s="213"/>
      <c r="T637" s="213"/>
      <c r="U637" s="213"/>
      <c r="V637" s="213"/>
      <c r="W637" s="213"/>
      <c r="X637" s="213"/>
      <c r="Y637" s="213"/>
      <c r="Z637" s="213"/>
    </row>
    <row r="638" spans="1:26" ht="14.25">
      <c r="A638" s="213"/>
      <c r="B638" s="213"/>
      <c r="C638" s="213"/>
      <c r="D638" s="213"/>
      <c r="E638" s="213"/>
      <c r="F638" s="213"/>
      <c r="G638" s="213"/>
      <c r="H638" s="213"/>
      <c r="I638" s="213"/>
      <c r="J638" s="213"/>
      <c r="K638" s="213"/>
      <c r="L638" s="213"/>
      <c r="M638" s="213"/>
      <c r="N638" s="213"/>
      <c r="O638" s="213"/>
      <c r="P638" s="213"/>
      <c r="Q638" s="213"/>
      <c r="R638" s="213"/>
      <c r="S638" s="213"/>
      <c r="T638" s="213"/>
      <c r="U638" s="213"/>
      <c r="V638" s="213"/>
      <c r="W638" s="213"/>
      <c r="X638" s="213"/>
      <c r="Y638" s="213"/>
      <c r="Z638" s="213"/>
    </row>
    <row r="639" spans="1:26" ht="14.25">
      <c r="A639" s="213"/>
      <c r="B639" s="213"/>
      <c r="C639" s="213"/>
      <c r="D639" s="213"/>
      <c r="E639" s="213"/>
      <c r="F639" s="213"/>
      <c r="G639" s="213"/>
      <c r="H639" s="213"/>
      <c r="I639" s="213"/>
      <c r="J639" s="213"/>
      <c r="K639" s="213"/>
      <c r="L639" s="213"/>
      <c r="M639" s="213"/>
      <c r="N639" s="213"/>
      <c r="O639" s="213"/>
      <c r="P639" s="213"/>
      <c r="Q639" s="213"/>
      <c r="R639" s="213"/>
      <c r="S639" s="213"/>
      <c r="T639" s="213"/>
      <c r="U639" s="213"/>
      <c r="V639" s="213"/>
      <c r="W639" s="213"/>
      <c r="X639" s="213"/>
      <c r="Y639" s="213"/>
      <c r="Z639" s="213"/>
    </row>
    <row r="640" spans="1:26" ht="14.25">
      <c r="A640" s="213"/>
      <c r="B640" s="213"/>
      <c r="C640" s="213"/>
      <c r="D640" s="213"/>
      <c r="E640" s="213"/>
      <c r="F640" s="213"/>
      <c r="G640" s="213"/>
      <c r="H640" s="213"/>
      <c r="I640" s="213"/>
      <c r="J640" s="213"/>
      <c r="K640" s="213"/>
      <c r="L640" s="213"/>
      <c r="M640" s="213"/>
      <c r="N640" s="213"/>
      <c r="O640" s="213"/>
      <c r="P640" s="213"/>
      <c r="Q640" s="213"/>
      <c r="R640" s="213"/>
      <c r="S640" s="213"/>
      <c r="T640" s="213"/>
      <c r="U640" s="213"/>
      <c r="V640" s="213"/>
      <c r="W640" s="213"/>
      <c r="X640" s="213"/>
      <c r="Y640" s="213"/>
      <c r="Z640" s="213"/>
    </row>
    <row r="641" spans="1:26" ht="14.25">
      <c r="A641" s="213"/>
      <c r="B641" s="213"/>
      <c r="C641" s="213"/>
      <c r="D641" s="213"/>
      <c r="E641" s="213"/>
      <c r="F641" s="213"/>
      <c r="G641" s="213"/>
      <c r="H641" s="213"/>
      <c r="I641" s="213"/>
      <c r="J641" s="213"/>
      <c r="K641" s="213"/>
      <c r="L641" s="213"/>
      <c r="M641" s="213"/>
      <c r="N641" s="213"/>
      <c r="O641" s="213"/>
      <c r="P641" s="213"/>
      <c r="Q641" s="213"/>
      <c r="R641" s="213"/>
      <c r="S641" s="213"/>
      <c r="T641" s="213"/>
      <c r="U641" s="213"/>
      <c r="V641" s="213"/>
      <c r="W641" s="213"/>
      <c r="X641" s="213"/>
      <c r="Y641" s="213"/>
      <c r="Z641" s="213"/>
    </row>
    <row r="642" spans="1:26" ht="14.25">
      <c r="A642" s="213"/>
      <c r="B642" s="213"/>
      <c r="C642" s="213"/>
      <c r="D642" s="213"/>
      <c r="E642" s="213"/>
      <c r="F642" s="213"/>
      <c r="G642" s="213"/>
      <c r="H642" s="213"/>
      <c r="I642" s="213"/>
      <c r="J642" s="213"/>
      <c r="K642" s="213"/>
      <c r="L642" s="213"/>
      <c r="M642" s="213"/>
      <c r="N642" s="213"/>
      <c r="O642" s="213"/>
      <c r="P642" s="213"/>
      <c r="Q642" s="213"/>
      <c r="R642" s="213"/>
      <c r="S642" s="213"/>
      <c r="T642" s="213"/>
      <c r="U642" s="213"/>
      <c r="V642" s="213"/>
      <c r="W642" s="213"/>
      <c r="X642" s="213"/>
      <c r="Y642" s="213"/>
      <c r="Z642" s="213"/>
    </row>
    <row r="643" spans="1:26" ht="14.25">
      <c r="A643" s="213"/>
      <c r="B643" s="213"/>
      <c r="C643" s="213"/>
      <c r="D643" s="213"/>
      <c r="E643" s="213"/>
      <c r="F643" s="213"/>
      <c r="G643" s="213"/>
      <c r="H643" s="213"/>
      <c r="I643" s="213"/>
      <c r="J643" s="213"/>
      <c r="K643" s="213"/>
      <c r="L643" s="213"/>
      <c r="M643" s="213"/>
      <c r="N643" s="213"/>
      <c r="O643" s="213"/>
      <c r="P643" s="213"/>
      <c r="Q643" s="213"/>
      <c r="R643" s="213"/>
      <c r="S643" s="213"/>
      <c r="T643" s="213"/>
      <c r="U643" s="213"/>
      <c r="V643" s="213"/>
      <c r="W643" s="213"/>
      <c r="X643" s="213"/>
      <c r="Y643" s="213"/>
      <c r="Z643" s="213"/>
    </row>
    <row r="644" spans="1:26" ht="14.25">
      <c r="A644" s="213"/>
      <c r="B644" s="213"/>
      <c r="C644" s="213"/>
      <c r="D644" s="213"/>
      <c r="E644" s="213"/>
      <c r="F644" s="213"/>
      <c r="G644" s="213"/>
      <c r="H644" s="213"/>
      <c r="I644" s="213"/>
      <c r="J644" s="213"/>
      <c r="K644" s="213"/>
      <c r="L644" s="213"/>
      <c r="M644" s="213"/>
      <c r="N644" s="213"/>
      <c r="O644" s="213"/>
      <c r="P644" s="213"/>
      <c r="Q644" s="213"/>
      <c r="R644" s="213"/>
      <c r="S644" s="213"/>
      <c r="T644" s="213"/>
      <c r="U644" s="213"/>
      <c r="V644" s="213"/>
      <c r="W644" s="213"/>
      <c r="X644" s="213"/>
      <c r="Y644" s="213"/>
      <c r="Z644" s="213"/>
    </row>
    <row r="645" spans="1:26" ht="14.25">
      <c r="A645" s="213"/>
      <c r="B645" s="213"/>
      <c r="C645" s="213"/>
      <c r="D645" s="213"/>
      <c r="E645" s="213"/>
      <c r="F645" s="213"/>
      <c r="G645" s="213"/>
      <c r="H645" s="213"/>
      <c r="I645" s="213"/>
      <c r="J645" s="213"/>
      <c r="K645" s="213"/>
      <c r="L645" s="213"/>
      <c r="M645" s="213"/>
      <c r="N645" s="213"/>
      <c r="O645" s="213"/>
      <c r="P645" s="213"/>
      <c r="Q645" s="213"/>
      <c r="R645" s="213"/>
      <c r="S645" s="213"/>
      <c r="T645" s="213"/>
      <c r="U645" s="213"/>
      <c r="V645" s="213"/>
      <c r="W645" s="213"/>
      <c r="X645" s="213"/>
      <c r="Y645" s="213"/>
      <c r="Z645" s="213"/>
    </row>
    <row r="646" spans="1:26" ht="14.25">
      <c r="A646" s="213"/>
      <c r="B646" s="213"/>
      <c r="C646" s="213"/>
      <c r="D646" s="213"/>
      <c r="E646" s="213"/>
      <c r="F646" s="213"/>
      <c r="G646" s="213"/>
      <c r="H646" s="213"/>
      <c r="I646" s="213"/>
      <c r="J646" s="213"/>
      <c r="K646" s="213"/>
      <c r="L646" s="213"/>
      <c r="M646" s="213"/>
      <c r="N646" s="213"/>
      <c r="O646" s="213"/>
      <c r="P646" s="213"/>
      <c r="Q646" s="213"/>
      <c r="R646" s="213"/>
      <c r="S646" s="213"/>
      <c r="T646" s="213"/>
      <c r="U646" s="213"/>
      <c r="V646" s="213"/>
      <c r="W646" s="213"/>
      <c r="X646" s="213"/>
      <c r="Y646" s="213"/>
      <c r="Z646" s="213"/>
    </row>
    <row r="647" spans="1:26" ht="14.25">
      <c r="A647" s="213"/>
      <c r="B647" s="213"/>
      <c r="C647" s="213"/>
      <c r="D647" s="213"/>
      <c r="E647" s="213"/>
      <c r="F647" s="213"/>
      <c r="G647" s="213"/>
      <c r="H647" s="213"/>
      <c r="I647" s="213"/>
      <c r="J647" s="213"/>
      <c r="K647" s="213"/>
      <c r="L647" s="213"/>
      <c r="M647" s="213"/>
      <c r="N647" s="213"/>
      <c r="O647" s="213"/>
      <c r="P647" s="213"/>
      <c r="Q647" s="213"/>
      <c r="R647" s="213"/>
      <c r="S647" s="213"/>
      <c r="T647" s="213"/>
      <c r="U647" s="213"/>
      <c r="V647" s="213"/>
      <c r="W647" s="213"/>
      <c r="X647" s="213"/>
      <c r="Y647" s="213"/>
      <c r="Z647" s="213"/>
    </row>
    <row r="648" spans="1:26" ht="14.25">
      <c r="A648" s="213"/>
      <c r="B648" s="213"/>
      <c r="C648" s="213"/>
      <c r="D648" s="213"/>
      <c r="E648" s="213"/>
      <c r="F648" s="213"/>
      <c r="G648" s="213"/>
      <c r="H648" s="213"/>
      <c r="I648" s="213"/>
      <c r="J648" s="213"/>
      <c r="K648" s="213"/>
      <c r="L648" s="213"/>
      <c r="M648" s="213"/>
      <c r="N648" s="213"/>
      <c r="O648" s="213"/>
      <c r="P648" s="213"/>
      <c r="Q648" s="213"/>
      <c r="R648" s="213"/>
      <c r="S648" s="213"/>
      <c r="T648" s="213"/>
      <c r="U648" s="213"/>
      <c r="V648" s="213"/>
      <c r="W648" s="213"/>
      <c r="X648" s="213"/>
      <c r="Y648" s="213"/>
      <c r="Z648" s="213"/>
    </row>
    <row r="649" spans="1:26" ht="14.25">
      <c r="A649" s="213"/>
      <c r="B649" s="213"/>
      <c r="C649" s="213"/>
      <c r="D649" s="213"/>
      <c r="E649" s="213"/>
      <c r="F649" s="213"/>
      <c r="G649" s="213"/>
      <c r="H649" s="213"/>
      <c r="I649" s="213"/>
      <c r="J649" s="213"/>
      <c r="K649" s="213"/>
      <c r="L649" s="213"/>
      <c r="M649" s="213"/>
      <c r="N649" s="213"/>
      <c r="O649" s="213"/>
      <c r="P649" s="213"/>
      <c r="Q649" s="213"/>
      <c r="R649" s="213"/>
      <c r="S649" s="213"/>
      <c r="T649" s="213"/>
      <c r="U649" s="213"/>
      <c r="V649" s="213"/>
      <c r="W649" s="213"/>
      <c r="X649" s="213"/>
      <c r="Y649" s="213"/>
      <c r="Z649" s="213"/>
    </row>
    <row r="650" spans="1:26" ht="14.25">
      <c r="A650" s="213"/>
      <c r="B650" s="213"/>
      <c r="C650" s="213"/>
      <c r="D650" s="213"/>
      <c r="E650" s="213"/>
      <c r="F650" s="213"/>
      <c r="G650" s="213"/>
      <c r="H650" s="213"/>
      <c r="I650" s="213"/>
      <c r="J650" s="213"/>
      <c r="K650" s="213"/>
      <c r="L650" s="213"/>
      <c r="M650" s="213"/>
      <c r="N650" s="213"/>
      <c r="O650" s="213"/>
      <c r="P650" s="213"/>
      <c r="Q650" s="213"/>
      <c r="R650" s="213"/>
      <c r="S650" s="213"/>
      <c r="T650" s="213"/>
      <c r="U650" s="213"/>
      <c r="V650" s="213"/>
      <c r="W650" s="213"/>
      <c r="X650" s="213"/>
      <c r="Y650" s="213"/>
      <c r="Z650" s="213"/>
    </row>
    <row r="651" spans="1:26" ht="14.25">
      <c r="A651" s="213"/>
      <c r="B651" s="213"/>
      <c r="C651" s="213"/>
      <c r="D651" s="213"/>
      <c r="E651" s="213"/>
      <c r="F651" s="213"/>
      <c r="G651" s="213"/>
      <c r="H651" s="213"/>
      <c r="I651" s="213"/>
      <c r="J651" s="213"/>
      <c r="K651" s="213"/>
      <c r="L651" s="213"/>
      <c r="M651" s="213"/>
      <c r="N651" s="213"/>
      <c r="O651" s="213"/>
      <c r="P651" s="213"/>
      <c r="Q651" s="213"/>
      <c r="R651" s="213"/>
      <c r="S651" s="213"/>
      <c r="T651" s="213"/>
      <c r="U651" s="213"/>
      <c r="V651" s="213"/>
      <c r="W651" s="213"/>
      <c r="X651" s="213"/>
      <c r="Y651" s="213"/>
      <c r="Z651" s="213"/>
    </row>
    <row r="652" spans="1:26" ht="14.25">
      <c r="A652" s="213"/>
      <c r="B652" s="213"/>
      <c r="C652" s="213"/>
      <c r="D652" s="213"/>
      <c r="E652" s="213"/>
      <c r="F652" s="213"/>
      <c r="G652" s="213"/>
      <c r="H652" s="213"/>
      <c r="I652" s="213"/>
      <c r="J652" s="213"/>
      <c r="K652" s="213"/>
      <c r="L652" s="213"/>
      <c r="M652" s="213"/>
      <c r="N652" s="213"/>
      <c r="O652" s="213"/>
      <c r="P652" s="213"/>
      <c r="Q652" s="213"/>
      <c r="R652" s="213"/>
      <c r="S652" s="213"/>
      <c r="T652" s="213"/>
      <c r="U652" s="213"/>
      <c r="V652" s="213"/>
      <c r="W652" s="213"/>
      <c r="X652" s="213"/>
      <c r="Y652" s="213"/>
      <c r="Z652" s="213"/>
    </row>
    <row r="653" spans="1:26" ht="14.25">
      <c r="A653" s="213"/>
      <c r="B653" s="213"/>
      <c r="C653" s="213"/>
      <c r="D653" s="213"/>
      <c r="E653" s="213"/>
      <c r="F653" s="213"/>
      <c r="G653" s="213"/>
      <c r="H653" s="213"/>
      <c r="I653" s="213"/>
      <c r="J653" s="213"/>
      <c r="K653" s="213"/>
      <c r="L653" s="213"/>
      <c r="M653" s="213"/>
      <c r="N653" s="213"/>
      <c r="O653" s="213"/>
      <c r="P653" s="213"/>
      <c r="Q653" s="213"/>
      <c r="R653" s="213"/>
      <c r="S653" s="213"/>
      <c r="T653" s="213"/>
      <c r="U653" s="213"/>
      <c r="V653" s="213"/>
      <c r="W653" s="213"/>
      <c r="X653" s="213"/>
      <c r="Y653" s="213"/>
      <c r="Z653" s="213"/>
    </row>
    <row r="654" spans="1:26" ht="14.25">
      <c r="A654" s="213"/>
      <c r="B654" s="213"/>
      <c r="C654" s="213"/>
      <c r="D654" s="213"/>
      <c r="E654" s="213"/>
      <c r="F654" s="213"/>
      <c r="G654" s="213"/>
      <c r="H654" s="213"/>
      <c r="I654" s="213"/>
      <c r="J654" s="213"/>
      <c r="K654" s="213"/>
      <c r="L654" s="213"/>
      <c r="M654" s="213"/>
      <c r="N654" s="213"/>
      <c r="O654" s="213"/>
      <c r="P654" s="213"/>
      <c r="Q654" s="213"/>
      <c r="R654" s="213"/>
      <c r="S654" s="213"/>
      <c r="T654" s="213"/>
      <c r="U654" s="213"/>
      <c r="V654" s="213"/>
      <c r="W654" s="213"/>
      <c r="X654" s="213"/>
      <c r="Y654" s="213"/>
      <c r="Z654" s="213"/>
    </row>
    <row r="655" spans="1:26" ht="14.25">
      <c r="A655" s="213"/>
      <c r="B655" s="213"/>
      <c r="C655" s="213"/>
      <c r="D655" s="213"/>
      <c r="E655" s="213"/>
      <c r="F655" s="213"/>
      <c r="G655" s="213"/>
      <c r="H655" s="213"/>
      <c r="I655" s="213"/>
      <c r="J655" s="213"/>
      <c r="K655" s="213"/>
      <c r="L655" s="213"/>
      <c r="M655" s="213"/>
      <c r="N655" s="213"/>
      <c r="O655" s="213"/>
      <c r="P655" s="213"/>
      <c r="Q655" s="213"/>
      <c r="R655" s="213"/>
      <c r="S655" s="213"/>
      <c r="T655" s="213"/>
      <c r="U655" s="213"/>
      <c r="V655" s="213"/>
      <c r="W655" s="213"/>
      <c r="X655" s="213"/>
      <c r="Y655" s="213"/>
      <c r="Z655" s="213"/>
    </row>
    <row r="656" spans="1:26" ht="14.25">
      <c r="A656" s="213"/>
      <c r="B656" s="213"/>
      <c r="C656" s="213"/>
      <c r="D656" s="213"/>
      <c r="E656" s="213"/>
      <c r="F656" s="213"/>
      <c r="G656" s="213"/>
      <c r="H656" s="213"/>
      <c r="I656" s="213"/>
      <c r="J656" s="213"/>
      <c r="K656" s="213"/>
      <c r="L656" s="213"/>
      <c r="M656" s="213"/>
      <c r="N656" s="213"/>
      <c r="O656" s="213"/>
      <c r="P656" s="213"/>
      <c r="Q656" s="213"/>
      <c r="R656" s="213"/>
      <c r="S656" s="213"/>
      <c r="T656" s="213"/>
      <c r="U656" s="213"/>
      <c r="V656" s="213"/>
      <c r="W656" s="213"/>
      <c r="X656" s="213"/>
      <c r="Y656" s="213"/>
      <c r="Z656" s="213"/>
    </row>
    <row r="657" spans="1:26" ht="14.25">
      <c r="A657" s="213"/>
      <c r="B657" s="213"/>
      <c r="C657" s="213"/>
      <c r="D657" s="213"/>
      <c r="E657" s="213"/>
      <c r="F657" s="213"/>
      <c r="G657" s="213"/>
      <c r="H657" s="213"/>
      <c r="I657" s="213"/>
      <c r="J657" s="213"/>
      <c r="K657" s="213"/>
      <c r="L657" s="213"/>
      <c r="M657" s="213"/>
      <c r="N657" s="213"/>
      <c r="O657" s="213"/>
      <c r="P657" s="213"/>
      <c r="Q657" s="213"/>
      <c r="R657" s="213"/>
      <c r="S657" s="213"/>
      <c r="T657" s="213"/>
      <c r="U657" s="213"/>
      <c r="V657" s="213"/>
      <c r="W657" s="213"/>
      <c r="X657" s="213"/>
      <c r="Y657" s="213"/>
      <c r="Z657" s="213"/>
    </row>
    <row r="658" spans="1:26" ht="14.25">
      <c r="A658" s="213"/>
      <c r="B658" s="213"/>
      <c r="C658" s="213"/>
      <c r="D658" s="213"/>
      <c r="E658" s="213"/>
      <c r="F658" s="213"/>
      <c r="G658" s="213"/>
      <c r="H658" s="213"/>
      <c r="I658" s="213"/>
      <c r="J658" s="213"/>
      <c r="K658" s="213"/>
      <c r="L658" s="213"/>
      <c r="M658" s="213"/>
      <c r="N658" s="213"/>
      <c r="O658" s="213"/>
      <c r="P658" s="213"/>
      <c r="Q658" s="213"/>
      <c r="R658" s="213"/>
      <c r="S658" s="213"/>
      <c r="T658" s="213"/>
      <c r="U658" s="213"/>
      <c r="V658" s="213"/>
      <c r="W658" s="213"/>
      <c r="X658" s="213"/>
      <c r="Y658" s="213"/>
      <c r="Z658" s="213"/>
    </row>
    <row r="659" spans="1:26" ht="14.25">
      <c r="A659" s="213"/>
      <c r="B659" s="213"/>
      <c r="C659" s="213"/>
      <c r="D659" s="213"/>
      <c r="E659" s="213"/>
      <c r="F659" s="213"/>
      <c r="G659" s="213"/>
      <c r="H659" s="213"/>
      <c r="I659" s="213"/>
      <c r="J659" s="213"/>
      <c r="K659" s="213"/>
      <c r="L659" s="213"/>
      <c r="M659" s="213"/>
      <c r="N659" s="213"/>
      <c r="O659" s="213"/>
      <c r="P659" s="213"/>
      <c r="Q659" s="213"/>
      <c r="R659" s="213"/>
      <c r="S659" s="213"/>
      <c r="T659" s="213"/>
      <c r="U659" s="213"/>
      <c r="V659" s="213"/>
      <c r="W659" s="213"/>
      <c r="X659" s="213"/>
      <c r="Y659" s="213"/>
      <c r="Z659" s="213"/>
    </row>
    <row r="660" spans="1:26" ht="14.25">
      <c r="A660" s="213"/>
      <c r="B660" s="213"/>
      <c r="C660" s="213"/>
      <c r="D660" s="213"/>
      <c r="E660" s="213"/>
      <c r="F660" s="213"/>
      <c r="G660" s="213"/>
      <c r="H660" s="213"/>
      <c r="I660" s="213"/>
      <c r="J660" s="213"/>
      <c r="K660" s="213"/>
      <c r="L660" s="213"/>
      <c r="M660" s="213"/>
      <c r="N660" s="213"/>
      <c r="O660" s="213"/>
      <c r="P660" s="213"/>
      <c r="Q660" s="213"/>
      <c r="R660" s="213"/>
      <c r="S660" s="213"/>
      <c r="T660" s="213"/>
      <c r="U660" s="213"/>
      <c r="V660" s="213"/>
      <c r="W660" s="213"/>
      <c r="X660" s="213"/>
      <c r="Y660" s="213"/>
      <c r="Z660" s="213"/>
    </row>
    <row r="661" spans="1:26" ht="14.25">
      <c r="A661" s="213"/>
      <c r="B661" s="213"/>
      <c r="C661" s="213"/>
      <c r="D661" s="213"/>
      <c r="E661" s="213"/>
      <c r="F661" s="213"/>
      <c r="G661" s="213"/>
      <c r="H661" s="213"/>
      <c r="I661" s="213"/>
      <c r="J661" s="213"/>
      <c r="K661" s="213"/>
      <c r="L661" s="213"/>
      <c r="M661" s="213"/>
      <c r="N661" s="213"/>
      <c r="O661" s="213"/>
      <c r="P661" s="213"/>
      <c r="Q661" s="213"/>
      <c r="R661" s="213"/>
      <c r="S661" s="213"/>
      <c r="T661" s="213"/>
      <c r="U661" s="213"/>
      <c r="V661" s="213"/>
      <c r="W661" s="213"/>
      <c r="X661" s="213"/>
      <c r="Y661" s="213"/>
      <c r="Z661" s="213"/>
    </row>
    <row r="662" spans="1:26" ht="14.25">
      <c r="A662" s="213"/>
      <c r="B662" s="213"/>
      <c r="C662" s="213"/>
      <c r="D662" s="213"/>
      <c r="E662" s="213"/>
      <c r="F662" s="213"/>
      <c r="G662" s="213"/>
      <c r="H662" s="213"/>
      <c r="I662" s="213"/>
      <c r="J662" s="213"/>
      <c r="K662" s="213"/>
      <c r="L662" s="213"/>
      <c r="M662" s="213"/>
      <c r="N662" s="213"/>
      <c r="O662" s="213"/>
      <c r="P662" s="213"/>
      <c r="Q662" s="213"/>
      <c r="R662" s="213"/>
      <c r="S662" s="213"/>
      <c r="T662" s="213"/>
      <c r="U662" s="213"/>
      <c r="V662" s="213"/>
      <c r="W662" s="213"/>
      <c r="X662" s="213"/>
      <c r="Y662" s="213"/>
      <c r="Z662" s="213"/>
    </row>
    <row r="663" spans="1:26" ht="14.25">
      <c r="A663" s="213"/>
      <c r="B663" s="213"/>
      <c r="C663" s="213"/>
      <c r="D663" s="213"/>
      <c r="E663" s="213"/>
      <c r="F663" s="213"/>
      <c r="G663" s="213"/>
      <c r="H663" s="213"/>
      <c r="I663" s="213"/>
      <c r="J663" s="213"/>
      <c r="K663" s="213"/>
      <c r="L663" s="213"/>
      <c r="M663" s="213"/>
      <c r="N663" s="213"/>
      <c r="O663" s="213"/>
      <c r="P663" s="213"/>
      <c r="Q663" s="213"/>
      <c r="R663" s="213"/>
      <c r="S663" s="213"/>
      <c r="T663" s="213"/>
      <c r="U663" s="213"/>
      <c r="V663" s="213"/>
      <c r="W663" s="213"/>
      <c r="X663" s="213"/>
      <c r="Y663" s="213"/>
      <c r="Z663" s="213"/>
    </row>
    <row r="664" spans="1:26" ht="14.25">
      <c r="A664" s="213"/>
      <c r="B664" s="213"/>
      <c r="C664" s="213"/>
      <c r="D664" s="213"/>
      <c r="E664" s="213"/>
      <c r="F664" s="213"/>
      <c r="G664" s="213"/>
      <c r="H664" s="213"/>
      <c r="I664" s="213"/>
      <c r="J664" s="213"/>
      <c r="K664" s="213"/>
      <c r="L664" s="213"/>
      <c r="M664" s="213"/>
      <c r="N664" s="213"/>
      <c r="O664" s="213"/>
      <c r="P664" s="213"/>
      <c r="Q664" s="213"/>
      <c r="R664" s="213"/>
      <c r="S664" s="213"/>
      <c r="T664" s="213"/>
      <c r="U664" s="213"/>
      <c r="V664" s="213"/>
      <c r="W664" s="213"/>
      <c r="X664" s="213"/>
      <c r="Y664" s="213"/>
      <c r="Z664" s="213"/>
    </row>
    <row r="665" spans="1:26" ht="14.25">
      <c r="A665" s="213"/>
      <c r="B665" s="213"/>
      <c r="C665" s="213"/>
      <c r="D665" s="213"/>
      <c r="E665" s="213"/>
      <c r="F665" s="213"/>
      <c r="G665" s="213"/>
      <c r="H665" s="213"/>
      <c r="I665" s="213"/>
      <c r="J665" s="213"/>
      <c r="K665" s="213"/>
      <c r="L665" s="213"/>
      <c r="M665" s="213"/>
      <c r="N665" s="213"/>
      <c r="O665" s="213"/>
      <c r="P665" s="213"/>
      <c r="Q665" s="213"/>
      <c r="R665" s="213"/>
      <c r="S665" s="213"/>
      <c r="T665" s="213"/>
      <c r="U665" s="213"/>
      <c r="V665" s="213"/>
      <c r="W665" s="213"/>
      <c r="X665" s="213"/>
      <c r="Y665" s="213"/>
      <c r="Z665" s="213"/>
    </row>
    <row r="666" spans="1:26" ht="14.25">
      <c r="A666" s="213"/>
      <c r="B666" s="213"/>
      <c r="C666" s="213"/>
      <c r="D666" s="213"/>
      <c r="E666" s="213"/>
      <c r="F666" s="213"/>
      <c r="G666" s="213"/>
      <c r="H666" s="213"/>
      <c r="I666" s="213"/>
      <c r="J666" s="213"/>
      <c r="K666" s="213"/>
      <c r="L666" s="213"/>
      <c r="M666" s="213"/>
      <c r="N666" s="213"/>
      <c r="O666" s="213"/>
      <c r="P666" s="213"/>
      <c r="Q666" s="213"/>
      <c r="R666" s="213"/>
      <c r="S666" s="213"/>
      <c r="T666" s="213"/>
      <c r="U666" s="213"/>
      <c r="V666" s="213"/>
      <c r="W666" s="213"/>
      <c r="X666" s="213"/>
      <c r="Y666" s="213"/>
      <c r="Z666" s="213"/>
    </row>
    <row r="667" spans="1:26" ht="14.25">
      <c r="A667" s="213"/>
      <c r="B667" s="213"/>
      <c r="C667" s="213"/>
      <c r="D667" s="213"/>
      <c r="E667" s="213"/>
      <c r="F667" s="213"/>
      <c r="G667" s="213"/>
      <c r="H667" s="213"/>
      <c r="I667" s="213"/>
      <c r="J667" s="213"/>
      <c r="K667" s="213"/>
      <c r="L667" s="213"/>
      <c r="M667" s="213"/>
      <c r="N667" s="213"/>
      <c r="O667" s="213"/>
      <c r="P667" s="213"/>
      <c r="Q667" s="213"/>
      <c r="R667" s="213"/>
      <c r="S667" s="213"/>
      <c r="T667" s="213"/>
      <c r="U667" s="213"/>
      <c r="V667" s="213"/>
      <c r="W667" s="213"/>
      <c r="X667" s="213"/>
      <c r="Y667" s="213"/>
      <c r="Z667" s="213"/>
    </row>
    <row r="668" spans="1:26" ht="14.25">
      <c r="A668" s="213"/>
      <c r="B668" s="213"/>
      <c r="C668" s="213"/>
      <c r="D668" s="213"/>
      <c r="E668" s="213"/>
      <c r="F668" s="213"/>
      <c r="G668" s="213"/>
      <c r="H668" s="213"/>
      <c r="I668" s="213"/>
      <c r="J668" s="213"/>
      <c r="K668" s="213"/>
      <c r="L668" s="213"/>
      <c r="M668" s="213"/>
      <c r="N668" s="213"/>
      <c r="O668" s="213"/>
      <c r="P668" s="213"/>
      <c r="Q668" s="213"/>
      <c r="R668" s="213"/>
      <c r="S668" s="213"/>
      <c r="T668" s="213"/>
      <c r="U668" s="213"/>
      <c r="V668" s="213"/>
      <c r="W668" s="213"/>
      <c r="X668" s="213"/>
      <c r="Y668" s="213"/>
      <c r="Z668" s="213"/>
    </row>
    <row r="669" spans="1:26" ht="14.25">
      <c r="A669" s="213"/>
      <c r="B669" s="213"/>
      <c r="C669" s="213"/>
      <c r="D669" s="213"/>
      <c r="E669" s="213"/>
      <c r="F669" s="213"/>
      <c r="G669" s="213"/>
      <c r="H669" s="213"/>
      <c r="I669" s="213"/>
      <c r="J669" s="213"/>
      <c r="K669" s="213"/>
      <c r="L669" s="213"/>
      <c r="M669" s="213"/>
      <c r="N669" s="213"/>
      <c r="O669" s="213"/>
      <c r="P669" s="213"/>
      <c r="Q669" s="213"/>
      <c r="R669" s="213"/>
      <c r="S669" s="213"/>
      <c r="T669" s="213"/>
      <c r="U669" s="213"/>
      <c r="V669" s="213"/>
      <c r="W669" s="213"/>
      <c r="X669" s="213"/>
      <c r="Y669" s="213"/>
      <c r="Z669" s="213"/>
    </row>
    <row r="670" spans="1:26" ht="14.25">
      <c r="A670" s="213"/>
      <c r="B670" s="213"/>
      <c r="C670" s="213"/>
      <c r="D670" s="213"/>
      <c r="E670" s="213"/>
      <c r="F670" s="213"/>
      <c r="G670" s="213"/>
      <c r="H670" s="213"/>
      <c r="I670" s="213"/>
      <c r="J670" s="213"/>
      <c r="K670" s="213"/>
      <c r="L670" s="213"/>
      <c r="M670" s="213"/>
      <c r="N670" s="213"/>
      <c r="O670" s="213"/>
      <c r="P670" s="213"/>
      <c r="Q670" s="213"/>
      <c r="R670" s="213"/>
      <c r="S670" s="213"/>
      <c r="T670" s="213"/>
      <c r="U670" s="213"/>
      <c r="V670" s="213"/>
      <c r="W670" s="213"/>
      <c r="X670" s="213"/>
      <c r="Y670" s="213"/>
      <c r="Z670" s="213"/>
    </row>
    <row r="671" spans="1:26" ht="14.25">
      <c r="A671" s="213"/>
      <c r="B671" s="213"/>
      <c r="C671" s="213"/>
      <c r="D671" s="213"/>
      <c r="E671" s="213"/>
      <c r="F671" s="213"/>
      <c r="G671" s="213"/>
      <c r="H671" s="213"/>
      <c r="I671" s="213"/>
      <c r="J671" s="213"/>
      <c r="K671" s="213"/>
      <c r="L671" s="213"/>
      <c r="M671" s="213"/>
      <c r="N671" s="213"/>
      <c r="O671" s="213"/>
      <c r="P671" s="213"/>
      <c r="Q671" s="213"/>
      <c r="R671" s="213"/>
      <c r="S671" s="213"/>
      <c r="T671" s="213"/>
      <c r="U671" s="213"/>
      <c r="V671" s="213"/>
      <c r="W671" s="213"/>
      <c r="X671" s="213"/>
      <c r="Y671" s="213"/>
      <c r="Z671" s="213"/>
    </row>
    <row r="672" spans="1:26" ht="14.25">
      <c r="A672" s="213"/>
      <c r="B672" s="213"/>
      <c r="C672" s="213"/>
      <c r="D672" s="213"/>
      <c r="E672" s="213"/>
      <c r="F672" s="213"/>
      <c r="G672" s="213"/>
      <c r="H672" s="213"/>
      <c r="I672" s="213"/>
      <c r="J672" s="213"/>
      <c r="K672" s="213"/>
      <c r="L672" s="213"/>
      <c r="M672" s="213"/>
      <c r="N672" s="213"/>
      <c r="O672" s="213"/>
      <c r="P672" s="213"/>
      <c r="Q672" s="213"/>
      <c r="R672" s="213"/>
      <c r="S672" s="213"/>
      <c r="T672" s="213"/>
      <c r="U672" s="213"/>
      <c r="V672" s="213"/>
      <c r="W672" s="213"/>
      <c r="X672" s="213"/>
      <c r="Y672" s="213"/>
      <c r="Z672" s="213"/>
    </row>
    <row r="673" spans="1:26" ht="14.25">
      <c r="A673" s="213"/>
      <c r="B673" s="213"/>
      <c r="C673" s="213"/>
      <c r="D673" s="213"/>
      <c r="E673" s="213"/>
      <c r="F673" s="213"/>
      <c r="G673" s="213"/>
      <c r="H673" s="213"/>
      <c r="I673" s="213"/>
      <c r="J673" s="213"/>
      <c r="K673" s="213"/>
      <c r="L673" s="213"/>
      <c r="M673" s="213"/>
      <c r="N673" s="213"/>
      <c r="O673" s="213"/>
      <c r="P673" s="213"/>
      <c r="Q673" s="213"/>
      <c r="R673" s="213"/>
      <c r="S673" s="213"/>
      <c r="T673" s="213"/>
      <c r="U673" s="213"/>
      <c r="V673" s="213"/>
      <c r="W673" s="213"/>
      <c r="X673" s="213"/>
      <c r="Y673" s="213"/>
      <c r="Z673" s="213"/>
    </row>
    <row r="674" spans="1:26" ht="14.25">
      <c r="A674" s="213"/>
      <c r="B674" s="213"/>
      <c r="C674" s="213"/>
      <c r="D674" s="213"/>
      <c r="E674" s="213"/>
      <c r="F674" s="213"/>
      <c r="G674" s="213"/>
      <c r="H674" s="213"/>
      <c r="I674" s="213"/>
      <c r="J674" s="213"/>
      <c r="K674" s="213"/>
      <c r="L674" s="213"/>
      <c r="M674" s="213"/>
      <c r="N674" s="213"/>
      <c r="O674" s="213"/>
      <c r="P674" s="213"/>
      <c r="Q674" s="213"/>
      <c r="R674" s="213"/>
      <c r="S674" s="213"/>
      <c r="T674" s="213"/>
      <c r="U674" s="213"/>
      <c r="V674" s="213"/>
      <c r="W674" s="213"/>
      <c r="X674" s="213"/>
      <c r="Y674" s="213"/>
      <c r="Z674" s="213"/>
    </row>
    <row r="675" spans="1:26" ht="14.25">
      <c r="A675" s="213"/>
      <c r="B675" s="213"/>
      <c r="C675" s="213"/>
      <c r="D675" s="213"/>
      <c r="E675" s="213"/>
      <c r="F675" s="213"/>
      <c r="G675" s="213"/>
      <c r="H675" s="213"/>
      <c r="I675" s="213"/>
      <c r="J675" s="213"/>
      <c r="K675" s="213"/>
      <c r="L675" s="213"/>
      <c r="M675" s="213"/>
      <c r="N675" s="213"/>
      <c r="O675" s="213"/>
      <c r="P675" s="213"/>
      <c r="Q675" s="213"/>
      <c r="R675" s="213"/>
      <c r="S675" s="213"/>
      <c r="T675" s="213"/>
      <c r="U675" s="213"/>
      <c r="V675" s="213"/>
      <c r="W675" s="213"/>
      <c r="X675" s="213"/>
      <c r="Y675" s="213"/>
      <c r="Z675" s="213"/>
    </row>
    <row r="676" spans="1:26" ht="14.25">
      <c r="A676" s="213"/>
      <c r="B676" s="213"/>
      <c r="C676" s="213"/>
      <c r="D676" s="213"/>
      <c r="E676" s="213"/>
      <c r="F676" s="213"/>
      <c r="G676" s="213"/>
      <c r="H676" s="213"/>
      <c r="I676" s="213"/>
      <c r="J676" s="213"/>
      <c r="K676" s="213"/>
      <c r="L676" s="213"/>
      <c r="M676" s="213"/>
      <c r="N676" s="213"/>
      <c r="O676" s="213"/>
      <c r="P676" s="213"/>
      <c r="Q676" s="213"/>
      <c r="R676" s="213"/>
      <c r="S676" s="213"/>
      <c r="T676" s="213"/>
      <c r="U676" s="213"/>
      <c r="V676" s="213"/>
      <c r="W676" s="213"/>
      <c r="X676" s="213"/>
      <c r="Y676" s="213"/>
      <c r="Z676" s="213"/>
    </row>
    <row r="677" spans="1:26" ht="14.25">
      <c r="A677" s="213"/>
      <c r="B677" s="213"/>
      <c r="C677" s="213"/>
      <c r="D677" s="213"/>
      <c r="E677" s="213"/>
      <c r="F677" s="213"/>
      <c r="G677" s="213"/>
      <c r="H677" s="213"/>
      <c r="I677" s="213"/>
      <c r="J677" s="213"/>
      <c r="K677" s="213"/>
      <c r="L677" s="213"/>
      <c r="M677" s="213"/>
      <c r="N677" s="213"/>
      <c r="O677" s="213"/>
      <c r="P677" s="213"/>
      <c r="Q677" s="213"/>
      <c r="R677" s="213"/>
      <c r="S677" s="213"/>
      <c r="T677" s="213"/>
      <c r="U677" s="213"/>
      <c r="V677" s="213"/>
      <c r="W677" s="213"/>
      <c r="X677" s="213"/>
      <c r="Y677" s="213"/>
      <c r="Z677" s="213"/>
    </row>
    <row r="678" spans="1:26" ht="14.25">
      <c r="A678" s="213"/>
      <c r="B678" s="213"/>
      <c r="C678" s="213"/>
      <c r="D678" s="213"/>
      <c r="E678" s="213"/>
      <c r="F678" s="213"/>
      <c r="G678" s="213"/>
      <c r="H678" s="213"/>
      <c r="I678" s="213"/>
      <c r="J678" s="213"/>
      <c r="K678" s="213"/>
      <c r="L678" s="213"/>
      <c r="M678" s="213"/>
      <c r="N678" s="213"/>
      <c r="O678" s="213"/>
      <c r="P678" s="213"/>
      <c r="Q678" s="213"/>
      <c r="R678" s="213"/>
      <c r="S678" s="213"/>
      <c r="T678" s="213"/>
      <c r="U678" s="213"/>
      <c r="V678" s="213"/>
      <c r="W678" s="213"/>
      <c r="X678" s="213"/>
      <c r="Y678" s="213"/>
      <c r="Z678" s="213"/>
    </row>
    <row r="679" spans="1:26" ht="14.25">
      <c r="A679" s="213"/>
      <c r="B679" s="213"/>
      <c r="C679" s="213"/>
      <c r="D679" s="213"/>
      <c r="E679" s="213"/>
      <c r="F679" s="213"/>
      <c r="G679" s="213"/>
      <c r="H679" s="213"/>
      <c r="I679" s="213"/>
      <c r="J679" s="213"/>
      <c r="K679" s="213"/>
      <c r="L679" s="213"/>
      <c r="M679" s="213"/>
      <c r="N679" s="213"/>
      <c r="O679" s="213"/>
      <c r="P679" s="213"/>
      <c r="Q679" s="213"/>
      <c r="R679" s="213"/>
      <c r="S679" s="213"/>
      <c r="T679" s="213"/>
      <c r="U679" s="213"/>
      <c r="V679" s="213"/>
      <c r="W679" s="213"/>
      <c r="X679" s="213"/>
      <c r="Y679" s="213"/>
      <c r="Z679" s="213"/>
    </row>
    <row r="680" spans="1:26" ht="14.25">
      <c r="A680" s="213"/>
      <c r="B680" s="213"/>
      <c r="C680" s="213"/>
      <c r="D680" s="213"/>
      <c r="E680" s="213"/>
      <c r="F680" s="213"/>
      <c r="G680" s="213"/>
      <c r="H680" s="213"/>
      <c r="I680" s="213"/>
      <c r="J680" s="213"/>
      <c r="K680" s="213"/>
      <c r="L680" s="213"/>
      <c r="M680" s="213"/>
      <c r="N680" s="213"/>
      <c r="O680" s="213"/>
      <c r="P680" s="213"/>
      <c r="Q680" s="213"/>
      <c r="R680" s="213"/>
      <c r="S680" s="213"/>
      <c r="T680" s="213"/>
      <c r="U680" s="213"/>
      <c r="V680" s="213"/>
      <c r="W680" s="213"/>
      <c r="X680" s="213"/>
      <c r="Y680" s="213"/>
      <c r="Z680" s="213"/>
    </row>
    <row r="681" spans="1:26" ht="14.25">
      <c r="A681" s="213"/>
      <c r="B681" s="213"/>
      <c r="C681" s="213"/>
      <c r="D681" s="213"/>
      <c r="E681" s="213"/>
      <c r="F681" s="213"/>
      <c r="G681" s="213"/>
      <c r="H681" s="213"/>
      <c r="I681" s="213"/>
      <c r="J681" s="213"/>
      <c r="K681" s="213"/>
      <c r="L681" s="213"/>
      <c r="M681" s="213"/>
      <c r="N681" s="213"/>
      <c r="O681" s="213"/>
      <c r="P681" s="213"/>
      <c r="Q681" s="213"/>
      <c r="R681" s="213"/>
      <c r="S681" s="213"/>
      <c r="T681" s="213"/>
      <c r="U681" s="213"/>
      <c r="V681" s="213"/>
      <c r="W681" s="213"/>
      <c r="X681" s="213"/>
      <c r="Y681" s="213"/>
      <c r="Z681" s="213"/>
    </row>
    <row r="682" spans="1:26" ht="14.25">
      <c r="A682" s="213"/>
      <c r="B682" s="213"/>
      <c r="C682" s="213"/>
      <c r="D682" s="213"/>
      <c r="E682" s="213"/>
      <c r="F682" s="213"/>
      <c r="G682" s="213"/>
      <c r="H682" s="213"/>
      <c r="I682" s="213"/>
      <c r="J682" s="213"/>
      <c r="K682" s="213"/>
      <c r="L682" s="213"/>
      <c r="M682" s="213"/>
      <c r="N682" s="213"/>
      <c r="O682" s="213"/>
      <c r="P682" s="213"/>
      <c r="Q682" s="213"/>
      <c r="R682" s="213"/>
      <c r="S682" s="213"/>
      <c r="T682" s="213"/>
      <c r="U682" s="213"/>
      <c r="V682" s="213"/>
      <c r="W682" s="213"/>
      <c r="X682" s="213"/>
      <c r="Y682" s="213"/>
      <c r="Z682" s="213"/>
    </row>
    <row r="683" spans="1:26" ht="14.25">
      <c r="A683" s="213"/>
      <c r="B683" s="213"/>
      <c r="C683" s="213"/>
      <c r="D683" s="213"/>
      <c r="E683" s="213"/>
      <c r="F683" s="213"/>
      <c r="G683" s="213"/>
      <c r="H683" s="213"/>
      <c r="I683" s="213"/>
      <c r="J683" s="213"/>
      <c r="K683" s="213"/>
      <c r="L683" s="213"/>
      <c r="M683" s="213"/>
      <c r="N683" s="213"/>
      <c r="O683" s="213"/>
      <c r="P683" s="213"/>
      <c r="Q683" s="213"/>
      <c r="R683" s="213"/>
      <c r="S683" s="213"/>
      <c r="T683" s="213"/>
      <c r="U683" s="213"/>
      <c r="V683" s="213"/>
      <c r="W683" s="213"/>
      <c r="X683" s="213"/>
      <c r="Y683" s="213"/>
      <c r="Z683" s="213"/>
    </row>
    <row r="684" spans="1:26" ht="14.25">
      <c r="A684" s="213"/>
      <c r="B684" s="213"/>
      <c r="C684" s="213"/>
      <c r="D684" s="213"/>
      <c r="E684" s="213"/>
      <c r="F684" s="213"/>
      <c r="G684" s="213"/>
      <c r="H684" s="213"/>
      <c r="I684" s="213"/>
      <c r="J684" s="213"/>
      <c r="K684" s="213"/>
      <c r="L684" s="213"/>
      <c r="M684" s="213"/>
      <c r="N684" s="213"/>
      <c r="O684" s="213"/>
      <c r="P684" s="213"/>
      <c r="Q684" s="213"/>
      <c r="R684" s="213"/>
      <c r="S684" s="213"/>
      <c r="T684" s="213"/>
      <c r="U684" s="213"/>
      <c r="V684" s="213"/>
      <c r="W684" s="213"/>
      <c r="X684" s="213"/>
      <c r="Y684" s="213"/>
      <c r="Z684" s="213"/>
    </row>
    <row r="685" spans="1:26" ht="14.25">
      <c r="A685" s="213"/>
      <c r="B685" s="213"/>
      <c r="C685" s="213"/>
      <c r="D685" s="213"/>
      <c r="E685" s="213"/>
      <c r="F685" s="213"/>
      <c r="G685" s="213"/>
      <c r="H685" s="213"/>
      <c r="I685" s="213"/>
      <c r="J685" s="213"/>
      <c r="K685" s="213"/>
      <c r="L685" s="213"/>
      <c r="M685" s="213"/>
      <c r="N685" s="213"/>
      <c r="O685" s="213"/>
      <c r="P685" s="213"/>
      <c r="Q685" s="213"/>
      <c r="R685" s="213"/>
      <c r="S685" s="213"/>
      <c r="T685" s="213"/>
      <c r="U685" s="213"/>
      <c r="V685" s="213"/>
      <c r="W685" s="213"/>
      <c r="X685" s="213"/>
      <c r="Y685" s="213"/>
      <c r="Z685" s="213"/>
    </row>
    <row r="686" spans="1:26" ht="14.25">
      <c r="A686" s="213"/>
      <c r="B686" s="213"/>
      <c r="C686" s="213"/>
      <c r="D686" s="213"/>
      <c r="E686" s="213"/>
      <c r="F686" s="213"/>
      <c r="G686" s="213"/>
      <c r="H686" s="213"/>
      <c r="I686" s="213"/>
      <c r="J686" s="213"/>
      <c r="K686" s="213"/>
      <c r="L686" s="213"/>
      <c r="M686" s="213"/>
      <c r="N686" s="213"/>
      <c r="O686" s="213"/>
      <c r="P686" s="213"/>
      <c r="Q686" s="213"/>
      <c r="R686" s="213"/>
      <c r="S686" s="213"/>
      <c r="T686" s="213"/>
      <c r="U686" s="213"/>
      <c r="V686" s="213"/>
      <c r="W686" s="213"/>
      <c r="X686" s="213"/>
      <c r="Y686" s="213"/>
      <c r="Z686" s="213"/>
    </row>
    <row r="687" spans="1:26" ht="14.25">
      <c r="A687" s="213"/>
      <c r="B687" s="213"/>
      <c r="C687" s="213"/>
      <c r="D687" s="213"/>
      <c r="E687" s="213"/>
      <c r="F687" s="213"/>
      <c r="G687" s="213"/>
      <c r="H687" s="213"/>
      <c r="I687" s="213"/>
      <c r="J687" s="213"/>
      <c r="K687" s="213"/>
      <c r="L687" s="213"/>
      <c r="M687" s="213"/>
      <c r="N687" s="213"/>
      <c r="O687" s="213"/>
      <c r="P687" s="213"/>
      <c r="Q687" s="213"/>
      <c r="R687" s="213"/>
      <c r="S687" s="213"/>
      <c r="T687" s="213"/>
      <c r="U687" s="213"/>
      <c r="V687" s="213"/>
      <c r="W687" s="213"/>
      <c r="X687" s="213"/>
      <c r="Y687" s="213"/>
      <c r="Z687" s="213"/>
    </row>
    <row r="688" spans="1:26" ht="14.25">
      <c r="A688" s="213"/>
      <c r="B688" s="213"/>
      <c r="C688" s="213"/>
      <c r="D688" s="213"/>
      <c r="E688" s="213"/>
      <c r="F688" s="213"/>
      <c r="G688" s="213"/>
      <c r="H688" s="213"/>
      <c r="I688" s="213"/>
      <c r="J688" s="213"/>
      <c r="K688" s="213"/>
      <c r="L688" s="213"/>
      <c r="M688" s="213"/>
      <c r="N688" s="213"/>
      <c r="O688" s="213"/>
      <c r="P688" s="213"/>
      <c r="Q688" s="213"/>
      <c r="R688" s="213"/>
      <c r="S688" s="213"/>
      <c r="T688" s="213"/>
      <c r="U688" s="213"/>
      <c r="V688" s="213"/>
      <c r="W688" s="213"/>
      <c r="X688" s="213"/>
      <c r="Y688" s="213"/>
      <c r="Z688" s="213"/>
    </row>
    <row r="689" spans="1:26" ht="14.25">
      <c r="A689" s="213"/>
      <c r="B689" s="213"/>
      <c r="C689" s="213"/>
      <c r="D689" s="213"/>
      <c r="E689" s="213"/>
      <c r="F689" s="213"/>
      <c r="G689" s="213"/>
      <c r="H689" s="213"/>
      <c r="I689" s="213"/>
      <c r="J689" s="213"/>
      <c r="K689" s="213"/>
      <c r="L689" s="213"/>
      <c r="M689" s="213"/>
      <c r="N689" s="213"/>
      <c r="O689" s="213"/>
      <c r="P689" s="213"/>
      <c r="Q689" s="213"/>
      <c r="R689" s="213"/>
      <c r="S689" s="213"/>
      <c r="T689" s="213"/>
      <c r="U689" s="213"/>
      <c r="V689" s="213"/>
      <c r="W689" s="213"/>
      <c r="X689" s="213"/>
      <c r="Y689" s="213"/>
      <c r="Z689" s="213"/>
    </row>
    <row r="690" spans="1:26" ht="14.25">
      <c r="A690" s="213"/>
      <c r="B690" s="213"/>
      <c r="C690" s="213"/>
      <c r="D690" s="213"/>
      <c r="E690" s="213"/>
      <c r="F690" s="213"/>
      <c r="G690" s="213"/>
      <c r="H690" s="213"/>
      <c r="I690" s="213"/>
      <c r="J690" s="213"/>
      <c r="K690" s="213"/>
      <c r="L690" s="213"/>
      <c r="M690" s="213"/>
      <c r="N690" s="213"/>
      <c r="O690" s="213"/>
      <c r="P690" s="213"/>
      <c r="Q690" s="213"/>
      <c r="R690" s="213"/>
      <c r="S690" s="213"/>
      <c r="T690" s="213"/>
      <c r="U690" s="213"/>
      <c r="V690" s="213"/>
      <c r="W690" s="213"/>
      <c r="X690" s="213"/>
      <c r="Y690" s="213"/>
      <c r="Z690" s="213"/>
    </row>
    <row r="691" spans="1:26" ht="14.25">
      <c r="A691" s="213"/>
      <c r="B691" s="213"/>
      <c r="C691" s="213"/>
      <c r="D691" s="213"/>
      <c r="E691" s="213"/>
      <c r="F691" s="213"/>
      <c r="G691" s="213"/>
      <c r="H691" s="213"/>
      <c r="I691" s="213"/>
      <c r="J691" s="213"/>
      <c r="K691" s="213"/>
      <c r="L691" s="213"/>
      <c r="M691" s="213"/>
      <c r="N691" s="213"/>
      <c r="O691" s="213"/>
      <c r="P691" s="213"/>
      <c r="Q691" s="213"/>
      <c r="R691" s="213"/>
      <c r="S691" s="213"/>
      <c r="T691" s="213"/>
      <c r="U691" s="213"/>
      <c r="V691" s="213"/>
      <c r="W691" s="213"/>
      <c r="X691" s="213"/>
      <c r="Y691" s="213"/>
      <c r="Z691" s="213"/>
    </row>
    <row r="692" spans="1:26" ht="14.25">
      <c r="A692" s="213"/>
      <c r="B692" s="213"/>
      <c r="C692" s="213"/>
      <c r="D692" s="213"/>
      <c r="E692" s="213"/>
      <c r="F692" s="213"/>
      <c r="G692" s="213"/>
      <c r="H692" s="213"/>
      <c r="I692" s="213"/>
      <c r="J692" s="213"/>
      <c r="K692" s="213"/>
      <c r="L692" s="213"/>
      <c r="M692" s="213"/>
      <c r="N692" s="213"/>
      <c r="O692" s="213"/>
      <c r="P692" s="213"/>
      <c r="Q692" s="213"/>
      <c r="R692" s="213"/>
      <c r="S692" s="213"/>
      <c r="T692" s="213"/>
      <c r="U692" s="213"/>
      <c r="V692" s="213"/>
      <c r="W692" s="213"/>
      <c r="X692" s="213"/>
      <c r="Y692" s="213"/>
      <c r="Z692" s="213"/>
    </row>
    <row r="693" spans="1:26" ht="14.25">
      <c r="A693" s="213"/>
      <c r="B693" s="213"/>
      <c r="C693" s="213"/>
      <c r="D693" s="213"/>
      <c r="E693" s="213"/>
      <c r="F693" s="213"/>
      <c r="G693" s="213"/>
      <c r="H693" s="213"/>
      <c r="I693" s="213"/>
      <c r="J693" s="213"/>
      <c r="K693" s="213"/>
      <c r="L693" s="213"/>
      <c r="M693" s="213"/>
      <c r="N693" s="213"/>
      <c r="O693" s="213"/>
      <c r="P693" s="213"/>
      <c r="Q693" s="213"/>
      <c r="R693" s="213"/>
      <c r="S693" s="213"/>
      <c r="T693" s="213"/>
      <c r="U693" s="213"/>
      <c r="V693" s="213"/>
      <c r="W693" s="213"/>
      <c r="X693" s="213"/>
      <c r="Y693" s="213"/>
      <c r="Z693" s="213"/>
    </row>
    <row r="694" spans="1:26" ht="14.25">
      <c r="A694" s="213"/>
      <c r="B694" s="213"/>
      <c r="C694" s="213"/>
      <c r="D694" s="213"/>
      <c r="E694" s="213"/>
      <c r="F694" s="213"/>
      <c r="G694" s="213"/>
      <c r="H694" s="213"/>
      <c r="I694" s="213"/>
      <c r="J694" s="213"/>
      <c r="K694" s="213"/>
      <c r="L694" s="213"/>
      <c r="M694" s="213"/>
      <c r="N694" s="213"/>
      <c r="O694" s="213"/>
      <c r="P694" s="213"/>
      <c r="Q694" s="213"/>
      <c r="R694" s="213"/>
      <c r="S694" s="213"/>
      <c r="T694" s="213"/>
      <c r="U694" s="213"/>
      <c r="V694" s="213"/>
      <c r="W694" s="213"/>
      <c r="X694" s="213"/>
      <c r="Y694" s="213"/>
      <c r="Z694" s="213"/>
    </row>
    <row r="695" spans="1:26" ht="14.25">
      <c r="A695" s="213"/>
      <c r="B695" s="213"/>
      <c r="C695" s="213"/>
      <c r="D695" s="213"/>
      <c r="E695" s="213"/>
      <c r="F695" s="213"/>
      <c r="G695" s="213"/>
      <c r="H695" s="213"/>
      <c r="I695" s="213"/>
      <c r="J695" s="213"/>
      <c r="K695" s="213"/>
      <c r="L695" s="213"/>
      <c r="M695" s="213"/>
      <c r="N695" s="213"/>
      <c r="O695" s="213"/>
      <c r="P695" s="213"/>
      <c r="Q695" s="213"/>
      <c r="R695" s="213"/>
      <c r="S695" s="213"/>
      <c r="T695" s="213"/>
      <c r="U695" s="213"/>
      <c r="V695" s="213"/>
      <c r="W695" s="213"/>
      <c r="X695" s="213"/>
      <c r="Y695" s="213"/>
      <c r="Z695" s="213"/>
    </row>
    <row r="696" spans="1:26" ht="14.25">
      <c r="A696" s="213"/>
      <c r="B696" s="213"/>
      <c r="C696" s="213"/>
      <c r="D696" s="213"/>
      <c r="E696" s="213"/>
      <c r="F696" s="213"/>
      <c r="G696" s="213"/>
      <c r="H696" s="213"/>
      <c r="I696" s="213"/>
      <c r="J696" s="213"/>
      <c r="K696" s="213"/>
      <c r="L696" s="213"/>
      <c r="M696" s="213"/>
      <c r="N696" s="213"/>
      <c r="O696" s="213"/>
      <c r="P696" s="213"/>
      <c r="Q696" s="213"/>
      <c r="R696" s="213"/>
      <c r="S696" s="213"/>
      <c r="T696" s="213"/>
      <c r="U696" s="213"/>
      <c r="V696" s="213"/>
      <c r="W696" s="213"/>
      <c r="X696" s="213"/>
      <c r="Y696" s="213"/>
      <c r="Z696" s="213"/>
    </row>
    <row r="697" spans="1:26" ht="14.25">
      <c r="A697" s="213"/>
      <c r="B697" s="213"/>
      <c r="C697" s="213"/>
      <c r="D697" s="213"/>
      <c r="E697" s="213"/>
      <c r="F697" s="213"/>
      <c r="G697" s="213"/>
      <c r="H697" s="213"/>
      <c r="I697" s="213"/>
      <c r="J697" s="213"/>
      <c r="K697" s="213"/>
      <c r="L697" s="213"/>
      <c r="M697" s="213"/>
      <c r="N697" s="213"/>
      <c r="O697" s="213"/>
      <c r="P697" s="213"/>
      <c r="Q697" s="213"/>
      <c r="R697" s="213"/>
      <c r="S697" s="213"/>
      <c r="T697" s="213"/>
      <c r="U697" s="213"/>
      <c r="V697" s="213"/>
      <c r="W697" s="213"/>
      <c r="X697" s="213"/>
      <c r="Y697" s="213"/>
      <c r="Z697" s="213"/>
    </row>
    <row r="698" spans="1:26" ht="14.25">
      <c r="A698" s="213"/>
      <c r="B698" s="213"/>
      <c r="C698" s="213"/>
      <c r="D698" s="213"/>
      <c r="E698" s="213"/>
      <c r="F698" s="213"/>
      <c r="G698" s="213"/>
      <c r="H698" s="213"/>
      <c r="I698" s="213"/>
      <c r="J698" s="213"/>
      <c r="K698" s="213"/>
      <c r="L698" s="213"/>
      <c r="M698" s="213"/>
      <c r="N698" s="213"/>
      <c r="O698" s="213"/>
      <c r="P698" s="213"/>
      <c r="Q698" s="213"/>
      <c r="R698" s="213"/>
      <c r="S698" s="213"/>
      <c r="T698" s="213"/>
      <c r="U698" s="213"/>
      <c r="V698" s="213"/>
      <c r="W698" s="213"/>
      <c r="X698" s="213"/>
      <c r="Y698" s="213"/>
      <c r="Z698" s="213"/>
    </row>
    <row r="699" spans="1:26" ht="14.25">
      <c r="A699" s="213"/>
      <c r="B699" s="213"/>
      <c r="C699" s="213"/>
      <c r="D699" s="213"/>
      <c r="E699" s="213"/>
      <c r="F699" s="213"/>
      <c r="G699" s="213"/>
      <c r="H699" s="213"/>
      <c r="I699" s="213"/>
      <c r="J699" s="213"/>
      <c r="K699" s="213"/>
      <c r="L699" s="213"/>
      <c r="M699" s="213"/>
      <c r="N699" s="213"/>
      <c r="O699" s="213"/>
      <c r="P699" s="213"/>
      <c r="Q699" s="213"/>
      <c r="R699" s="213"/>
      <c r="S699" s="213"/>
      <c r="T699" s="213"/>
      <c r="U699" s="213"/>
      <c r="V699" s="213"/>
      <c r="W699" s="213"/>
      <c r="X699" s="213"/>
      <c r="Y699" s="213"/>
      <c r="Z699" s="213"/>
    </row>
    <row r="700" spans="1:26" ht="14.25">
      <c r="A700" s="213"/>
      <c r="B700" s="213"/>
      <c r="C700" s="213"/>
      <c r="D700" s="213"/>
      <c r="E700" s="213"/>
      <c r="F700" s="213"/>
      <c r="G700" s="213"/>
      <c r="H700" s="213"/>
      <c r="I700" s="213"/>
      <c r="J700" s="213"/>
      <c r="K700" s="213"/>
      <c r="L700" s="213"/>
      <c r="M700" s="213"/>
      <c r="N700" s="213"/>
      <c r="O700" s="213"/>
      <c r="P700" s="213"/>
      <c r="Q700" s="213"/>
      <c r="R700" s="213"/>
      <c r="S700" s="213"/>
      <c r="T700" s="213"/>
      <c r="U700" s="213"/>
      <c r="V700" s="213"/>
      <c r="W700" s="213"/>
      <c r="X700" s="213"/>
      <c r="Y700" s="213"/>
      <c r="Z700" s="213"/>
    </row>
    <row r="701" spans="1:26" ht="14.25">
      <c r="A701" s="213"/>
      <c r="B701" s="213"/>
      <c r="C701" s="213"/>
      <c r="D701" s="213"/>
      <c r="E701" s="213"/>
      <c r="F701" s="213"/>
      <c r="G701" s="213"/>
      <c r="H701" s="213"/>
      <c r="I701" s="213"/>
      <c r="J701" s="213"/>
      <c r="K701" s="213"/>
      <c r="L701" s="213"/>
      <c r="M701" s="213"/>
      <c r="N701" s="213"/>
      <c r="O701" s="213"/>
      <c r="P701" s="213"/>
      <c r="Q701" s="213"/>
      <c r="R701" s="213"/>
      <c r="S701" s="213"/>
      <c r="T701" s="213"/>
      <c r="U701" s="213"/>
      <c r="V701" s="213"/>
      <c r="W701" s="213"/>
      <c r="X701" s="213"/>
      <c r="Y701" s="213"/>
      <c r="Z701" s="213"/>
    </row>
    <row r="702" spans="1:26" ht="14.25">
      <c r="A702" s="213"/>
      <c r="B702" s="213"/>
      <c r="C702" s="213"/>
      <c r="D702" s="213"/>
      <c r="E702" s="213"/>
      <c r="F702" s="213"/>
      <c r="G702" s="213"/>
      <c r="H702" s="213"/>
      <c r="I702" s="213"/>
      <c r="J702" s="213"/>
      <c r="K702" s="213"/>
      <c r="L702" s="213"/>
      <c r="M702" s="213"/>
      <c r="N702" s="213"/>
      <c r="O702" s="213"/>
      <c r="P702" s="213"/>
      <c r="Q702" s="213"/>
      <c r="R702" s="213"/>
      <c r="S702" s="213"/>
      <c r="T702" s="213"/>
      <c r="U702" s="213"/>
      <c r="V702" s="213"/>
      <c r="W702" s="213"/>
      <c r="X702" s="213"/>
      <c r="Y702" s="213"/>
      <c r="Z702" s="213"/>
    </row>
    <row r="703" spans="1:26" ht="14.25">
      <c r="A703" s="213"/>
      <c r="B703" s="213"/>
      <c r="C703" s="213"/>
      <c r="D703" s="213"/>
      <c r="E703" s="213"/>
      <c r="F703" s="213"/>
      <c r="G703" s="213"/>
      <c r="H703" s="213"/>
      <c r="I703" s="213"/>
      <c r="J703" s="213"/>
      <c r="K703" s="213"/>
      <c r="L703" s="213"/>
      <c r="M703" s="213"/>
      <c r="N703" s="213"/>
      <c r="O703" s="213"/>
      <c r="P703" s="213"/>
      <c r="Q703" s="213"/>
      <c r="R703" s="213"/>
      <c r="S703" s="213"/>
      <c r="T703" s="213"/>
      <c r="U703" s="213"/>
      <c r="V703" s="213"/>
      <c r="W703" s="213"/>
      <c r="X703" s="213"/>
      <c r="Y703" s="213"/>
      <c r="Z703" s="213"/>
    </row>
    <row r="704" spans="1:26" ht="14.25">
      <c r="A704" s="213"/>
      <c r="B704" s="213"/>
      <c r="C704" s="213"/>
      <c r="D704" s="213"/>
      <c r="E704" s="213"/>
      <c r="F704" s="213"/>
      <c r="G704" s="213"/>
      <c r="H704" s="213"/>
      <c r="I704" s="213"/>
      <c r="J704" s="213"/>
      <c r="K704" s="213"/>
      <c r="L704" s="213"/>
      <c r="M704" s="213"/>
      <c r="N704" s="213"/>
      <c r="O704" s="213"/>
      <c r="P704" s="213"/>
      <c r="Q704" s="213"/>
      <c r="R704" s="213"/>
      <c r="S704" s="213"/>
      <c r="T704" s="213"/>
      <c r="U704" s="213"/>
      <c r="V704" s="213"/>
      <c r="W704" s="213"/>
      <c r="X704" s="213"/>
      <c r="Y704" s="213"/>
      <c r="Z704" s="213"/>
    </row>
    <row r="705" spans="1:26" ht="14.25">
      <c r="A705" s="213"/>
      <c r="B705" s="213"/>
      <c r="C705" s="213"/>
      <c r="D705" s="213"/>
      <c r="E705" s="213"/>
      <c r="F705" s="213"/>
      <c r="G705" s="213"/>
      <c r="H705" s="213"/>
      <c r="I705" s="213"/>
      <c r="J705" s="213"/>
      <c r="K705" s="213"/>
      <c r="L705" s="213"/>
      <c r="M705" s="213"/>
      <c r="N705" s="213"/>
      <c r="O705" s="213"/>
      <c r="P705" s="213"/>
      <c r="Q705" s="213"/>
      <c r="R705" s="213"/>
      <c r="S705" s="213"/>
      <c r="T705" s="213"/>
      <c r="U705" s="213"/>
      <c r="V705" s="213"/>
      <c r="W705" s="213"/>
      <c r="X705" s="213"/>
      <c r="Y705" s="213"/>
      <c r="Z705" s="213"/>
    </row>
    <row r="706" spans="1:26" ht="14.25">
      <c r="A706" s="213"/>
      <c r="B706" s="213"/>
      <c r="C706" s="213"/>
      <c r="D706" s="213"/>
      <c r="E706" s="213"/>
      <c r="F706" s="213"/>
      <c r="G706" s="213"/>
      <c r="H706" s="213"/>
      <c r="I706" s="213"/>
      <c r="J706" s="213"/>
      <c r="K706" s="213"/>
      <c r="L706" s="213"/>
      <c r="M706" s="213"/>
      <c r="N706" s="213"/>
      <c r="O706" s="213"/>
      <c r="P706" s="213"/>
      <c r="Q706" s="213"/>
      <c r="R706" s="213"/>
      <c r="S706" s="213"/>
      <c r="T706" s="213"/>
      <c r="U706" s="213"/>
      <c r="V706" s="213"/>
      <c r="W706" s="213"/>
      <c r="X706" s="213"/>
      <c r="Y706" s="213"/>
      <c r="Z706" s="213"/>
    </row>
    <row r="707" spans="1:26" ht="14.25">
      <c r="A707" s="213"/>
      <c r="B707" s="213"/>
      <c r="C707" s="213"/>
      <c r="D707" s="213"/>
      <c r="E707" s="213"/>
      <c r="F707" s="213"/>
      <c r="G707" s="213"/>
      <c r="H707" s="213"/>
      <c r="I707" s="213"/>
      <c r="J707" s="213"/>
      <c r="K707" s="213"/>
      <c r="L707" s="213"/>
      <c r="M707" s="213"/>
      <c r="N707" s="213"/>
      <c r="O707" s="213"/>
      <c r="P707" s="213"/>
      <c r="Q707" s="213"/>
      <c r="R707" s="213"/>
      <c r="S707" s="213"/>
      <c r="T707" s="213"/>
      <c r="U707" s="213"/>
      <c r="V707" s="213"/>
      <c r="W707" s="213"/>
      <c r="X707" s="213"/>
      <c r="Y707" s="213"/>
      <c r="Z707" s="213"/>
    </row>
    <row r="708" spans="1:26" ht="14.25">
      <c r="A708" s="213"/>
      <c r="B708" s="213"/>
      <c r="C708" s="213"/>
      <c r="D708" s="213"/>
      <c r="E708" s="213"/>
      <c r="F708" s="213"/>
      <c r="G708" s="213"/>
      <c r="H708" s="213"/>
      <c r="I708" s="213"/>
      <c r="J708" s="213"/>
      <c r="K708" s="213"/>
      <c r="L708" s="213"/>
      <c r="M708" s="213"/>
      <c r="N708" s="213"/>
      <c r="O708" s="213"/>
      <c r="P708" s="213"/>
      <c r="Q708" s="213"/>
      <c r="R708" s="213"/>
      <c r="S708" s="213"/>
      <c r="T708" s="213"/>
      <c r="U708" s="213"/>
      <c r="V708" s="213"/>
      <c r="W708" s="213"/>
      <c r="X708" s="213"/>
      <c r="Y708" s="213"/>
      <c r="Z708" s="213"/>
    </row>
    <row r="709" spans="1:26" ht="14.25">
      <c r="A709" s="213"/>
      <c r="B709" s="213"/>
      <c r="C709" s="213"/>
      <c r="D709" s="213"/>
      <c r="E709" s="213"/>
      <c r="F709" s="213"/>
      <c r="G709" s="213"/>
      <c r="H709" s="213"/>
      <c r="I709" s="213"/>
      <c r="J709" s="213"/>
      <c r="K709" s="213"/>
      <c r="L709" s="213"/>
      <c r="M709" s="213"/>
      <c r="N709" s="213"/>
      <c r="O709" s="213"/>
      <c r="P709" s="213"/>
      <c r="Q709" s="213"/>
      <c r="R709" s="213"/>
      <c r="S709" s="213"/>
      <c r="T709" s="213"/>
      <c r="U709" s="213"/>
      <c r="V709" s="213"/>
      <c r="W709" s="213"/>
      <c r="X709" s="213"/>
      <c r="Y709" s="213"/>
      <c r="Z709" s="213"/>
    </row>
    <row r="710" spans="1:26" ht="14.25">
      <c r="A710" s="213"/>
      <c r="B710" s="213"/>
      <c r="C710" s="213"/>
      <c r="D710" s="213"/>
      <c r="E710" s="213"/>
      <c r="F710" s="213"/>
      <c r="G710" s="213"/>
      <c r="H710" s="213"/>
      <c r="I710" s="213"/>
      <c r="J710" s="213"/>
      <c r="K710" s="213"/>
      <c r="L710" s="213"/>
      <c r="M710" s="213"/>
      <c r="N710" s="213"/>
      <c r="O710" s="213"/>
      <c r="P710" s="213"/>
      <c r="Q710" s="213"/>
      <c r="R710" s="213"/>
      <c r="S710" s="213"/>
      <c r="T710" s="213"/>
      <c r="U710" s="213"/>
      <c r="V710" s="213"/>
      <c r="W710" s="213"/>
      <c r="X710" s="213"/>
      <c r="Y710" s="213"/>
      <c r="Z710" s="213"/>
    </row>
    <row r="711" spans="1:26" ht="14.25">
      <c r="A711" s="213"/>
      <c r="B711" s="213"/>
      <c r="C711" s="213"/>
      <c r="D711" s="213"/>
      <c r="E711" s="213"/>
      <c r="F711" s="213"/>
      <c r="G711" s="213"/>
      <c r="H711" s="213"/>
      <c r="I711" s="213"/>
      <c r="J711" s="213"/>
      <c r="K711" s="213"/>
      <c r="L711" s="213"/>
      <c r="M711" s="213"/>
      <c r="N711" s="213"/>
      <c r="O711" s="213"/>
      <c r="P711" s="213"/>
      <c r="Q711" s="213"/>
      <c r="R711" s="213"/>
      <c r="S711" s="213"/>
      <c r="T711" s="213"/>
      <c r="U711" s="213"/>
      <c r="V711" s="213"/>
      <c r="W711" s="213"/>
      <c r="X711" s="213"/>
      <c r="Y711" s="213"/>
      <c r="Z711" s="213"/>
    </row>
    <row r="712" spans="1:26" ht="14.25">
      <c r="A712" s="213"/>
      <c r="B712" s="213"/>
      <c r="C712" s="213"/>
      <c r="D712" s="213"/>
      <c r="E712" s="213"/>
      <c r="F712" s="213"/>
      <c r="G712" s="213"/>
      <c r="H712" s="213"/>
      <c r="I712" s="213"/>
      <c r="J712" s="213"/>
      <c r="K712" s="213"/>
      <c r="L712" s="213"/>
      <c r="M712" s="213"/>
      <c r="N712" s="213"/>
      <c r="O712" s="213"/>
      <c r="P712" s="213"/>
      <c r="Q712" s="213"/>
      <c r="R712" s="213"/>
      <c r="S712" s="213"/>
      <c r="T712" s="213"/>
      <c r="U712" s="213"/>
      <c r="V712" s="213"/>
      <c r="W712" s="213"/>
      <c r="X712" s="213"/>
      <c r="Y712" s="213"/>
      <c r="Z712" s="213"/>
    </row>
    <row r="713" spans="1:26" ht="14.25">
      <c r="A713" s="213"/>
      <c r="B713" s="213"/>
      <c r="C713" s="213"/>
      <c r="D713" s="213"/>
      <c r="E713" s="213"/>
      <c r="F713" s="213"/>
      <c r="G713" s="213"/>
      <c r="H713" s="213"/>
      <c r="I713" s="213"/>
      <c r="J713" s="213"/>
      <c r="K713" s="213"/>
      <c r="L713" s="213"/>
      <c r="M713" s="213"/>
      <c r="N713" s="213"/>
      <c r="O713" s="213"/>
      <c r="P713" s="213"/>
      <c r="Q713" s="213"/>
      <c r="R713" s="213"/>
      <c r="S713" s="213"/>
      <c r="T713" s="213"/>
      <c r="U713" s="213"/>
      <c r="V713" s="213"/>
      <c r="W713" s="213"/>
      <c r="X713" s="213"/>
      <c r="Y713" s="213"/>
      <c r="Z713" s="213"/>
    </row>
    <row r="714" spans="1:26" ht="14.25">
      <c r="A714" s="213"/>
      <c r="B714" s="213"/>
      <c r="C714" s="213"/>
      <c r="D714" s="213"/>
      <c r="E714" s="213"/>
      <c r="F714" s="213"/>
      <c r="G714" s="213"/>
      <c r="H714" s="213"/>
      <c r="I714" s="213"/>
      <c r="J714" s="213"/>
      <c r="K714" s="213"/>
      <c r="L714" s="213"/>
      <c r="M714" s="213"/>
      <c r="N714" s="213"/>
      <c r="O714" s="213"/>
      <c r="P714" s="213"/>
      <c r="Q714" s="213"/>
      <c r="R714" s="213"/>
      <c r="S714" s="213"/>
      <c r="T714" s="213"/>
      <c r="U714" s="213"/>
      <c r="V714" s="213"/>
      <c r="W714" s="213"/>
      <c r="X714" s="213"/>
      <c r="Y714" s="213"/>
      <c r="Z714" s="213"/>
    </row>
    <row r="715" spans="1:26" ht="14.25">
      <c r="A715" s="213"/>
      <c r="B715" s="213"/>
      <c r="C715" s="213"/>
      <c r="D715" s="213"/>
      <c r="E715" s="213"/>
      <c r="F715" s="213"/>
      <c r="G715" s="213"/>
      <c r="H715" s="213"/>
      <c r="I715" s="213"/>
      <c r="J715" s="213"/>
      <c r="K715" s="213"/>
      <c r="L715" s="213"/>
      <c r="M715" s="213"/>
      <c r="N715" s="213"/>
      <c r="O715" s="213"/>
      <c r="P715" s="213"/>
      <c r="Q715" s="213"/>
      <c r="R715" s="213"/>
      <c r="S715" s="213"/>
      <c r="T715" s="213"/>
      <c r="U715" s="213"/>
      <c r="V715" s="213"/>
      <c r="W715" s="213"/>
      <c r="X715" s="213"/>
      <c r="Y715" s="213"/>
      <c r="Z715" s="213"/>
    </row>
    <row r="716" spans="1:26" ht="14.25">
      <c r="A716" s="213"/>
      <c r="B716" s="213"/>
      <c r="C716" s="213"/>
      <c r="D716" s="213"/>
      <c r="E716" s="213"/>
      <c r="F716" s="213"/>
      <c r="G716" s="213"/>
      <c r="H716" s="213"/>
      <c r="I716" s="213"/>
      <c r="J716" s="213"/>
      <c r="K716" s="213"/>
      <c r="L716" s="213"/>
      <c r="M716" s="213"/>
      <c r="N716" s="213"/>
      <c r="O716" s="213"/>
      <c r="P716" s="213"/>
      <c r="Q716" s="213"/>
      <c r="R716" s="213"/>
      <c r="S716" s="213"/>
      <c r="T716" s="213"/>
      <c r="U716" s="213"/>
      <c r="V716" s="213"/>
      <c r="W716" s="213"/>
      <c r="X716" s="213"/>
      <c r="Y716" s="213"/>
      <c r="Z716" s="213"/>
    </row>
    <row r="717" spans="1:26" ht="14.25">
      <c r="A717" s="213"/>
      <c r="B717" s="213"/>
      <c r="C717" s="213"/>
      <c r="D717" s="213"/>
      <c r="E717" s="213"/>
      <c r="F717" s="213"/>
      <c r="G717" s="213"/>
      <c r="H717" s="213"/>
      <c r="I717" s="213"/>
      <c r="J717" s="213"/>
      <c r="K717" s="213"/>
      <c r="L717" s="213"/>
      <c r="M717" s="213"/>
      <c r="N717" s="213"/>
      <c r="O717" s="213"/>
      <c r="P717" s="213"/>
      <c r="Q717" s="213"/>
      <c r="R717" s="213"/>
      <c r="S717" s="213"/>
      <c r="T717" s="213"/>
      <c r="U717" s="213"/>
      <c r="V717" s="213"/>
      <c r="W717" s="213"/>
      <c r="X717" s="213"/>
      <c r="Y717" s="213"/>
      <c r="Z717" s="213"/>
    </row>
    <row r="718" spans="1:26" ht="14.25">
      <c r="A718" s="213"/>
      <c r="B718" s="213"/>
      <c r="C718" s="213"/>
      <c r="D718" s="213"/>
      <c r="E718" s="213"/>
      <c r="F718" s="213"/>
      <c r="G718" s="213"/>
      <c r="H718" s="213"/>
      <c r="I718" s="213"/>
      <c r="J718" s="213"/>
      <c r="K718" s="213"/>
      <c r="L718" s="213"/>
      <c r="M718" s="213"/>
      <c r="N718" s="213"/>
      <c r="O718" s="213"/>
      <c r="P718" s="213"/>
      <c r="Q718" s="213"/>
      <c r="R718" s="213"/>
      <c r="S718" s="213"/>
      <c r="T718" s="213"/>
      <c r="U718" s="213"/>
      <c r="V718" s="213"/>
      <c r="W718" s="213"/>
      <c r="X718" s="213"/>
      <c r="Y718" s="213"/>
      <c r="Z718" s="213"/>
    </row>
    <row r="719" spans="1:26" ht="14.25">
      <c r="A719" s="213"/>
      <c r="B719" s="213"/>
      <c r="C719" s="213"/>
      <c r="D719" s="213"/>
      <c r="E719" s="213"/>
      <c r="F719" s="213"/>
      <c r="G719" s="213"/>
      <c r="H719" s="213"/>
      <c r="I719" s="213"/>
      <c r="J719" s="213"/>
      <c r="K719" s="213"/>
      <c r="L719" s="213"/>
      <c r="M719" s="213"/>
      <c r="N719" s="213"/>
      <c r="O719" s="213"/>
      <c r="P719" s="213"/>
      <c r="Q719" s="213"/>
      <c r="R719" s="213"/>
      <c r="S719" s="213"/>
      <c r="T719" s="213"/>
      <c r="U719" s="213"/>
      <c r="V719" s="213"/>
      <c r="W719" s="213"/>
      <c r="X719" s="213"/>
      <c r="Y719" s="213"/>
      <c r="Z719" s="213"/>
    </row>
    <row r="720" spans="1:26" ht="14.25">
      <c r="A720" s="213"/>
      <c r="B720" s="213"/>
      <c r="C720" s="213"/>
      <c r="D720" s="213"/>
      <c r="E720" s="213"/>
      <c r="F720" s="213"/>
      <c r="G720" s="213"/>
      <c r="H720" s="213"/>
      <c r="I720" s="213"/>
      <c r="J720" s="213"/>
      <c r="K720" s="213"/>
      <c r="L720" s="213"/>
      <c r="M720" s="213"/>
      <c r="N720" s="213"/>
      <c r="O720" s="213"/>
      <c r="P720" s="213"/>
      <c r="Q720" s="213"/>
      <c r="R720" s="213"/>
      <c r="S720" s="213"/>
      <c r="T720" s="213"/>
      <c r="U720" s="213"/>
      <c r="V720" s="213"/>
      <c r="W720" s="213"/>
      <c r="X720" s="213"/>
      <c r="Y720" s="213"/>
      <c r="Z720" s="213"/>
    </row>
    <row r="721" spans="1:26" ht="14.25">
      <c r="A721" s="213"/>
      <c r="B721" s="213"/>
      <c r="C721" s="213"/>
      <c r="D721" s="213"/>
      <c r="E721" s="213"/>
      <c r="F721" s="213"/>
      <c r="G721" s="213"/>
      <c r="H721" s="213"/>
      <c r="I721" s="213"/>
      <c r="J721" s="213"/>
      <c r="K721" s="213"/>
      <c r="L721" s="213"/>
      <c r="M721" s="213"/>
      <c r="N721" s="213"/>
      <c r="O721" s="213"/>
      <c r="P721" s="213"/>
      <c r="Q721" s="213"/>
      <c r="R721" s="213"/>
      <c r="S721" s="213"/>
      <c r="T721" s="213"/>
      <c r="U721" s="213"/>
      <c r="V721" s="213"/>
      <c r="W721" s="213"/>
      <c r="X721" s="213"/>
      <c r="Y721" s="213"/>
      <c r="Z721" s="213"/>
    </row>
    <row r="722" spans="1:26" ht="14.25">
      <c r="A722" s="213"/>
      <c r="B722" s="213"/>
      <c r="C722" s="213"/>
      <c r="D722" s="213"/>
      <c r="E722" s="213"/>
      <c r="F722" s="213"/>
      <c r="G722" s="213"/>
      <c r="H722" s="213"/>
      <c r="I722" s="213"/>
      <c r="J722" s="213"/>
      <c r="K722" s="213"/>
      <c r="L722" s="213"/>
      <c r="M722" s="213"/>
      <c r="N722" s="213"/>
      <c r="O722" s="213"/>
      <c r="P722" s="213"/>
      <c r="Q722" s="213"/>
      <c r="R722" s="213"/>
      <c r="S722" s="213"/>
      <c r="T722" s="213"/>
      <c r="U722" s="213"/>
      <c r="V722" s="213"/>
      <c r="W722" s="213"/>
      <c r="X722" s="213"/>
      <c r="Y722" s="213"/>
      <c r="Z722" s="213"/>
    </row>
    <row r="723" spans="1:26" ht="14.25">
      <c r="A723" s="213"/>
      <c r="B723" s="213"/>
      <c r="C723" s="213"/>
      <c r="D723" s="213"/>
      <c r="E723" s="213"/>
      <c r="F723" s="213"/>
      <c r="G723" s="213"/>
      <c r="H723" s="213"/>
      <c r="I723" s="213"/>
      <c r="J723" s="213"/>
      <c r="K723" s="213"/>
      <c r="L723" s="213"/>
      <c r="M723" s="213"/>
      <c r="N723" s="213"/>
      <c r="O723" s="213"/>
      <c r="P723" s="213"/>
      <c r="Q723" s="213"/>
      <c r="R723" s="213"/>
      <c r="S723" s="213"/>
      <c r="T723" s="213"/>
      <c r="U723" s="213"/>
      <c r="V723" s="213"/>
      <c r="W723" s="213"/>
      <c r="X723" s="213"/>
      <c r="Y723" s="213"/>
      <c r="Z723" s="213"/>
    </row>
    <row r="724" spans="1:26" ht="14.25">
      <c r="A724" s="213"/>
      <c r="B724" s="213"/>
      <c r="C724" s="213"/>
      <c r="D724" s="213"/>
      <c r="E724" s="213"/>
      <c r="F724" s="213"/>
      <c r="G724" s="213"/>
      <c r="H724" s="213"/>
      <c r="I724" s="213"/>
      <c r="J724" s="213"/>
      <c r="K724" s="213"/>
      <c r="L724" s="213"/>
      <c r="M724" s="213"/>
      <c r="N724" s="213"/>
      <c r="O724" s="213"/>
      <c r="P724" s="213"/>
      <c r="Q724" s="213"/>
      <c r="R724" s="213"/>
      <c r="S724" s="213"/>
      <c r="T724" s="213"/>
      <c r="U724" s="213"/>
      <c r="V724" s="213"/>
      <c r="W724" s="213"/>
      <c r="X724" s="213"/>
      <c r="Y724" s="213"/>
      <c r="Z724" s="213"/>
    </row>
    <row r="725" spans="1:26" ht="14.25">
      <c r="A725" s="213"/>
      <c r="B725" s="213"/>
      <c r="C725" s="213"/>
      <c r="D725" s="213"/>
      <c r="E725" s="213"/>
      <c r="F725" s="213"/>
      <c r="G725" s="213"/>
      <c r="H725" s="213"/>
      <c r="I725" s="213"/>
      <c r="J725" s="213"/>
      <c r="K725" s="213"/>
      <c r="L725" s="213"/>
      <c r="M725" s="213"/>
      <c r="N725" s="213"/>
      <c r="O725" s="213"/>
      <c r="P725" s="213"/>
      <c r="Q725" s="213"/>
      <c r="R725" s="213"/>
      <c r="S725" s="213"/>
      <c r="T725" s="213"/>
      <c r="U725" s="213"/>
      <c r="V725" s="213"/>
      <c r="W725" s="213"/>
      <c r="X725" s="213"/>
      <c r="Y725" s="213"/>
      <c r="Z725" s="213"/>
    </row>
    <row r="726" spans="1:26" ht="14.25">
      <c r="A726" s="213"/>
      <c r="B726" s="213"/>
      <c r="C726" s="213"/>
      <c r="D726" s="213"/>
      <c r="E726" s="213"/>
      <c r="F726" s="213"/>
      <c r="G726" s="213"/>
      <c r="H726" s="213"/>
      <c r="I726" s="213"/>
      <c r="J726" s="213"/>
      <c r="K726" s="213"/>
      <c r="L726" s="213"/>
      <c r="M726" s="213"/>
      <c r="N726" s="213"/>
      <c r="O726" s="213"/>
      <c r="P726" s="213"/>
      <c r="Q726" s="213"/>
      <c r="R726" s="213"/>
      <c r="S726" s="213"/>
      <c r="T726" s="213"/>
      <c r="U726" s="213"/>
      <c r="V726" s="213"/>
      <c r="W726" s="213"/>
      <c r="X726" s="213"/>
      <c r="Y726" s="213"/>
      <c r="Z726" s="213"/>
    </row>
    <row r="727" spans="1:26" ht="14.25">
      <c r="A727" s="213"/>
      <c r="B727" s="213"/>
      <c r="C727" s="213"/>
      <c r="D727" s="213"/>
      <c r="E727" s="213"/>
      <c r="F727" s="213"/>
      <c r="G727" s="213"/>
      <c r="H727" s="213"/>
      <c r="I727" s="213"/>
      <c r="J727" s="213"/>
      <c r="K727" s="213"/>
      <c r="L727" s="213"/>
      <c r="M727" s="213"/>
      <c r="N727" s="213"/>
      <c r="O727" s="213"/>
      <c r="P727" s="213"/>
      <c r="Q727" s="213"/>
      <c r="R727" s="213"/>
      <c r="S727" s="213"/>
      <c r="T727" s="213"/>
      <c r="U727" s="213"/>
      <c r="V727" s="213"/>
      <c r="W727" s="213"/>
      <c r="X727" s="213"/>
      <c r="Y727" s="213"/>
      <c r="Z727" s="213"/>
    </row>
    <row r="728" spans="1:26" ht="14.25">
      <c r="A728" s="213"/>
      <c r="B728" s="213"/>
      <c r="C728" s="213"/>
      <c r="D728" s="213"/>
      <c r="E728" s="213"/>
      <c r="F728" s="213"/>
      <c r="G728" s="213"/>
      <c r="H728" s="213"/>
      <c r="I728" s="213"/>
      <c r="J728" s="213"/>
      <c r="K728" s="213"/>
      <c r="L728" s="213"/>
      <c r="M728" s="213"/>
      <c r="N728" s="213"/>
      <c r="O728" s="213"/>
      <c r="P728" s="213"/>
      <c r="Q728" s="213"/>
      <c r="R728" s="213"/>
      <c r="S728" s="213"/>
      <c r="T728" s="213"/>
      <c r="U728" s="213"/>
      <c r="V728" s="213"/>
      <c r="W728" s="213"/>
      <c r="X728" s="213"/>
      <c r="Y728" s="213"/>
      <c r="Z728" s="213"/>
    </row>
    <row r="729" spans="1:26" ht="14.25">
      <c r="A729" s="213"/>
      <c r="B729" s="213"/>
      <c r="C729" s="213"/>
      <c r="D729" s="213"/>
      <c r="E729" s="213"/>
      <c r="F729" s="213"/>
      <c r="G729" s="213"/>
      <c r="H729" s="213"/>
      <c r="I729" s="213"/>
      <c r="J729" s="213"/>
      <c r="K729" s="213"/>
      <c r="L729" s="213"/>
      <c r="M729" s="213"/>
      <c r="N729" s="213"/>
      <c r="O729" s="213"/>
      <c r="P729" s="213"/>
      <c r="Q729" s="213"/>
      <c r="R729" s="213"/>
      <c r="S729" s="213"/>
      <c r="T729" s="213"/>
      <c r="U729" s="213"/>
      <c r="V729" s="213"/>
      <c r="W729" s="213"/>
      <c r="X729" s="213"/>
      <c r="Y729" s="213"/>
      <c r="Z729" s="213"/>
    </row>
    <row r="730" spans="1:26" ht="14.25">
      <c r="A730" s="213"/>
      <c r="B730" s="213"/>
      <c r="C730" s="213"/>
      <c r="D730" s="213"/>
      <c r="E730" s="213"/>
      <c r="F730" s="213"/>
      <c r="G730" s="213"/>
      <c r="H730" s="213"/>
      <c r="I730" s="213"/>
      <c r="J730" s="213"/>
      <c r="K730" s="213"/>
      <c r="L730" s="213"/>
      <c r="M730" s="213"/>
      <c r="N730" s="213"/>
      <c r="O730" s="213"/>
      <c r="P730" s="213"/>
      <c r="Q730" s="213"/>
      <c r="R730" s="213"/>
      <c r="S730" s="213"/>
      <c r="T730" s="213"/>
      <c r="U730" s="213"/>
      <c r="V730" s="213"/>
      <c r="W730" s="213"/>
      <c r="X730" s="213"/>
      <c r="Y730" s="213"/>
      <c r="Z730" s="213"/>
    </row>
    <row r="731" spans="1:26" ht="14.25">
      <c r="A731" s="213"/>
      <c r="B731" s="213"/>
      <c r="C731" s="213"/>
      <c r="D731" s="213"/>
      <c r="E731" s="213"/>
      <c r="F731" s="213"/>
      <c r="G731" s="213"/>
      <c r="H731" s="213"/>
      <c r="I731" s="213"/>
      <c r="J731" s="213"/>
      <c r="K731" s="213"/>
      <c r="L731" s="213"/>
      <c r="M731" s="213"/>
      <c r="N731" s="213"/>
      <c r="O731" s="213"/>
      <c r="P731" s="213"/>
      <c r="Q731" s="213"/>
      <c r="R731" s="213"/>
      <c r="S731" s="213"/>
      <c r="T731" s="213"/>
      <c r="U731" s="213"/>
      <c r="V731" s="213"/>
      <c r="W731" s="213"/>
      <c r="X731" s="213"/>
      <c r="Y731" s="213"/>
      <c r="Z731" s="213"/>
    </row>
    <row r="732" spans="1:26" ht="14.25">
      <c r="A732" s="213"/>
      <c r="B732" s="213"/>
      <c r="C732" s="213"/>
      <c r="D732" s="213"/>
      <c r="E732" s="213"/>
      <c r="F732" s="213"/>
      <c r="G732" s="213"/>
      <c r="H732" s="213"/>
      <c r="I732" s="213"/>
      <c r="J732" s="213"/>
      <c r="K732" s="213"/>
      <c r="L732" s="213"/>
      <c r="M732" s="213"/>
      <c r="N732" s="213"/>
      <c r="O732" s="213"/>
      <c r="P732" s="213"/>
      <c r="Q732" s="213"/>
      <c r="R732" s="213"/>
      <c r="S732" s="213"/>
      <c r="T732" s="213"/>
      <c r="U732" s="213"/>
      <c r="V732" s="213"/>
      <c r="W732" s="213"/>
      <c r="X732" s="213"/>
      <c r="Y732" s="213"/>
      <c r="Z732" s="213"/>
    </row>
    <row r="733" spans="1:26" ht="14.25">
      <c r="A733" s="213"/>
      <c r="B733" s="213"/>
      <c r="C733" s="213"/>
      <c r="D733" s="213"/>
      <c r="E733" s="213"/>
      <c r="F733" s="213"/>
      <c r="G733" s="213"/>
      <c r="H733" s="213"/>
      <c r="I733" s="213"/>
      <c r="J733" s="213"/>
      <c r="K733" s="213"/>
      <c r="L733" s="213"/>
      <c r="M733" s="213"/>
      <c r="N733" s="213"/>
      <c r="O733" s="213"/>
      <c r="P733" s="213"/>
      <c r="Q733" s="213"/>
      <c r="R733" s="213"/>
      <c r="S733" s="213"/>
      <c r="T733" s="213"/>
      <c r="U733" s="213"/>
      <c r="V733" s="213"/>
      <c r="W733" s="213"/>
      <c r="X733" s="213"/>
      <c r="Y733" s="213"/>
      <c r="Z733" s="213"/>
    </row>
    <row r="734" spans="1:26" ht="14.25">
      <c r="A734" s="213"/>
      <c r="B734" s="213"/>
      <c r="C734" s="213"/>
      <c r="D734" s="213"/>
      <c r="E734" s="213"/>
      <c r="F734" s="213"/>
      <c r="G734" s="213"/>
      <c r="H734" s="213"/>
      <c r="I734" s="213"/>
      <c r="J734" s="213"/>
      <c r="K734" s="213"/>
      <c r="L734" s="213"/>
      <c r="M734" s="213"/>
      <c r="N734" s="213"/>
      <c r="O734" s="213"/>
      <c r="P734" s="213"/>
      <c r="Q734" s="213"/>
      <c r="R734" s="213"/>
      <c r="S734" s="213"/>
      <c r="T734" s="213"/>
      <c r="U734" s="213"/>
      <c r="V734" s="213"/>
      <c r="W734" s="213"/>
      <c r="X734" s="213"/>
      <c r="Y734" s="213"/>
      <c r="Z734" s="213"/>
    </row>
    <row r="735" spans="1:26" ht="14.25">
      <c r="A735" s="213"/>
      <c r="B735" s="213"/>
      <c r="C735" s="213"/>
      <c r="D735" s="213"/>
      <c r="E735" s="213"/>
      <c r="F735" s="213"/>
      <c r="G735" s="213"/>
      <c r="H735" s="213"/>
      <c r="I735" s="213"/>
      <c r="J735" s="213"/>
      <c r="K735" s="213"/>
      <c r="L735" s="213"/>
      <c r="M735" s="213"/>
      <c r="N735" s="213"/>
      <c r="O735" s="213"/>
      <c r="P735" s="213"/>
      <c r="Q735" s="213"/>
      <c r="R735" s="213"/>
      <c r="S735" s="213"/>
      <c r="T735" s="213"/>
      <c r="U735" s="213"/>
      <c r="V735" s="213"/>
      <c r="W735" s="213"/>
      <c r="X735" s="213"/>
      <c r="Y735" s="213"/>
      <c r="Z735" s="213"/>
    </row>
    <row r="736" spans="1:26" ht="14.25">
      <c r="A736" s="213"/>
      <c r="B736" s="213"/>
      <c r="C736" s="213"/>
      <c r="D736" s="213"/>
      <c r="E736" s="213"/>
      <c r="F736" s="213"/>
      <c r="G736" s="213"/>
      <c r="H736" s="213"/>
      <c r="I736" s="213"/>
      <c r="J736" s="213"/>
      <c r="K736" s="213"/>
      <c r="L736" s="213"/>
      <c r="M736" s="213"/>
      <c r="N736" s="213"/>
      <c r="O736" s="213"/>
      <c r="P736" s="213"/>
      <c r="Q736" s="213"/>
      <c r="R736" s="213"/>
      <c r="S736" s="213"/>
      <c r="T736" s="213"/>
      <c r="U736" s="213"/>
      <c r="V736" s="213"/>
      <c r="W736" s="213"/>
      <c r="X736" s="213"/>
      <c r="Y736" s="213"/>
      <c r="Z736" s="213"/>
    </row>
    <row r="737" spans="1:26" ht="14.25">
      <c r="A737" s="213"/>
      <c r="B737" s="213"/>
      <c r="C737" s="213"/>
      <c r="D737" s="213"/>
      <c r="E737" s="213"/>
      <c r="F737" s="213"/>
      <c r="G737" s="213"/>
      <c r="H737" s="213"/>
      <c r="I737" s="213"/>
      <c r="J737" s="213"/>
      <c r="K737" s="213"/>
      <c r="L737" s="213"/>
      <c r="M737" s="213"/>
      <c r="N737" s="213"/>
      <c r="O737" s="213"/>
      <c r="P737" s="213"/>
      <c r="Q737" s="213"/>
      <c r="R737" s="213"/>
      <c r="S737" s="213"/>
      <c r="T737" s="213"/>
      <c r="U737" s="213"/>
      <c r="V737" s="213"/>
      <c r="W737" s="213"/>
      <c r="X737" s="213"/>
      <c r="Y737" s="213"/>
      <c r="Z737" s="213"/>
    </row>
    <row r="738" spans="1:26" ht="14.25">
      <c r="A738" s="213"/>
      <c r="B738" s="213"/>
      <c r="C738" s="213"/>
      <c r="D738" s="213"/>
      <c r="E738" s="213"/>
      <c r="F738" s="213"/>
      <c r="G738" s="213"/>
      <c r="H738" s="213"/>
      <c r="I738" s="213"/>
      <c r="J738" s="213"/>
      <c r="K738" s="213"/>
      <c r="L738" s="213"/>
      <c r="M738" s="213"/>
      <c r="N738" s="213"/>
      <c r="O738" s="213"/>
      <c r="P738" s="213"/>
      <c r="Q738" s="213"/>
      <c r="R738" s="213"/>
      <c r="S738" s="213"/>
      <c r="T738" s="213"/>
      <c r="U738" s="213"/>
      <c r="V738" s="213"/>
      <c r="W738" s="213"/>
      <c r="X738" s="213"/>
      <c r="Y738" s="213"/>
      <c r="Z738" s="213"/>
    </row>
    <row r="739" spans="1:26" ht="14.25">
      <c r="A739" s="213"/>
      <c r="B739" s="213"/>
      <c r="C739" s="213"/>
      <c r="D739" s="213"/>
      <c r="E739" s="213"/>
      <c r="F739" s="213"/>
      <c r="G739" s="213"/>
      <c r="H739" s="213"/>
      <c r="I739" s="213"/>
      <c r="J739" s="213"/>
      <c r="K739" s="213"/>
      <c r="L739" s="213"/>
      <c r="M739" s="213"/>
      <c r="N739" s="213"/>
      <c r="O739" s="213"/>
      <c r="P739" s="213"/>
      <c r="Q739" s="213"/>
      <c r="R739" s="213"/>
      <c r="S739" s="213"/>
      <c r="T739" s="213"/>
      <c r="U739" s="213"/>
      <c r="V739" s="213"/>
      <c r="W739" s="213"/>
      <c r="X739" s="213"/>
      <c r="Y739" s="213"/>
      <c r="Z739" s="213"/>
    </row>
    <row r="740" spans="1:26" ht="14.25">
      <c r="A740" s="213"/>
      <c r="B740" s="213"/>
      <c r="C740" s="213"/>
      <c r="D740" s="213"/>
      <c r="E740" s="213"/>
      <c r="F740" s="213"/>
      <c r="G740" s="213"/>
      <c r="H740" s="213"/>
      <c r="I740" s="213"/>
      <c r="J740" s="213"/>
      <c r="K740" s="213"/>
      <c r="L740" s="213"/>
      <c r="M740" s="213"/>
      <c r="N740" s="213"/>
      <c r="O740" s="213"/>
      <c r="P740" s="213"/>
      <c r="Q740" s="213"/>
      <c r="R740" s="213"/>
      <c r="S740" s="213"/>
      <c r="T740" s="213"/>
      <c r="U740" s="213"/>
      <c r="V740" s="213"/>
      <c r="W740" s="213"/>
      <c r="X740" s="213"/>
      <c r="Y740" s="213"/>
      <c r="Z740" s="213"/>
    </row>
    <row r="741" spans="1:26" ht="14.25">
      <c r="A741" s="213"/>
      <c r="B741" s="213"/>
      <c r="C741" s="213"/>
      <c r="D741" s="213"/>
      <c r="E741" s="213"/>
      <c r="F741" s="213"/>
      <c r="G741" s="213"/>
      <c r="H741" s="213"/>
      <c r="I741" s="213"/>
      <c r="J741" s="213"/>
      <c r="K741" s="213"/>
      <c r="L741" s="213"/>
      <c r="M741" s="213"/>
      <c r="N741" s="213"/>
      <c r="O741" s="213"/>
      <c r="P741" s="213"/>
      <c r="Q741" s="213"/>
      <c r="R741" s="213"/>
      <c r="S741" s="213"/>
      <c r="T741" s="213"/>
      <c r="U741" s="213"/>
      <c r="V741" s="213"/>
      <c r="W741" s="213"/>
      <c r="X741" s="213"/>
      <c r="Y741" s="213"/>
      <c r="Z741" s="213"/>
    </row>
    <row r="742" spans="1:26" ht="14.25">
      <c r="A742" s="213"/>
      <c r="B742" s="213"/>
      <c r="C742" s="213"/>
      <c r="D742" s="213"/>
      <c r="E742" s="213"/>
      <c r="F742" s="213"/>
      <c r="G742" s="213"/>
      <c r="H742" s="213"/>
      <c r="I742" s="213"/>
      <c r="J742" s="213"/>
      <c r="K742" s="213"/>
      <c r="L742" s="213"/>
      <c r="M742" s="213"/>
      <c r="N742" s="213"/>
      <c r="O742" s="213"/>
      <c r="P742" s="213"/>
      <c r="Q742" s="213"/>
      <c r="R742" s="213"/>
      <c r="S742" s="213"/>
      <c r="T742" s="213"/>
      <c r="U742" s="213"/>
      <c r="V742" s="213"/>
      <c r="W742" s="213"/>
      <c r="X742" s="213"/>
      <c r="Y742" s="213"/>
      <c r="Z742" s="213"/>
    </row>
    <row r="743" spans="1:26" ht="14.25">
      <c r="A743" s="213"/>
      <c r="B743" s="213"/>
      <c r="C743" s="213"/>
      <c r="D743" s="213"/>
      <c r="E743" s="213"/>
      <c r="F743" s="213"/>
      <c r="G743" s="213"/>
      <c r="H743" s="213"/>
      <c r="I743" s="213"/>
      <c r="J743" s="213"/>
      <c r="K743" s="213"/>
      <c r="L743" s="213"/>
      <c r="M743" s="213"/>
      <c r="N743" s="213"/>
      <c r="O743" s="213"/>
      <c r="P743" s="213"/>
      <c r="Q743" s="213"/>
      <c r="R743" s="213"/>
      <c r="S743" s="213"/>
      <c r="T743" s="213"/>
      <c r="U743" s="213"/>
      <c r="V743" s="213"/>
      <c r="W743" s="213"/>
      <c r="X743" s="213"/>
      <c r="Y743" s="213"/>
      <c r="Z743" s="213"/>
    </row>
    <row r="744" spans="1:26" ht="14.25">
      <c r="A744" s="213"/>
      <c r="B744" s="213"/>
      <c r="C744" s="213"/>
      <c r="D744" s="213"/>
      <c r="E744" s="213"/>
      <c r="F744" s="213"/>
      <c r="G744" s="213"/>
      <c r="H744" s="213"/>
      <c r="I744" s="213"/>
      <c r="J744" s="213"/>
      <c r="K744" s="213"/>
      <c r="L744" s="213"/>
      <c r="M744" s="213"/>
      <c r="N744" s="213"/>
      <c r="O744" s="213"/>
      <c r="P744" s="213"/>
      <c r="Q744" s="213"/>
      <c r="R744" s="213"/>
      <c r="S744" s="213"/>
      <c r="T744" s="213"/>
      <c r="U744" s="213"/>
      <c r="V744" s="213"/>
      <c r="W744" s="213"/>
      <c r="X744" s="213"/>
      <c r="Y744" s="213"/>
      <c r="Z744" s="213"/>
    </row>
    <row r="745" spans="1:26" ht="14.25">
      <c r="A745" s="213"/>
      <c r="B745" s="213"/>
      <c r="C745" s="213"/>
      <c r="D745" s="213"/>
      <c r="E745" s="213"/>
      <c r="F745" s="213"/>
      <c r="G745" s="213"/>
      <c r="H745" s="213"/>
      <c r="I745" s="213"/>
      <c r="J745" s="213"/>
      <c r="K745" s="213"/>
      <c r="L745" s="213"/>
      <c r="M745" s="213"/>
      <c r="N745" s="213"/>
      <c r="O745" s="213"/>
      <c r="P745" s="213"/>
      <c r="Q745" s="213"/>
      <c r="R745" s="213"/>
      <c r="S745" s="213"/>
      <c r="T745" s="213"/>
      <c r="U745" s="213"/>
      <c r="V745" s="213"/>
      <c r="W745" s="213"/>
      <c r="X745" s="213"/>
      <c r="Y745" s="213"/>
      <c r="Z745" s="213"/>
    </row>
    <row r="746" spans="1:26" ht="14.25">
      <c r="A746" s="213"/>
      <c r="B746" s="213"/>
      <c r="C746" s="213"/>
      <c r="D746" s="213"/>
      <c r="E746" s="213"/>
      <c r="F746" s="213"/>
      <c r="G746" s="213"/>
      <c r="H746" s="213"/>
      <c r="I746" s="213"/>
      <c r="J746" s="213"/>
      <c r="K746" s="213"/>
      <c r="L746" s="213"/>
      <c r="M746" s="213"/>
      <c r="N746" s="213"/>
      <c r="O746" s="213"/>
      <c r="P746" s="213"/>
      <c r="Q746" s="213"/>
      <c r="R746" s="213"/>
      <c r="S746" s="213"/>
      <c r="T746" s="213"/>
      <c r="U746" s="213"/>
      <c r="V746" s="213"/>
      <c r="W746" s="213"/>
      <c r="X746" s="213"/>
      <c r="Y746" s="213"/>
      <c r="Z746" s="213"/>
    </row>
    <row r="747" spans="1:26" ht="14.25">
      <c r="A747" s="213"/>
      <c r="B747" s="213"/>
      <c r="C747" s="213"/>
      <c r="D747" s="213"/>
      <c r="E747" s="213"/>
      <c r="F747" s="213"/>
      <c r="G747" s="213"/>
      <c r="H747" s="213"/>
      <c r="I747" s="213"/>
      <c r="J747" s="213"/>
      <c r="K747" s="213"/>
      <c r="L747" s="213"/>
      <c r="M747" s="213"/>
      <c r="N747" s="213"/>
      <c r="O747" s="213"/>
      <c r="P747" s="213"/>
      <c r="Q747" s="213"/>
      <c r="R747" s="213"/>
      <c r="S747" s="213"/>
      <c r="T747" s="213"/>
      <c r="U747" s="213"/>
      <c r="V747" s="213"/>
      <c r="W747" s="213"/>
      <c r="X747" s="213"/>
      <c r="Y747" s="213"/>
      <c r="Z747" s="213"/>
    </row>
    <row r="748" spans="1:26" ht="14.25">
      <c r="A748" s="213"/>
      <c r="B748" s="213"/>
      <c r="C748" s="213"/>
      <c r="D748" s="213"/>
      <c r="E748" s="213"/>
      <c r="F748" s="213"/>
      <c r="G748" s="213"/>
      <c r="H748" s="213"/>
      <c r="I748" s="213"/>
      <c r="J748" s="213"/>
      <c r="K748" s="213"/>
      <c r="L748" s="213"/>
      <c r="M748" s="213"/>
      <c r="N748" s="213"/>
      <c r="O748" s="213"/>
      <c r="P748" s="213"/>
      <c r="Q748" s="213"/>
      <c r="R748" s="213"/>
      <c r="S748" s="213"/>
      <c r="T748" s="213"/>
      <c r="U748" s="213"/>
      <c r="V748" s="213"/>
      <c r="W748" s="213"/>
      <c r="X748" s="213"/>
      <c r="Y748" s="213"/>
      <c r="Z748" s="213"/>
    </row>
    <row r="749" spans="1:26" ht="14.25">
      <c r="A749" s="213"/>
      <c r="B749" s="213"/>
      <c r="C749" s="213"/>
      <c r="D749" s="213"/>
      <c r="E749" s="213"/>
      <c r="F749" s="213"/>
      <c r="G749" s="213"/>
      <c r="H749" s="213"/>
      <c r="I749" s="213"/>
      <c r="J749" s="213"/>
      <c r="K749" s="213"/>
      <c r="L749" s="213"/>
      <c r="M749" s="213"/>
      <c r="N749" s="213"/>
      <c r="O749" s="213"/>
      <c r="P749" s="213"/>
      <c r="Q749" s="213"/>
      <c r="R749" s="213"/>
      <c r="S749" s="213"/>
      <c r="T749" s="213"/>
      <c r="U749" s="213"/>
      <c r="V749" s="213"/>
      <c r="W749" s="213"/>
      <c r="X749" s="213"/>
      <c r="Y749" s="213"/>
      <c r="Z749" s="213"/>
    </row>
    <row r="750" spans="1:26" ht="14.25">
      <c r="A750" s="213"/>
      <c r="B750" s="213"/>
      <c r="C750" s="213"/>
      <c r="D750" s="213"/>
      <c r="E750" s="213"/>
      <c r="F750" s="213"/>
      <c r="G750" s="213"/>
      <c r="H750" s="213"/>
      <c r="I750" s="213"/>
      <c r="J750" s="213"/>
      <c r="K750" s="213"/>
      <c r="L750" s="213"/>
      <c r="M750" s="213"/>
      <c r="N750" s="213"/>
      <c r="O750" s="213"/>
      <c r="P750" s="213"/>
      <c r="Q750" s="213"/>
      <c r="R750" s="213"/>
      <c r="S750" s="213"/>
      <c r="T750" s="213"/>
      <c r="U750" s="213"/>
      <c r="V750" s="213"/>
      <c r="W750" s="213"/>
      <c r="X750" s="213"/>
      <c r="Y750" s="213"/>
      <c r="Z750" s="213"/>
    </row>
    <row r="751" spans="1:26" ht="14.25">
      <c r="A751" s="213"/>
      <c r="B751" s="213"/>
      <c r="C751" s="213"/>
      <c r="D751" s="213"/>
      <c r="E751" s="213"/>
      <c r="F751" s="213"/>
      <c r="G751" s="213"/>
      <c r="H751" s="213"/>
      <c r="I751" s="213"/>
      <c r="J751" s="213"/>
      <c r="K751" s="213"/>
      <c r="L751" s="213"/>
      <c r="M751" s="213"/>
      <c r="N751" s="213"/>
      <c r="O751" s="213"/>
      <c r="P751" s="213"/>
      <c r="Q751" s="213"/>
      <c r="R751" s="213"/>
      <c r="S751" s="213"/>
      <c r="T751" s="213"/>
      <c r="U751" s="213"/>
      <c r="V751" s="213"/>
      <c r="W751" s="213"/>
      <c r="X751" s="213"/>
      <c r="Y751" s="213"/>
      <c r="Z751" s="213"/>
    </row>
    <row r="752" spans="1:26" ht="14.25">
      <c r="A752" s="213"/>
      <c r="B752" s="213"/>
      <c r="C752" s="213"/>
      <c r="D752" s="213"/>
      <c r="E752" s="213"/>
      <c r="F752" s="213"/>
      <c r="G752" s="213"/>
      <c r="H752" s="213"/>
      <c r="I752" s="213"/>
      <c r="J752" s="213"/>
      <c r="K752" s="213"/>
      <c r="L752" s="213"/>
      <c r="M752" s="213"/>
      <c r="N752" s="213"/>
      <c r="O752" s="213"/>
      <c r="P752" s="213"/>
      <c r="Q752" s="213"/>
      <c r="R752" s="213"/>
      <c r="S752" s="213"/>
      <c r="T752" s="213"/>
      <c r="U752" s="213"/>
      <c r="V752" s="213"/>
      <c r="W752" s="213"/>
      <c r="X752" s="213"/>
      <c r="Y752" s="213"/>
      <c r="Z752" s="213"/>
    </row>
    <row r="753" spans="1:26" ht="14.25">
      <c r="A753" s="213"/>
      <c r="B753" s="213"/>
      <c r="C753" s="213"/>
      <c r="D753" s="213"/>
      <c r="E753" s="213"/>
      <c r="F753" s="213"/>
      <c r="G753" s="213"/>
      <c r="H753" s="213"/>
      <c r="I753" s="213"/>
      <c r="J753" s="213"/>
      <c r="K753" s="213"/>
      <c r="L753" s="213"/>
      <c r="M753" s="213"/>
      <c r="N753" s="213"/>
      <c r="O753" s="213"/>
      <c r="P753" s="213"/>
      <c r="Q753" s="213"/>
      <c r="R753" s="213"/>
      <c r="S753" s="213"/>
      <c r="T753" s="213"/>
      <c r="U753" s="213"/>
      <c r="V753" s="213"/>
      <c r="W753" s="213"/>
      <c r="X753" s="213"/>
      <c r="Y753" s="213"/>
      <c r="Z753" s="213"/>
    </row>
    <row r="754" spans="1:26" ht="14.25">
      <c r="A754" s="213"/>
      <c r="B754" s="213"/>
      <c r="C754" s="213"/>
      <c r="D754" s="213"/>
      <c r="E754" s="213"/>
      <c r="F754" s="213"/>
      <c r="G754" s="213"/>
      <c r="H754" s="213"/>
      <c r="I754" s="213"/>
      <c r="J754" s="213"/>
      <c r="K754" s="213"/>
      <c r="L754" s="213"/>
      <c r="M754" s="213"/>
      <c r="N754" s="213"/>
      <c r="O754" s="213"/>
      <c r="P754" s="213"/>
      <c r="Q754" s="213"/>
      <c r="R754" s="213"/>
      <c r="S754" s="213"/>
      <c r="T754" s="213"/>
      <c r="U754" s="213"/>
      <c r="V754" s="213"/>
      <c r="W754" s="213"/>
      <c r="X754" s="213"/>
      <c r="Y754" s="213"/>
      <c r="Z754" s="213"/>
    </row>
    <row r="755" spans="1:26" ht="14.25">
      <c r="A755" s="213"/>
      <c r="B755" s="213"/>
      <c r="C755" s="213"/>
      <c r="D755" s="213"/>
      <c r="E755" s="213"/>
      <c r="F755" s="213"/>
      <c r="G755" s="213"/>
      <c r="H755" s="213"/>
      <c r="I755" s="213"/>
      <c r="J755" s="213"/>
      <c r="K755" s="213"/>
      <c r="L755" s="213"/>
      <c r="M755" s="213"/>
      <c r="N755" s="213"/>
      <c r="O755" s="213"/>
      <c r="P755" s="213"/>
      <c r="Q755" s="213"/>
      <c r="R755" s="213"/>
      <c r="S755" s="213"/>
      <c r="T755" s="213"/>
      <c r="U755" s="213"/>
      <c r="V755" s="213"/>
      <c r="W755" s="213"/>
      <c r="X755" s="213"/>
      <c r="Y755" s="213"/>
      <c r="Z755" s="213"/>
    </row>
    <row r="756" spans="1:26" ht="14.25">
      <c r="A756" s="213"/>
      <c r="B756" s="213"/>
      <c r="C756" s="213"/>
      <c r="D756" s="213"/>
      <c r="E756" s="213"/>
      <c r="F756" s="213"/>
      <c r="G756" s="213"/>
      <c r="H756" s="213"/>
      <c r="I756" s="213"/>
      <c r="J756" s="213"/>
      <c r="K756" s="213"/>
      <c r="L756" s="213"/>
      <c r="M756" s="213"/>
      <c r="N756" s="213"/>
      <c r="O756" s="213"/>
      <c r="P756" s="213"/>
      <c r="Q756" s="213"/>
      <c r="R756" s="213"/>
      <c r="S756" s="213"/>
      <c r="T756" s="213"/>
      <c r="U756" s="213"/>
      <c r="V756" s="213"/>
      <c r="W756" s="213"/>
      <c r="X756" s="213"/>
      <c r="Y756" s="213"/>
      <c r="Z756" s="213"/>
    </row>
    <row r="757" spans="1:26" ht="14.25">
      <c r="A757" s="213"/>
      <c r="B757" s="213"/>
      <c r="C757" s="213"/>
      <c r="D757" s="213"/>
      <c r="E757" s="213"/>
      <c r="F757" s="213"/>
      <c r="G757" s="213"/>
      <c r="H757" s="213"/>
      <c r="I757" s="213"/>
      <c r="J757" s="213"/>
      <c r="K757" s="213"/>
      <c r="L757" s="213"/>
      <c r="M757" s="213"/>
      <c r="N757" s="213"/>
      <c r="O757" s="213"/>
      <c r="P757" s="213"/>
      <c r="Q757" s="213"/>
      <c r="R757" s="213"/>
      <c r="S757" s="213"/>
      <c r="T757" s="213"/>
      <c r="U757" s="213"/>
      <c r="V757" s="213"/>
      <c r="W757" s="213"/>
      <c r="X757" s="213"/>
      <c r="Y757" s="213"/>
      <c r="Z757" s="213"/>
    </row>
    <row r="758" spans="1:26" ht="14.25">
      <c r="A758" s="213"/>
      <c r="B758" s="213"/>
      <c r="C758" s="213"/>
      <c r="D758" s="213"/>
      <c r="E758" s="213"/>
      <c r="F758" s="213"/>
      <c r="G758" s="213"/>
      <c r="H758" s="213"/>
      <c r="I758" s="213"/>
      <c r="J758" s="213"/>
      <c r="K758" s="213"/>
      <c r="L758" s="213"/>
      <c r="M758" s="213"/>
      <c r="N758" s="213"/>
      <c r="O758" s="213"/>
      <c r="P758" s="213"/>
      <c r="Q758" s="213"/>
      <c r="R758" s="213"/>
      <c r="S758" s="213"/>
      <c r="T758" s="213"/>
      <c r="U758" s="213"/>
      <c r="V758" s="213"/>
      <c r="W758" s="213"/>
      <c r="X758" s="213"/>
      <c r="Y758" s="213"/>
      <c r="Z758" s="213"/>
    </row>
    <row r="759" spans="1:26" ht="14.25">
      <c r="A759" s="213"/>
      <c r="B759" s="213"/>
      <c r="C759" s="213"/>
      <c r="D759" s="213"/>
      <c r="E759" s="213"/>
      <c r="F759" s="213"/>
      <c r="G759" s="213"/>
      <c r="H759" s="213"/>
      <c r="I759" s="213"/>
      <c r="J759" s="213"/>
      <c r="K759" s="213"/>
      <c r="L759" s="213"/>
      <c r="M759" s="213"/>
      <c r="N759" s="213"/>
      <c r="O759" s="213"/>
      <c r="P759" s="213"/>
      <c r="Q759" s="213"/>
      <c r="R759" s="213"/>
      <c r="S759" s="213"/>
      <c r="T759" s="213"/>
      <c r="U759" s="213"/>
      <c r="V759" s="213"/>
      <c r="W759" s="213"/>
      <c r="X759" s="213"/>
      <c r="Y759" s="213"/>
      <c r="Z759" s="213"/>
    </row>
    <row r="760" spans="1:26" ht="14.25">
      <c r="A760" s="213"/>
      <c r="B760" s="213"/>
      <c r="C760" s="213"/>
      <c r="D760" s="213"/>
      <c r="E760" s="213"/>
      <c r="F760" s="213"/>
      <c r="G760" s="213"/>
      <c r="H760" s="213"/>
      <c r="I760" s="213"/>
      <c r="J760" s="213"/>
      <c r="K760" s="213"/>
      <c r="L760" s="213"/>
      <c r="M760" s="213"/>
      <c r="N760" s="213"/>
      <c r="O760" s="213"/>
      <c r="P760" s="213"/>
      <c r="Q760" s="213"/>
      <c r="R760" s="213"/>
      <c r="S760" s="213"/>
      <c r="T760" s="213"/>
      <c r="U760" s="213"/>
      <c r="V760" s="213"/>
      <c r="W760" s="213"/>
      <c r="X760" s="213"/>
      <c r="Y760" s="213"/>
      <c r="Z760" s="213"/>
    </row>
    <row r="761" spans="1:26" ht="14.25">
      <c r="A761" s="213"/>
      <c r="B761" s="213"/>
      <c r="C761" s="213"/>
      <c r="D761" s="213"/>
      <c r="E761" s="213"/>
      <c r="F761" s="213"/>
      <c r="G761" s="213"/>
      <c r="H761" s="213"/>
      <c r="I761" s="213"/>
      <c r="J761" s="213"/>
      <c r="K761" s="213"/>
      <c r="L761" s="213"/>
      <c r="M761" s="213"/>
      <c r="N761" s="213"/>
      <c r="O761" s="213"/>
      <c r="P761" s="213"/>
      <c r="Q761" s="213"/>
      <c r="R761" s="213"/>
      <c r="S761" s="213"/>
      <c r="T761" s="213"/>
      <c r="U761" s="213"/>
      <c r="V761" s="213"/>
      <c r="W761" s="213"/>
      <c r="X761" s="213"/>
      <c r="Y761" s="213"/>
      <c r="Z761" s="213"/>
    </row>
    <row r="762" spans="1:26" ht="14.25">
      <c r="A762" s="213"/>
      <c r="B762" s="213"/>
      <c r="C762" s="213"/>
      <c r="D762" s="213"/>
      <c r="E762" s="213"/>
      <c r="F762" s="213"/>
      <c r="G762" s="213"/>
      <c r="H762" s="213"/>
      <c r="I762" s="213"/>
      <c r="J762" s="213"/>
      <c r="K762" s="213"/>
      <c r="L762" s="213"/>
      <c r="M762" s="213"/>
      <c r="N762" s="213"/>
      <c r="O762" s="213"/>
      <c r="P762" s="213"/>
      <c r="Q762" s="213"/>
      <c r="R762" s="213"/>
      <c r="S762" s="213"/>
      <c r="T762" s="213"/>
      <c r="U762" s="213"/>
      <c r="V762" s="213"/>
      <c r="W762" s="213"/>
      <c r="X762" s="213"/>
      <c r="Y762" s="213"/>
      <c r="Z762" s="213"/>
    </row>
    <row r="763" spans="1:26" ht="14.25">
      <c r="A763" s="213"/>
      <c r="B763" s="213"/>
      <c r="C763" s="213"/>
      <c r="D763" s="213"/>
      <c r="E763" s="213"/>
      <c r="F763" s="213"/>
      <c r="G763" s="213"/>
      <c r="H763" s="213"/>
      <c r="I763" s="213"/>
      <c r="J763" s="213"/>
      <c r="K763" s="213"/>
      <c r="L763" s="213"/>
      <c r="M763" s="213"/>
      <c r="N763" s="213"/>
      <c r="O763" s="213"/>
      <c r="P763" s="213"/>
      <c r="Q763" s="213"/>
      <c r="R763" s="213"/>
      <c r="S763" s="213"/>
      <c r="T763" s="213"/>
      <c r="U763" s="213"/>
      <c r="V763" s="213"/>
      <c r="W763" s="213"/>
      <c r="X763" s="213"/>
      <c r="Y763" s="213"/>
      <c r="Z763" s="213"/>
    </row>
    <row r="764" spans="1:26" ht="14.25">
      <c r="A764" s="213"/>
      <c r="B764" s="213"/>
      <c r="C764" s="213"/>
      <c r="D764" s="213"/>
      <c r="E764" s="213"/>
      <c r="F764" s="213"/>
      <c r="G764" s="213"/>
      <c r="H764" s="213"/>
      <c r="I764" s="213"/>
      <c r="J764" s="213"/>
      <c r="K764" s="213"/>
      <c r="L764" s="213"/>
      <c r="M764" s="213"/>
      <c r="N764" s="213"/>
      <c r="O764" s="213"/>
      <c r="P764" s="213"/>
      <c r="Q764" s="213"/>
      <c r="R764" s="213"/>
      <c r="S764" s="213"/>
      <c r="T764" s="213"/>
      <c r="U764" s="213"/>
      <c r="V764" s="213"/>
      <c r="W764" s="213"/>
      <c r="X764" s="213"/>
      <c r="Y764" s="213"/>
      <c r="Z764" s="213"/>
    </row>
    <row r="765" spans="1:26" ht="14.25">
      <c r="A765" s="213"/>
      <c r="B765" s="213"/>
      <c r="C765" s="213"/>
      <c r="D765" s="213"/>
      <c r="E765" s="213"/>
      <c r="F765" s="213"/>
      <c r="G765" s="213"/>
      <c r="H765" s="213"/>
      <c r="I765" s="213"/>
      <c r="J765" s="213"/>
      <c r="K765" s="213"/>
      <c r="L765" s="213"/>
      <c r="M765" s="213"/>
      <c r="N765" s="213"/>
      <c r="O765" s="213"/>
      <c r="P765" s="213"/>
      <c r="Q765" s="213"/>
      <c r="R765" s="213"/>
      <c r="S765" s="213"/>
      <c r="T765" s="213"/>
      <c r="U765" s="213"/>
      <c r="V765" s="213"/>
      <c r="W765" s="213"/>
      <c r="X765" s="213"/>
      <c r="Y765" s="213"/>
      <c r="Z765" s="213"/>
    </row>
    <row r="766" spans="1:26" ht="14.25">
      <c r="A766" s="213"/>
      <c r="B766" s="213"/>
      <c r="C766" s="213"/>
      <c r="D766" s="213"/>
      <c r="E766" s="213"/>
      <c r="F766" s="213"/>
      <c r="G766" s="213"/>
      <c r="H766" s="213"/>
      <c r="I766" s="213"/>
      <c r="J766" s="213"/>
      <c r="K766" s="213"/>
      <c r="L766" s="213"/>
      <c r="M766" s="213"/>
      <c r="N766" s="213"/>
      <c r="O766" s="213"/>
      <c r="P766" s="213"/>
      <c r="Q766" s="213"/>
      <c r="R766" s="213"/>
      <c r="S766" s="213"/>
      <c r="T766" s="213"/>
      <c r="U766" s="213"/>
      <c r="V766" s="213"/>
      <c r="W766" s="213"/>
      <c r="X766" s="213"/>
      <c r="Y766" s="213"/>
      <c r="Z766" s="213"/>
    </row>
    <row r="767" spans="1:26" ht="14.25">
      <c r="A767" s="213"/>
      <c r="B767" s="213"/>
      <c r="C767" s="213"/>
      <c r="D767" s="213"/>
      <c r="E767" s="213"/>
      <c r="F767" s="213"/>
      <c r="G767" s="213"/>
      <c r="H767" s="213"/>
      <c r="I767" s="213"/>
      <c r="J767" s="213"/>
      <c r="K767" s="213"/>
      <c r="L767" s="213"/>
      <c r="M767" s="213"/>
      <c r="N767" s="213"/>
      <c r="O767" s="213"/>
      <c r="P767" s="213"/>
      <c r="Q767" s="213"/>
      <c r="R767" s="213"/>
      <c r="S767" s="213"/>
      <c r="T767" s="213"/>
      <c r="U767" s="213"/>
      <c r="V767" s="213"/>
      <c r="W767" s="213"/>
      <c r="X767" s="213"/>
      <c r="Y767" s="213"/>
      <c r="Z767" s="213"/>
    </row>
    <row r="768" spans="1:26" ht="14.25">
      <c r="A768" s="213"/>
      <c r="B768" s="213"/>
      <c r="C768" s="213"/>
      <c r="D768" s="213"/>
      <c r="E768" s="213"/>
      <c r="F768" s="213"/>
      <c r="G768" s="213"/>
      <c r="H768" s="213"/>
      <c r="I768" s="213"/>
      <c r="J768" s="213"/>
      <c r="K768" s="213"/>
      <c r="L768" s="213"/>
      <c r="M768" s="213"/>
      <c r="N768" s="213"/>
      <c r="O768" s="213"/>
      <c r="P768" s="213"/>
      <c r="Q768" s="213"/>
      <c r="R768" s="213"/>
      <c r="S768" s="213"/>
      <c r="T768" s="213"/>
      <c r="U768" s="213"/>
      <c r="V768" s="213"/>
      <c r="W768" s="213"/>
      <c r="X768" s="213"/>
      <c r="Y768" s="213"/>
      <c r="Z768" s="213"/>
    </row>
    <row r="769" spans="1:26" ht="14.25">
      <c r="A769" s="213"/>
      <c r="B769" s="213"/>
      <c r="C769" s="213"/>
      <c r="D769" s="213"/>
      <c r="E769" s="213"/>
      <c r="F769" s="213"/>
      <c r="G769" s="213"/>
      <c r="H769" s="213"/>
      <c r="I769" s="213"/>
      <c r="J769" s="213"/>
      <c r="K769" s="213"/>
      <c r="L769" s="213"/>
      <c r="M769" s="213"/>
      <c r="N769" s="213"/>
      <c r="O769" s="213"/>
      <c r="P769" s="213"/>
      <c r="Q769" s="213"/>
      <c r="R769" s="213"/>
      <c r="S769" s="213"/>
      <c r="T769" s="213"/>
      <c r="U769" s="213"/>
      <c r="V769" s="213"/>
      <c r="W769" s="213"/>
      <c r="X769" s="213"/>
      <c r="Y769" s="213"/>
      <c r="Z769" s="213"/>
    </row>
    <row r="770" spans="1:26" ht="14.25">
      <c r="A770" s="213"/>
      <c r="B770" s="213"/>
      <c r="C770" s="213"/>
      <c r="D770" s="213"/>
      <c r="E770" s="213"/>
      <c r="F770" s="213"/>
      <c r="G770" s="213"/>
      <c r="H770" s="213"/>
      <c r="I770" s="213"/>
      <c r="J770" s="213"/>
      <c r="K770" s="213"/>
      <c r="L770" s="213"/>
      <c r="M770" s="213"/>
      <c r="N770" s="213"/>
      <c r="O770" s="213"/>
      <c r="P770" s="213"/>
      <c r="Q770" s="213"/>
      <c r="R770" s="213"/>
      <c r="S770" s="213"/>
      <c r="T770" s="213"/>
      <c r="U770" s="213"/>
      <c r="V770" s="213"/>
      <c r="W770" s="213"/>
      <c r="X770" s="213"/>
      <c r="Y770" s="213"/>
      <c r="Z770" s="213"/>
    </row>
    <row r="771" spans="1:26" ht="14.25">
      <c r="A771" s="213"/>
      <c r="B771" s="213"/>
      <c r="C771" s="213"/>
      <c r="D771" s="213"/>
      <c r="E771" s="213"/>
      <c r="F771" s="213"/>
      <c r="G771" s="213"/>
      <c r="H771" s="213"/>
      <c r="I771" s="213"/>
      <c r="J771" s="213"/>
      <c r="K771" s="213"/>
      <c r="L771" s="213"/>
      <c r="M771" s="213"/>
      <c r="N771" s="213"/>
      <c r="O771" s="213"/>
      <c r="P771" s="213"/>
      <c r="Q771" s="213"/>
      <c r="R771" s="213"/>
      <c r="S771" s="213"/>
      <c r="T771" s="213"/>
      <c r="U771" s="213"/>
      <c r="V771" s="213"/>
      <c r="W771" s="213"/>
      <c r="X771" s="213"/>
      <c r="Y771" s="213"/>
      <c r="Z771" s="213"/>
    </row>
    <row r="772" spans="1:26" ht="14.25">
      <c r="A772" s="213"/>
      <c r="B772" s="213"/>
      <c r="C772" s="213"/>
      <c r="D772" s="213"/>
      <c r="E772" s="213"/>
      <c r="F772" s="213"/>
      <c r="G772" s="213"/>
      <c r="H772" s="213"/>
      <c r="I772" s="213"/>
      <c r="J772" s="213"/>
      <c r="K772" s="213"/>
      <c r="L772" s="213"/>
      <c r="M772" s="213"/>
      <c r="N772" s="213"/>
      <c r="O772" s="213"/>
      <c r="P772" s="213"/>
      <c r="Q772" s="213"/>
      <c r="R772" s="213"/>
      <c r="S772" s="213"/>
      <c r="T772" s="213"/>
      <c r="U772" s="213"/>
      <c r="V772" s="213"/>
      <c r="W772" s="213"/>
      <c r="X772" s="213"/>
      <c r="Y772" s="213"/>
      <c r="Z772" s="213"/>
    </row>
    <row r="773" spans="1:26" ht="14.25">
      <c r="A773" s="213"/>
      <c r="B773" s="213"/>
      <c r="C773" s="213"/>
      <c r="D773" s="213"/>
      <c r="E773" s="213"/>
      <c r="F773" s="213"/>
      <c r="G773" s="213"/>
      <c r="H773" s="213"/>
      <c r="I773" s="213"/>
      <c r="J773" s="213"/>
      <c r="K773" s="213"/>
      <c r="L773" s="213"/>
      <c r="M773" s="213"/>
      <c r="N773" s="213"/>
      <c r="O773" s="213"/>
      <c r="P773" s="213"/>
      <c r="Q773" s="213"/>
      <c r="R773" s="213"/>
      <c r="S773" s="213"/>
      <c r="T773" s="213"/>
      <c r="U773" s="213"/>
      <c r="V773" s="213"/>
      <c r="W773" s="213"/>
      <c r="X773" s="213"/>
      <c r="Y773" s="213"/>
      <c r="Z773" s="213"/>
    </row>
    <row r="774" spans="1:26" ht="14.25">
      <c r="A774" s="213"/>
      <c r="B774" s="213"/>
      <c r="C774" s="213"/>
      <c r="D774" s="213"/>
      <c r="E774" s="213"/>
      <c r="F774" s="213"/>
      <c r="G774" s="213"/>
      <c r="H774" s="213"/>
      <c r="I774" s="213"/>
      <c r="J774" s="213"/>
      <c r="K774" s="213"/>
      <c r="L774" s="213"/>
      <c r="M774" s="213"/>
      <c r="N774" s="213"/>
      <c r="O774" s="213"/>
      <c r="P774" s="213"/>
      <c r="Q774" s="213"/>
      <c r="R774" s="213"/>
      <c r="S774" s="213"/>
      <c r="T774" s="213"/>
      <c r="U774" s="213"/>
      <c r="V774" s="213"/>
      <c r="W774" s="213"/>
      <c r="X774" s="213"/>
      <c r="Y774" s="213"/>
      <c r="Z774" s="213"/>
    </row>
    <row r="775" spans="1:26" ht="14.25">
      <c r="A775" s="213"/>
      <c r="B775" s="213"/>
      <c r="C775" s="213"/>
      <c r="D775" s="213"/>
      <c r="E775" s="213"/>
      <c r="F775" s="213"/>
      <c r="G775" s="213"/>
      <c r="H775" s="213"/>
      <c r="I775" s="213"/>
      <c r="J775" s="213"/>
      <c r="K775" s="213"/>
      <c r="L775" s="213"/>
      <c r="M775" s="213"/>
      <c r="N775" s="213"/>
      <c r="O775" s="213"/>
      <c r="P775" s="213"/>
      <c r="Q775" s="213"/>
      <c r="R775" s="213"/>
      <c r="S775" s="213"/>
      <c r="T775" s="213"/>
      <c r="U775" s="213"/>
      <c r="V775" s="213"/>
      <c r="W775" s="213"/>
      <c r="X775" s="213"/>
      <c r="Y775" s="213"/>
      <c r="Z775" s="213"/>
    </row>
    <row r="776" spans="1:26" ht="14.25">
      <c r="A776" s="213"/>
      <c r="B776" s="213"/>
      <c r="C776" s="213"/>
      <c r="D776" s="213"/>
      <c r="E776" s="213"/>
      <c r="F776" s="213"/>
      <c r="G776" s="213"/>
      <c r="H776" s="213"/>
      <c r="I776" s="213"/>
      <c r="J776" s="213"/>
      <c r="K776" s="213"/>
      <c r="L776" s="213"/>
      <c r="M776" s="213"/>
      <c r="N776" s="213"/>
      <c r="O776" s="213"/>
      <c r="P776" s="213"/>
      <c r="Q776" s="213"/>
      <c r="R776" s="213"/>
      <c r="S776" s="213"/>
      <c r="T776" s="213"/>
      <c r="U776" s="213"/>
      <c r="V776" s="213"/>
      <c r="W776" s="213"/>
      <c r="X776" s="213"/>
      <c r="Y776" s="213"/>
      <c r="Z776" s="213"/>
    </row>
    <row r="777" spans="1:26" ht="14.25">
      <c r="A777" s="213"/>
      <c r="B777" s="213"/>
      <c r="C777" s="213"/>
      <c r="D777" s="213"/>
      <c r="E777" s="213"/>
      <c r="F777" s="213"/>
      <c r="G777" s="213"/>
      <c r="H777" s="213"/>
      <c r="I777" s="213"/>
      <c r="J777" s="213"/>
      <c r="K777" s="213"/>
      <c r="L777" s="213"/>
      <c r="M777" s="213"/>
      <c r="N777" s="213"/>
      <c r="O777" s="213"/>
      <c r="P777" s="213"/>
      <c r="Q777" s="213"/>
      <c r="R777" s="213"/>
      <c r="S777" s="213"/>
      <c r="T777" s="213"/>
      <c r="U777" s="213"/>
      <c r="V777" s="213"/>
      <c r="W777" s="213"/>
      <c r="X777" s="213"/>
      <c r="Y777" s="213"/>
      <c r="Z777" s="213"/>
    </row>
    <row r="778" spans="1:26" ht="14.25">
      <c r="A778" s="213"/>
      <c r="B778" s="213"/>
      <c r="C778" s="213"/>
      <c r="D778" s="213"/>
      <c r="E778" s="213"/>
      <c r="F778" s="213"/>
      <c r="G778" s="213"/>
      <c r="H778" s="213"/>
      <c r="I778" s="213"/>
      <c r="J778" s="213"/>
      <c r="K778" s="213"/>
      <c r="L778" s="213"/>
      <c r="M778" s="213"/>
      <c r="N778" s="213"/>
      <c r="O778" s="213"/>
      <c r="P778" s="213"/>
      <c r="Q778" s="213"/>
      <c r="R778" s="213"/>
      <c r="S778" s="213"/>
      <c r="T778" s="213"/>
      <c r="U778" s="213"/>
      <c r="V778" s="213"/>
      <c r="W778" s="213"/>
      <c r="X778" s="213"/>
      <c r="Y778" s="213"/>
      <c r="Z778" s="213"/>
    </row>
    <row r="779" spans="1:26" ht="14.25">
      <c r="A779" s="213"/>
      <c r="B779" s="213"/>
      <c r="C779" s="213"/>
      <c r="D779" s="213"/>
      <c r="E779" s="213"/>
      <c r="F779" s="213"/>
      <c r="G779" s="213"/>
      <c r="H779" s="213"/>
      <c r="I779" s="213"/>
      <c r="J779" s="213"/>
      <c r="K779" s="213"/>
      <c r="L779" s="213"/>
      <c r="M779" s="213"/>
      <c r="N779" s="213"/>
      <c r="O779" s="213"/>
      <c r="P779" s="213"/>
      <c r="Q779" s="213"/>
      <c r="R779" s="213"/>
      <c r="S779" s="213"/>
      <c r="T779" s="213"/>
      <c r="U779" s="213"/>
      <c r="V779" s="213"/>
      <c r="W779" s="213"/>
      <c r="X779" s="213"/>
      <c r="Y779" s="213"/>
      <c r="Z779" s="213"/>
    </row>
    <row r="780" spans="1:26" ht="14.25">
      <c r="A780" s="213"/>
      <c r="B780" s="213"/>
      <c r="C780" s="213"/>
      <c r="D780" s="213"/>
      <c r="E780" s="213"/>
      <c r="F780" s="213"/>
      <c r="G780" s="213"/>
      <c r="H780" s="213"/>
      <c r="I780" s="213"/>
      <c r="J780" s="213"/>
      <c r="K780" s="213"/>
      <c r="L780" s="213"/>
      <c r="M780" s="213"/>
      <c r="N780" s="213"/>
      <c r="O780" s="213"/>
      <c r="P780" s="213"/>
      <c r="Q780" s="213"/>
      <c r="R780" s="213"/>
      <c r="S780" s="213"/>
      <c r="T780" s="213"/>
      <c r="U780" s="213"/>
      <c r="V780" s="213"/>
      <c r="W780" s="213"/>
      <c r="X780" s="213"/>
      <c r="Y780" s="213"/>
      <c r="Z780" s="213"/>
    </row>
    <row r="781" spans="1:26" ht="14.25">
      <c r="A781" s="213"/>
      <c r="B781" s="213"/>
      <c r="C781" s="213"/>
      <c r="D781" s="213"/>
      <c r="E781" s="213"/>
      <c r="F781" s="213"/>
      <c r="G781" s="213"/>
      <c r="H781" s="213"/>
      <c r="I781" s="213"/>
      <c r="J781" s="213"/>
      <c r="K781" s="213"/>
      <c r="L781" s="213"/>
      <c r="M781" s="213"/>
      <c r="N781" s="213"/>
      <c r="O781" s="213"/>
      <c r="P781" s="213"/>
      <c r="Q781" s="213"/>
      <c r="R781" s="213"/>
      <c r="S781" s="213"/>
      <c r="T781" s="213"/>
      <c r="U781" s="213"/>
      <c r="V781" s="213"/>
      <c r="W781" s="213"/>
      <c r="X781" s="213"/>
      <c r="Y781" s="213"/>
      <c r="Z781" s="213"/>
    </row>
    <row r="782" spans="1:26" ht="14.25">
      <c r="A782" s="213"/>
      <c r="B782" s="213"/>
      <c r="C782" s="213"/>
      <c r="D782" s="213"/>
      <c r="E782" s="213"/>
      <c r="F782" s="213"/>
      <c r="G782" s="213"/>
      <c r="H782" s="213"/>
      <c r="I782" s="213"/>
      <c r="J782" s="213"/>
      <c r="K782" s="213"/>
      <c r="L782" s="213"/>
      <c r="M782" s="213"/>
      <c r="N782" s="213"/>
      <c r="O782" s="213"/>
      <c r="P782" s="213"/>
      <c r="Q782" s="213"/>
      <c r="R782" s="213"/>
      <c r="S782" s="213"/>
      <c r="T782" s="213"/>
      <c r="U782" s="213"/>
      <c r="V782" s="213"/>
      <c r="W782" s="213"/>
      <c r="X782" s="213"/>
      <c r="Y782" s="213"/>
      <c r="Z782" s="213"/>
    </row>
    <row r="783" spans="1:26" ht="14.25">
      <c r="A783" s="213"/>
      <c r="B783" s="213"/>
      <c r="C783" s="213"/>
      <c r="D783" s="213"/>
      <c r="E783" s="213"/>
      <c r="F783" s="213"/>
      <c r="G783" s="213"/>
      <c r="H783" s="213"/>
      <c r="I783" s="213"/>
      <c r="J783" s="213"/>
      <c r="K783" s="213"/>
      <c r="L783" s="213"/>
      <c r="M783" s="213"/>
      <c r="N783" s="213"/>
      <c r="O783" s="213"/>
      <c r="P783" s="213"/>
      <c r="Q783" s="213"/>
      <c r="R783" s="213"/>
      <c r="S783" s="213"/>
      <c r="T783" s="213"/>
      <c r="U783" s="213"/>
      <c r="V783" s="213"/>
      <c r="W783" s="213"/>
      <c r="X783" s="213"/>
      <c r="Y783" s="213"/>
      <c r="Z783" s="213"/>
    </row>
    <row r="784" spans="1:26" ht="14.25">
      <c r="A784" s="213"/>
      <c r="B784" s="213"/>
      <c r="C784" s="213"/>
      <c r="D784" s="213"/>
      <c r="E784" s="213"/>
      <c r="F784" s="213"/>
      <c r="G784" s="213"/>
      <c r="H784" s="213"/>
      <c r="I784" s="213"/>
      <c r="J784" s="213"/>
      <c r="K784" s="213"/>
      <c r="L784" s="213"/>
      <c r="M784" s="213"/>
      <c r="N784" s="213"/>
      <c r="O784" s="213"/>
      <c r="P784" s="213"/>
      <c r="Q784" s="213"/>
      <c r="R784" s="213"/>
      <c r="S784" s="213"/>
      <c r="T784" s="213"/>
      <c r="U784" s="213"/>
      <c r="V784" s="213"/>
      <c r="W784" s="213"/>
      <c r="X784" s="213"/>
      <c r="Y784" s="213"/>
      <c r="Z784" s="213"/>
    </row>
    <row r="785" spans="1:26" ht="14.25">
      <c r="A785" s="213"/>
      <c r="B785" s="213"/>
      <c r="C785" s="213"/>
      <c r="D785" s="213"/>
      <c r="E785" s="213"/>
      <c r="F785" s="213"/>
      <c r="G785" s="213"/>
      <c r="H785" s="213"/>
      <c r="I785" s="213"/>
      <c r="J785" s="213"/>
      <c r="K785" s="213"/>
      <c r="L785" s="213"/>
      <c r="M785" s="213"/>
      <c r="N785" s="213"/>
      <c r="O785" s="213"/>
      <c r="P785" s="213"/>
      <c r="Q785" s="213"/>
      <c r="R785" s="213"/>
      <c r="S785" s="213"/>
      <c r="T785" s="213"/>
      <c r="U785" s="213"/>
      <c r="V785" s="213"/>
      <c r="W785" s="213"/>
      <c r="X785" s="213"/>
      <c r="Y785" s="213"/>
      <c r="Z785" s="213"/>
    </row>
    <row r="786" spans="1:26" ht="14.25">
      <c r="A786" s="213"/>
      <c r="B786" s="213"/>
      <c r="C786" s="213"/>
      <c r="D786" s="213"/>
      <c r="E786" s="213"/>
      <c r="F786" s="213"/>
      <c r="G786" s="213"/>
      <c r="H786" s="213"/>
      <c r="I786" s="213"/>
      <c r="J786" s="213"/>
      <c r="K786" s="213"/>
      <c r="L786" s="213"/>
      <c r="M786" s="213"/>
      <c r="N786" s="213"/>
      <c r="O786" s="213"/>
      <c r="P786" s="213"/>
      <c r="Q786" s="213"/>
      <c r="R786" s="213"/>
      <c r="S786" s="213"/>
      <c r="T786" s="213"/>
      <c r="U786" s="213"/>
      <c r="V786" s="213"/>
      <c r="W786" s="213"/>
      <c r="X786" s="213"/>
      <c r="Y786" s="213"/>
      <c r="Z786" s="213"/>
    </row>
    <row r="787" spans="1:26" ht="14.25">
      <c r="A787" s="213"/>
      <c r="B787" s="213"/>
      <c r="C787" s="213"/>
      <c r="D787" s="213"/>
      <c r="E787" s="213"/>
      <c r="F787" s="213"/>
      <c r="G787" s="213"/>
      <c r="H787" s="213"/>
      <c r="I787" s="213"/>
      <c r="J787" s="213"/>
      <c r="K787" s="213"/>
      <c r="L787" s="213"/>
      <c r="M787" s="213"/>
      <c r="N787" s="213"/>
      <c r="O787" s="213"/>
      <c r="P787" s="213"/>
      <c r="Q787" s="213"/>
      <c r="R787" s="213"/>
      <c r="S787" s="213"/>
      <c r="T787" s="213"/>
      <c r="U787" s="213"/>
      <c r="V787" s="213"/>
      <c r="W787" s="213"/>
      <c r="X787" s="213"/>
      <c r="Y787" s="213"/>
      <c r="Z787" s="213"/>
    </row>
    <row r="788" spans="1:26" ht="14.25">
      <c r="A788" s="213"/>
      <c r="B788" s="213"/>
      <c r="C788" s="213"/>
      <c r="D788" s="213"/>
      <c r="E788" s="213"/>
      <c r="F788" s="213"/>
      <c r="G788" s="213"/>
      <c r="H788" s="213"/>
      <c r="I788" s="213"/>
      <c r="J788" s="213"/>
      <c r="K788" s="213"/>
      <c r="L788" s="213"/>
      <c r="M788" s="213"/>
      <c r="N788" s="213"/>
      <c r="O788" s="213"/>
      <c r="P788" s="213"/>
      <c r="Q788" s="213"/>
      <c r="R788" s="213"/>
      <c r="S788" s="213"/>
      <c r="T788" s="213"/>
      <c r="U788" s="213"/>
      <c r="V788" s="213"/>
      <c r="W788" s="213"/>
      <c r="X788" s="213"/>
      <c r="Y788" s="213"/>
      <c r="Z788" s="213"/>
    </row>
    <row r="789" spans="1:26" ht="14.25">
      <c r="A789" s="213"/>
      <c r="B789" s="213"/>
      <c r="C789" s="213"/>
      <c r="D789" s="213"/>
      <c r="E789" s="213"/>
      <c r="F789" s="213"/>
      <c r="G789" s="213"/>
      <c r="H789" s="213"/>
      <c r="I789" s="213"/>
      <c r="J789" s="213"/>
      <c r="K789" s="213"/>
      <c r="L789" s="213"/>
      <c r="M789" s="213"/>
      <c r="N789" s="213"/>
      <c r="O789" s="213"/>
      <c r="P789" s="213"/>
      <c r="Q789" s="213"/>
      <c r="R789" s="213"/>
      <c r="S789" s="213"/>
      <c r="T789" s="213"/>
      <c r="U789" s="213"/>
      <c r="V789" s="213"/>
      <c r="W789" s="213"/>
      <c r="X789" s="213"/>
      <c r="Y789" s="213"/>
      <c r="Z789" s="213"/>
    </row>
    <row r="790" spans="1:26" ht="14.25">
      <c r="A790" s="213"/>
      <c r="B790" s="213"/>
      <c r="C790" s="213"/>
      <c r="D790" s="213"/>
      <c r="E790" s="213"/>
      <c r="F790" s="213"/>
      <c r="G790" s="213"/>
      <c r="H790" s="213"/>
      <c r="I790" s="213"/>
      <c r="J790" s="213"/>
      <c r="K790" s="213"/>
      <c r="L790" s="213"/>
      <c r="M790" s="213"/>
      <c r="N790" s="213"/>
      <c r="O790" s="213"/>
      <c r="P790" s="213"/>
      <c r="Q790" s="213"/>
      <c r="R790" s="213"/>
      <c r="S790" s="213"/>
      <c r="T790" s="213"/>
      <c r="U790" s="213"/>
      <c r="V790" s="213"/>
      <c r="W790" s="213"/>
      <c r="X790" s="213"/>
      <c r="Y790" s="213"/>
      <c r="Z790" s="213"/>
    </row>
    <row r="791" spans="1:26" ht="14.25">
      <c r="A791" s="213"/>
      <c r="B791" s="213"/>
      <c r="C791" s="213"/>
      <c r="D791" s="213"/>
      <c r="E791" s="213"/>
      <c r="F791" s="213"/>
      <c r="G791" s="213"/>
      <c r="H791" s="213"/>
      <c r="I791" s="213"/>
      <c r="J791" s="213"/>
      <c r="K791" s="213"/>
      <c r="L791" s="213"/>
      <c r="M791" s="213"/>
      <c r="N791" s="213"/>
      <c r="O791" s="213"/>
      <c r="P791" s="213"/>
      <c r="Q791" s="213"/>
      <c r="R791" s="213"/>
      <c r="S791" s="213"/>
      <c r="T791" s="213"/>
      <c r="U791" s="213"/>
      <c r="V791" s="213"/>
      <c r="W791" s="213"/>
      <c r="X791" s="213"/>
      <c r="Y791" s="213"/>
      <c r="Z791" s="213"/>
    </row>
    <row r="792" spans="1:26" ht="14.25">
      <c r="A792" s="213"/>
      <c r="B792" s="213"/>
      <c r="C792" s="213"/>
      <c r="D792" s="213"/>
      <c r="E792" s="213"/>
      <c r="F792" s="213"/>
      <c r="G792" s="213"/>
      <c r="H792" s="213"/>
      <c r="I792" s="213"/>
      <c r="J792" s="213"/>
      <c r="K792" s="213"/>
      <c r="L792" s="213"/>
      <c r="M792" s="213"/>
      <c r="N792" s="213"/>
      <c r="O792" s="213"/>
      <c r="P792" s="213"/>
      <c r="Q792" s="213"/>
      <c r="R792" s="213"/>
      <c r="S792" s="213"/>
      <c r="T792" s="213"/>
      <c r="U792" s="213"/>
      <c r="V792" s="213"/>
      <c r="W792" s="213"/>
      <c r="X792" s="213"/>
      <c r="Y792" s="213"/>
      <c r="Z792" s="213"/>
    </row>
    <row r="793" spans="1:26" ht="14.25">
      <c r="A793" s="213"/>
      <c r="B793" s="213"/>
      <c r="C793" s="213"/>
      <c r="D793" s="213"/>
      <c r="E793" s="213"/>
      <c r="F793" s="213"/>
      <c r="G793" s="213"/>
      <c r="H793" s="213"/>
      <c r="I793" s="213"/>
      <c r="J793" s="213"/>
      <c r="K793" s="213"/>
      <c r="L793" s="213"/>
      <c r="M793" s="213"/>
      <c r="N793" s="213"/>
      <c r="O793" s="213"/>
      <c r="P793" s="213"/>
      <c r="Q793" s="213"/>
      <c r="R793" s="213"/>
      <c r="S793" s="213"/>
      <c r="T793" s="213"/>
      <c r="U793" s="213"/>
      <c r="V793" s="213"/>
      <c r="W793" s="213"/>
      <c r="X793" s="213"/>
      <c r="Y793" s="213"/>
      <c r="Z793" s="213"/>
    </row>
    <row r="794" spans="1:26" ht="14.25">
      <c r="A794" s="213"/>
      <c r="B794" s="213"/>
      <c r="C794" s="213"/>
      <c r="D794" s="213"/>
      <c r="E794" s="213"/>
      <c r="F794" s="213"/>
      <c r="G794" s="213"/>
      <c r="H794" s="213"/>
      <c r="I794" s="213"/>
      <c r="J794" s="213"/>
      <c r="K794" s="213"/>
      <c r="L794" s="213"/>
      <c r="M794" s="213"/>
      <c r="N794" s="213"/>
      <c r="O794" s="213"/>
      <c r="P794" s="213"/>
      <c r="Q794" s="213"/>
      <c r="R794" s="213"/>
      <c r="S794" s="213"/>
      <c r="T794" s="213"/>
      <c r="U794" s="213"/>
      <c r="V794" s="213"/>
      <c r="W794" s="213"/>
      <c r="X794" s="213"/>
      <c r="Y794" s="213"/>
      <c r="Z794" s="213"/>
    </row>
    <row r="795" spans="1:26" ht="14.25">
      <c r="A795" s="213"/>
      <c r="B795" s="213"/>
      <c r="C795" s="213"/>
      <c r="D795" s="213"/>
      <c r="E795" s="213"/>
      <c r="F795" s="213"/>
      <c r="G795" s="213"/>
      <c r="H795" s="213"/>
      <c r="I795" s="213"/>
      <c r="J795" s="213"/>
      <c r="K795" s="213"/>
      <c r="L795" s="213"/>
      <c r="M795" s="213"/>
      <c r="N795" s="213"/>
      <c r="O795" s="213"/>
      <c r="P795" s="213"/>
      <c r="Q795" s="213"/>
      <c r="R795" s="213"/>
      <c r="S795" s="213"/>
      <c r="T795" s="213"/>
      <c r="U795" s="213"/>
      <c r="V795" s="213"/>
      <c r="W795" s="213"/>
      <c r="X795" s="213"/>
      <c r="Y795" s="213"/>
      <c r="Z795" s="213"/>
    </row>
    <row r="796" spans="1:26" ht="14.25">
      <c r="A796" s="213"/>
      <c r="B796" s="213"/>
      <c r="C796" s="213"/>
      <c r="D796" s="213"/>
      <c r="E796" s="213"/>
      <c r="F796" s="213"/>
      <c r="G796" s="213"/>
      <c r="H796" s="213"/>
      <c r="I796" s="213"/>
      <c r="J796" s="213"/>
      <c r="K796" s="213"/>
      <c r="L796" s="213"/>
      <c r="M796" s="213"/>
      <c r="N796" s="213"/>
      <c r="O796" s="213"/>
      <c r="P796" s="213"/>
      <c r="Q796" s="213"/>
      <c r="R796" s="213"/>
      <c r="S796" s="213"/>
      <c r="T796" s="213"/>
      <c r="U796" s="213"/>
      <c r="V796" s="213"/>
      <c r="W796" s="213"/>
      <c r="X796" s="213"/>
      <c r="Y796" s="213"/>
      <c r="Z796" s="213"/>
    </row>
    <row r="797" spans="1:26" ht="14.25">
      <c r="A797" s="213"/>
      <c r="B797" s="213"/>
      <c r="C797" s="213"/>
      <c r="D797" s="213"/>
      <c r="E797" s="213"/>
      <c r="F797" s="213"/>
      <c r="G797" s="213"/>
      <c r="H797" s="213"/>
      <c r="I797" s="213"/>
      <c r="J797" s="213"/>
      <c r="K797" s="213"/>
      <c r="L797" s="213"/>
      <c r="M797" s="213"/>
      <c r="N797" s="213"/>
      <c r="O797" s="213"/>
      <c r="P797" s="213"/>
      <c r="Q797" s="213"/>
      <c r="R797" s="213"/>
      <c r="S797" s="213"/>
      <c r="T797" s="213"/>
      <c r="U797" s="213"/>
      <c r="V797" s="213"/>
      <c r="W797" s="213"/>
      <c r="X797" s="213"/>
      <c r="Y797" s="213"/>
      <c r="Z797" s="213"/>
    </row>
    <row r="798" spans="1:26" ht="14.25">
      <c r="A798" s="213"/>
      <c r="B798" s="213"/>
      <c r="C798" s="213"/>
      <c r="D798" s="213"/>
      <c r="E798" s="213"/>
      <c r="F798" s="213"/>
      <c r="G798" s="213"/>
      <c r="H798" s="213"/>
      <c r="I798" s="213"/>
      <c r="J798" s="213"/>
      <c r="K798" s="213"/>
      <c r="L798" s="213"/>
      <c r="M798" s="213"/>
      <c r="N798" s="213"/>
      <c r="O798" s="213"/>
      <c r="P798" s="213"/>
      <c r="Q798" s="213"/>
      <c r="R798" s="213"/>
      <c r="S798" s="213"/>
      <c r="T798" s="213"/>
      <c r="U798" s="213"/>
      <c r="V798" s="213"/>
      <c r="W798" s="213"/>
      <c r="X798" s="213"/>
      <c r="Y798" s="213"/>
      <c r="Z798" s="213"/>
    </row>
    <row r="799" spans="1:26" ht="14.25">
      <c r="A799" s="213"/>
      <c r="B799" s="213"/>
      <c r="C799" s="213"/>
      <c r="D799" s="213"/>
      <c r="E799" s="213"/>
      <c r="F799" s="213"/>
      <c r="G799" s="213"/>
      <c r="H799" s="213"/>
      <c r="I799" s="213"/>
      <c r="J799" s="213"/>
      <c r="K799" s="213"/>
      <c r="L799" s="213"/>
      <c r="M799" s="213"/>
      <c r="N799" s="213"/>
      <c r="O799" s="213"/>
      <c r="P799" s="213"/>
      <c r="Q799" s="213"/>
      <c r="R799" s="213"/>
      <c r="S799" s="213"/>
      <c r="T799" s="213"/>
      <c r="U799" s="213"/>
      <c r="V799" s="213"/>
      <c r="W799" s="213"/>
      <c r="X799" s="213"/>
      <c r="Y799" s="213"/>
      <c r="Z799" s="213"/>
    </row>
    <row r="800" spans="1:26" ht="14.25">
      <c r="A800" s="213"/>
      <c r="B800" s="213"/>
      <c r="C800" s="213"/>
      <c r="D800" s="213"/>
      <c r="E800" s="213"/>
      <c r="F800" s="213"/>
      <c r="G800" s="213"/>
      <c r="H800" s="213"/>
      <c r="I800" s="213"/>
      <c r="J800" s="213"/>
      <c r="K800" s="213"/>
      <c r="L800" s="213"/>
      <c r="M800" s="213"/>
      <c r="N800" s="213"/>
      <c r="O800" s="213"/>
      <c r="P800" s="213"/>
      <c r="Q800" s="213"/>
      <c r="R800" s="213"/>
      <c r="S800" s="213"/>
      <c r="T800" s="213"/>
      <c r="U800" s="213"/>
      <c r="V800" s="213"/>
      <c r="W800" s="213"/>
      <c r="X800" s="213"/>
      <c r="Y800" s="213"/>
      <c r="Z800" s="213"/>
    </row>
    <row r="801" spans="1:26" ht="14.25">
      <c r="A801" s="213"/>
      <c r="B801" s="213"/>
      <c r="C801" s="213"/>
      <c r="D801" s="213"/>
      <c r="E801" s="213"/>
      <c r="F801" s="213"/>
      <c r="G801" s="213"/>
      <c r="H801" s="213"/>
      <c r="I801" s="213"/>
      <c r="J801" s="213"/>
      <c r="K801" s="213"/>
      <c r="L801" s="213"/>
      <c r="M801" s="213"/>
      <c r="N801" s="213"/>
      <c r="O801" s="213"/>
      <c r="P801" s="213"/>
      <c r="Q801" s="213"/>
      <c r="R801" s="213"/>
      <c r="S801" s="213"/>
      <c r="T801" s="213"/>
      <c r="U801" s="213"/>
      <c r="V801" s="213"/>
      <c r="W801" s="213"/>
      <c r="X801" s="213"/>
      <c r="Y801" s="213"/>
      <c r="Z801" s="213"/>
    </row>
    <row r="802" spans="1:26" ht="14.25">
      <c r="A802" s="213"/>
      <c r="B802" s="213"/>
      <c r="C802" s="213"/>
      <c r="D802" s="213"/>
      <c r="E802" s="213"/>
      <c r="F802" s="213"/>
      <c r="G802" s="213"/>
      <c r="H802" s="213"/>
      <c r="I802" s="213"/>
      <c r="J802" s="213"/>
      <c r="K802" s="213"/>
      <c r="L802" s="213"/>
      <c r="M802" s="213"/>
      <c r="N802" s="213"/>
      <c r="O802" s="213"/>
      <c r="P802" s="213"/>
      <c r="Q802" s="213"/>
      <c r="R802" s="213"/>
      <c r="S802" s="213"/>
      <c r="T802" s="213"/>
      <c r="U802" s="213"/>
      <c r="V802" s="213"/>
      <c r="W802" s="213"/>
      <c r="X802" s="213"/>
      <c r="Y802" s="213"/>
      <c r="Z802" s="213"/>
    </row>
    <row r="803" spans="1:26" ht="14.25">
      <c r="A803" s="213"/>
      <c r="B803" s="213"/>
      <c r="C803" s="213"/>
      <c r="D803" s="213"/>
      <c r="E803" s="213"/>
      <c r="F803" s="213"/>
      <c r="G803" s="213"/>
      <c r="H803" s="213"/>
      <c r="I803" s="213"/>
      <c r="J803" s="213"/>
      <c r="K803" s="213"/>
      <c r="L803" s="213"/>
      <c r="M803" s="213"/>
      <c r="N803" s="213"/>
      <c r="O803" s="213"/>
      <c r="P803" s="213"/>
      <c r="Q803" s="213"/>
      <c r="R803" s="213"/>
      <c r="S803" s="213"/>
      <c r="T803" s="213"/>
      <c r="U803" s="213"/>
      <c r="V803" s="213"/>
      <c r="W803" s="213"/>
      <c r="X803" s="213"/>
      <c r="Y803" s="213"/>
      <c r="Z803" s="213"/>
    </row>
    <row r="804" spans="1:26" ht="14.25">
      <c r="A804" s="213"/>
      <c r="B804" s="213"/>
      <c r="C804" s="213"/>
      <c r="D804" s="213"/>
      <c r="E804" s="213"/>
      <c r="F804" s="213"/>
      <c r="G804" s="213"/>
      <c r="H804" s="213"/>
      <c r="I804" s="213"/>
      <c r="J804" s="213"/>
      <c r="K804" s="213"/>
      <c r="L804" s="213"/>
      <c r="M804" s="213"/>
      <c r="N804" s="213"/>
      <c r="O804" s="213"/>
      <c r="P804" s="213"/>
      <c r="Q804" s="213"/>
      <c r="R804" s="213"/>
      <c r="S804" s="213"/>
      <c r="T804" s="213"/>
      <c r="U804" s="213"/>
      <c r="V804" s="213"/>
      <c r="W804" s="213"/>
      <c r="X804" s="213"/>
      <c r="Y804" s="213"/>
      <c r="Z804" s="213"/>
    </row>
    <row r="805" spans="1:26" ht="14.25">
      <c r="A805" s="213"/>
      <c r="B805" s="213"/>
      <c r="C805" s="213"/>
      <c r="D805" s="213"/>
      <c r="E805" s="213"/>
      <c r="F805" s="213"/>
      <c r="G805" s="213"/>
      <c r="H805" s="213"/>
      <c r="I805" s="213"/>
      <c r="J805" s="213"/>
      <c r="K805" s="213"/>
      <c r="L805" s="213"/>
      <c r="M805" s="213"/>
      <c r="N805" s="213"/>
      <c r="O805" s="213"/>
      <c r="P805" s="213"/>
      <c r="Q805" s="213"/>
      <c r="R805" s="213"/>
      <c r="S805" s="213"/>
      <c r="T805" s="213"/>
      <c r="U805" s="213"/>
      <c r="V805" s="213"/>
      <c r="W805" s="213"/>
      <c r="X805" s="213"/>
      <c r="Y805" s="213"/>
      <c r="Z805" s="213"/>
    </row>
    <row r="806" spans="1:26" ht="14.25">
      <c r="A806" s="213"/>
      <c r="B806" s="213"/>
      <c r="C806" s="213"/>
      <c r="D806" s="213"/>
      <c r="E806" s="213"/>
      <c r="F806" s="213"/>
      <c r="G806" s="213"/>
      <c r="H806" s="213"/>
      <c r="I806" s="213"/>
      <c r="J806" s="213"/>
      <c r="K806" s="213"/>
      <c r="L806" s="213"/>
      <c r="M806" s="213"/>
      <c r="N806" s="213"/>
      <c r="O806" s="213"/>
      <c r="P806" s="213"/>
      <c r="Q806" s="213"/>
      <c r="R806" s="213"/>
      <c r="S806" s="213"/>
      <c r="T806" s="213"/>
      <c r="U806" s="213"/>
      <c r="V806" s="213"/>
      <c r="W806" s="213"/>
      <c r="X806" s="213"/>
      <c r="Y806" s="213"/>
      <c r="Z806" s="213"/>
    </row>
    <row r="807" spans="1:26" ht="14.25">
      <c r="A807" s="213"/>
      <c r="B807" s="213"/>
      <c r="C807" s="213"/>
      <c r="D807" s="213"/>
      <c r="E807" s="213"/>
      <c r="F807" s="213"/>
      <c r="G807" s="213"/>
      <c r="H807" s="213"/>
      <c r="I807" s="213"/>
      <c r="J807" s="213"/>
      <c r="K807" s="213"/>
      <c r="L807" s="213"/>
      <c r="M807" s="213"/>
      <c r="N807" s="213"/>
      <c r="O807" s="213"/>
      <c r="P807" s="213"/>
      <c r="Q807" s="213"/>
      <c r="R807" s="213"/>
      <c r="S807" s="213"/>
      <c r="T807" s="213"/>
      <c r="U807" s="213"/>
      <c r="V807" s="213"/>
      <c r="W807" s="213"/>
      <c r="X807" s="213"/>
      <c r="Y807" s="213"/>
      <c r="Z807" s="213"/>
    </row>
    <row r="808" spans="1:26" ht="14.25">
      <c r="A808" s="213"/>
      <c r="B808" s="213"/>
      <c r="C808" s="213"/>
      <c r="D808" s="213"/>
      <c r="E808" s="213"/>
      <c r="F808" s="213"/>
      <c r="G808" s="213"/>
      <c r="H808" s="213"/>
      <c r="I808" s="213"/>
      <c r="J808" s="213"/>
      <c r="K808" s="213"/>
      <c r="L808" s="213"/>
      <c r="M808" s="213"/>
      <c r="N808" s="213"/>
      <c r="O808" s="213"/>
      <c r="P808" s="213"/>
      <c r="Q808" s="213"/>
      <c r="R808" s="213"/>
      <c r="S808" s="213"/>
      <c r="T808" s="213"/>
      <c r="U808" s="213"/>
      <c r="V808" s="213"/>
      <c r="W808" s="213"/>
      <c r="X808" s="213"/>
      <c r="Y808" s="213"/>
      <c r="Z808" s="213"/>
    </row>
    <row r="809" spans="1:26" ht="14.25">
      <c r="A809" s="213"/>
      <c r="B809" s="213"/>
      <c r="C809" s="213"/>
      <c r="D809" s="213"/>
      <c r="E809" s="213"/>
      <c r="F809" s="213"/>
      <c r="G809" s="213"/>
      <c r="H809" s="213"/>
      <c r="I809" s="213"/>
      <c r="J809" s="213"/>
      <c r="K809" s="213"/>
      <c r="L809" s="213"/>
      <c r="M809" s="213"/>
      <c r="N809" s="213"/>
      <c r="O809" s="213"/>
      <c r="P809" s="213"/>
      <c r="Q809" s="213"/>
      <c r="R809" s="213"/>
      <c r="S809" s="213"/>
      <c r="T809" s="213"/>
      <c r="U809" s="213"/>
      <c r="V809" s="213"/>
      <c r="W809" s="213"/>
      <c r="X809" s="213"/>
      <c r="Y809" s="213"/>
      <c r="Z809" s="213"/>
    </row>
    <row r="810" spans="1:26" ht="14.25">
      <c r="A810" s="213"/>
      <c r="B810" s="213"/>
      <c r="C810" s="213"/>
      <c r="D810" s="213"/>
      <c r="E810" s="213"/>
      <c r="F810" s="213"/>
      <c r="G810" s="213"/>
      <c r="H810" s="213"/>
      <c r="I810" s="213"/>
      <c r="J810" s="213"/>
      <c r="K810" s="213"/>
      <c r="L810" s="213"/>
      <c r="M810" s="213"/>
      <c r="N810" s="213"/>
      <c r="O810" s="213"/>
      <c r="P810" s="213"/>
      <c r="Q810" s="213"/>
      <c r="R810" s="213"/>
      <c r="S810" s="213"/>
      <c r="T810" s="213"/>
      <c r="U810" s="213"/>
      <c r="V810" s="213"/>
      <c r="W810" s="213"/>
      <c r="X810" s="213"/>
      <c r="Y810" s="213"/>
      <c r="Z810" s="213"/>
    </row>
    <row r="811" spans="1:26" ht="14.25">
      <c r="A811" s="213"/>
      <c r="B811" s="213"/>
      <c r="C811" s="213"/>
      <c r="D811" s="213"/>
      <c r="E811" s="213"/>
      <c r="F811" s="213"/>
      <c r="G811" s="213"/>
      <c r="H811" s="213"/>
      <c r="I811" s="213"/>
      <c r="J811" s="213"/>
      <c r="K811" s="213"/>
      <c r="L811" s="213"/>
      <c r="M811" s="213"/>
      <c r="N811" s="213"/>
      <c r="O811" s="213"/>
      <c r="P811" s="213"/>
      <c r="Q811" s="213"/>
      <c r="R811" s="213"/>
      <c r="S811" s="213"/>
      <c r="T811" s="213"/>
      <c r="U811" s="213"/>
      <c r="V811" s="213"/>
      <c r="W811" s="213"/>
      <c r="X811" s="213"/>
      <c r="Y811" s="213"/>
      <c r="Z811" s="213"/>
    </row>
    <row r="812" spans="1:26" ht="14.25">
      <c r="A812" s="213"/>
      <c r="B812" s="213"/>
      <c r="C812" s="213"/>
      <c r="D812" s="213"/>
      <c r="E812" s="213"/>
      <c r="F812" s="213"/>
      <c r="G812" s="213"/>
      <c r="H812" s="213"/>
      <c r="I812" s="213"/>
      <c r="J812" s="213"/>
      <c r="K812" s="213"/>
      <c r="L812" s="213"/>
      <c r="M812" s="213"/>
      <c r="N812" s="213"/>
      <c r="O812" s="213"/>
      <c r="P812" s="213"/>
      <c r="Q812" s="213"/>
      <c r="R812" s="213"/>
      <c r="S812" s="213"/>
      <c r="T812" s="213"/>
      <c r="U812" s="213"/>
      <c r="V812" s="213"/>
      <c r="W812" s="213"/>
      <c r="X812" s="213"/>
      <c r="Y812" s="213"/>
      <c r="Z812" s="213"/>
    </row>
    <row r="813" spans="1:26" ht="14.25">
      <c r="A813" s="213"/>
      <c r="B813" s="213"/>
      <c r="C813" s="213"/>
      <c r="D813" s="213"/>
      <c r="E813" s="213"/>
      <c r="F813" s="213"/>
      <c r="G813" s="213"/>
      <c r="H813" s="213"/>
      <c r="I813" s="213"/>
      <c r="J813" s="213"/>
      <c r="K813" s="213"/>
      <c r="L813" s="213"/>
      <c r="M813" s="213"/>
      <c r="N813" s="213"/>
      <c r="O813" s="213"/>
      <c r="P813" s="213"/>
      <c r="Q813" s="213"/>
      <c r="R813" s="213"/>
      <c r="S813" s="213"/>
      <c r="T813" s="213"/>
      <c r="U813" s="213"/>
      <c r="V813" s="213"/>
      <c r="W813" s="213"/>
      <c r="X813" s="213"/>
      <c r="Y813" s="213"/>
      <c r="Z813" s="213"/>
    </row>
    <row r="814" spans="1:26" ht="14.25">
      <c r="A814" s="213"/>
      <c r="B814" s="213"/>
      <c r="C814" s="213"/>
      <c r="D814" s="213"/>
      <c r="E814" s="213"/>
      <c r="F814" s="213"/>
      <c r="G814" s="213"/>
      <c r="H814" s="213"/>
      <c r="I814" s="213"/>
      <c r="J814" s="213"/>
      <c r="K814" s="213"/>
      <c r="L814" s="213"/>
      <c r="M814" s="213"/>
      <c r="N814" s="213"/>
      <c r="O814" s="213"/>
      <c r="P814" s="213"/>
      <c r="Q814" s="213"/>
      <c r="R814" s="213"/>
      <c r="S814" s="213"/>
      <c r="T814" s="213"/>
      <c r="U814" s="213"/>
      <c r="V814" s="213"/>
      <c r="W814" s="213"/>
      <c r="X814" s="213"/>
      <c r="Y814" s="213"/>
      <c r="Z814" s="213"/>
    </row>
    <row r="815" spans="1:26" ht="14.25">
      <c r="A815" s="213"/>
      <c r="B815" s="213"/>
      <c r="C815" s="213"/>
      <c r="D815" s="213"/>
      <c r="E815" s="213"/>
      <c r="F815" s="213"/>
      <c r="G815" s="213"/>
      <c r="H815" s="213"/>
      <c r="I815" s="213"/>
      <c r="J815" s="213"/>
      <c r="K815" s="213"/>
      <c r="L815" s="213"/>
      <c r="M815" s="213"/>
      <c r="N815" s="213"/>
      <c r="O815" s="213"/>
      <c r="P815" s="213"/>
      <c r="Q815" s="213"/>
      <c r="R815" s="213"/>
      <c r="S815" s="213"/>
      <c r="T815" s="213"/>
      <c r="U815" s="213"/>
      <c r="V815" s="213"/>
      <c r="W815" s="213"/>
      <c r="X815" s="213"/>
      <c r="Y815" s="213"/>
      <c r="Z815" s="213"/>
    </row>
    <row r="816" spans="1:26" ht="14.25">
      <c r="A816" s="213"/>
      <c r="B816" s="213"/>
      <c r="C816" s="213"/>
      <c r="D816" s="213"/>
      <c r="E816" s="213"/>
      <c r="F816" s="213"/>
      <c r="G816" s="213"/>
      <c r="H816" s="213"/>
      <c r="I816" s="213"/>
      <c r="J816" s="213"/>
      <c r="K816" s="213"/>
      <c r="L816" s="213"/>
      <c r="M816" s="213"/>
      <c r="N816" s="213"/>
      <c r="O816" s="213"/>
      <c r="P816" s="213"/>
      <c r="Q816" s="213"/>
      <c r="R816" s="213"/>
      <c r="S816" s="213"/>
      <c r="T816" s="213"/>
      <c r="U816" s="213"/>
      <c r="V816" s="213"/>
      <c r="W816" s="213"/>
      <c r="X816" s="213"/>
      <c r="Y816" s="213"/>
      <c r="Z816" s="213"/>
    </row>
    <row r="817" spans="1:26" ht="14.25">
      <c r="A817" s="213"/>
      <c r="B817" s="213"/>
      <c r="C817" s="213"/>
      <c r="D817" s="213"/>
      <c r="E817" s="213"/>
      <c r="F817" s="213"/>
      <c r="G817" s="213"/>
      <c r="H817" s="213"/>
      <c r="I817" s="213"/>
      <c r="J817" s="213"/>
      <c r="K817" s="213"/>
      <c r="L817" s="213"/>
      <c r="M817" s="213"/>
      <c r="N817" s="213"/>
      <c r="O817" s="213"/>
      <c r="P817" s="213"/>
      <c r="Q817" s="213"/>
      <c r="R817" s="213"/>
      <c r="S817" s="213"/>
      <c r="T817" s="213"/>
      <c r="U817" s="213"/>
      <c r="V817" s="213"/>
      <c r="W817" s="213"/>
      <c r="X817" s="213"/>
      <c r="Y817" s="213"/>
      <c r="Z817" s="213"/>
    </row>
    <row r="818" spans="1:26" ht="14.25">
      <c r="A818" s="213"/>
      <c r="B818" s="213"/>
      <c r="C818" s="213"/>
      <c r="D818" s="213"/>
      <c r="E818" s="213"/>
      <c r="F818" s="213"/>
      <c r="G818" s="213"/>
      <c r="H818" s="213"/>
      <c r="I818" s="213"/>
      <c r="J818" s="213"/>
      <c r="K818" s="213"/>
      <c r="L818" s="213"/>
      <c r="M818" s="213"/>
      <c r="N818" s="213"/>
      <c r="O818" s="213"/>
      <c r="P818" s="213"/>
      <c r="Q818" s="213"/>
      <c r="R818" s="213"/>
      <c r="S818" s="213"/>
      <c r="T818" s="213"/>
      <c r="U818" s="213"/>
      <c r="V818" s="213"/>
      <c r="W818" s="213"/>
      <c r="X818" s="213"/>
      <c r="Y818" s="213"/>
      <c r="Z818" s="213"/>
    </row>
    <row r="819" spans="1:26" ht="14.25">
      <c r="A819" s="213"/>
      <c r="B819" s="213"/>
      <c r="C819" s="213"/>
      <c r="D819" s="213"/>
      <c r="E819" s="213"/>
      <c r="F819" s="213"/>
      <c r="G819" s="213"/>
      <c r="H819" s="213"/>
      <c r="I819" s="213"/>
      <c r="J819" s="213"/>
      <c r="K819" s="213"/>
      <c r="L819" s="213"/>
      <c r="M819" s="213"/>
      <c r="N819" s="213"/>
      <c r="O819" s="213"/>
      <c r="P819" s="213"/>
      <c r="Q819" s="213"/>
      <c r="R819" s="213"/>
      <c r="S819" s="213"/>
      <c r="T819" s="213"/>
      <c r="U819" s="213"/>
      <c r="V819" s="213"/>
      <c r="W819" s="213"/>
      <c r="X819" s="213"/>
      <c r="Y819" s="213"/>
      <c r="Z819" s="213"/>
    </row>
    <row r="820" spans="1:26" ht="14.25">
      <c r="A820" s="213"/>
      <c r="B820" s="213"/>
      <c r="C820" s="213"/>
      <c r="D820" s="213"/>
      <c r="E820" s="213"/>
      <c r="F820" s="213"/>
      <c r="G820" s="213"/>
      <c r="H820" s="213"/>
      <c r="I820" s="213"/>
      <c r="J820" s="213"/>
      <c r="K820" s="213"/>
      <c r="L820" s="213"/>
      <c r="M820" s="213"/>
      <c r="N820" s="213"/>
      <c r="O820" s="213"/>
      <c r="P820" s="213"/>
      <c r="Q820" s="213"/>
      <c r="R820" s="213"/>
      <c r="S820" s="213"/>
      <c r="T820" s="213"/>
      <c r="U820" s="213"/>
      <c r="V820" s="213"/>
      <c r="W820" s="213"/>
      <c r="X820" s="213"/>
      <c r="Y820" s="213"/>
      <c r="Z820" s="213"/>
    </row>
    <row r="821" spans="1:26" ht="14.25">
      <c r="A821" s="213"/>
      <c r="B821" s="213"/>
      <c r="C821" s="213"/>
      <c r="D821" s="213"/>
      <c r="E821" s="213"/>
      <c r="F821" s="213"/>
      <c r="G821" s="213"/>
      <c r="H821" s="213"/>
      <c r="I821" s="213"/>
      <c r="J821" s="213"/>
      <c r="K821" s="213"/>
      <c r="L821" s="213"/>
      <c r="M821" s="213"/>
      <c r="N821" s="213"/>
      <c r="O821" s="213"/>
      <c r="P821" s="213"/>
      <c r="Q821" s="213"/>
      <c r="R821" s="213"/>
      <c r="S821" s="213"/>
      <c r="T821" s="213"/>
      <c r="U821" s="213"/>
      <c r="V821" s="213"/>
      <c r="W821" s="213"/>
      <c r="X821" s="213"/>
      <c r="Y821" s="213"/>
      <c r="Z821" s="213"/>
    </row>
    <row r="822" spans="1:26" ht="14.25">
      <c r="A822" s="213"/>
      <c r="B822" s="213"/>
      <c r="C822" s="213"/>
      <c r="D822" s="213"/>
      <c r="E822" s="213"/>
      <c r="F822" s="213"/>
      <c r="G822" s="213"/>
      <c r="H822" s="213"/>
      <c r="I822" s="213"/>
      <c r="J822" s="213"/>
      <c r="K822" s="213"/>
      <c r="L822" s="213"/>
      <c r="M822" s="213"/>
      <c r="N822" s="213"/>
      <c r="O822" s="213"/>
      <c r="P822" s="213"/>
      <c r="Q822" s="213"/>
      <c r="R822" s="213"/>
      <c r="S822" s="213"/>
      <c r="T822" s="213"/>
      <c r="U822" s="213"/>
      <c r="V822" s="213"/>
      <c r="W822" s="213"/>
      <c r="X822" s="213"/>
      <c r="Y822" s="213"/>
      <c r="Z822" s="213"/>
    </row>
    <row r="823" spans="1:26" ht="14.25">
      <c r="A823" s="213"/>
      <c r="B823" s="213"/>
      <c r="C823" s="213"/>
      <c r="D823" s="213"/>
      <c r="E823" s="213"/>
      <c r="F823" s="213"/>
      <c r="G823" s="213"/>
      <c r="H823" s="213"/>
      <c r="I823" s="213"/>
      <c r="J823" s="213"/>
      <c r="K823" s="213"/>
      <c r="L823" s="213"/>
      <c r="M823" s="213"/>
      <c r="N823" s="213"/>
      <c r="O823" s="213"/>
      <c r="P823" s="213"/>
      <c r="Q823" s="213"/>
      <c r="R823" s="213"/>
      <c r="S823" s="213"/>
      <c r="T823" s="213"/>
      <c r="U823" s="213"/>
      <c r="V823" s="213"/>
      <c r="W823" s="213"/>
      <c r="X823" s="213"/>
      <c r="Y823" s="213"/>
      <c r="Z823" s="213"/>
    </row>
    <row r="824" spans="1:26" ht="14.25">
      <c r="A824" s="213"/>
      <c r="B824" s="213"/>
      <c r="C824" s="213"/>
      <c r="D824" s="213"/>
      <c r="E824" s="213"/>
      <c r="F824" s="213"/>
      <c r="G824" s="213"/>
      <c r="H824" s="213"/>
      <c r="I824" s="213"/>
      <c r="J824" s="213"/>
      <c r="K824" s="213"/>
      <c r="L824" s="213"/>
      <c r="M824" s="213"/>
      <c r="N824" s="213"/>
      <c r="O824" s="213"/>
      <c r="P824" s="213"/>
      <c r="Q824" s="213"/>
      <c r="R824" s="213"/>
      <c r="S824" s="213"/>
      <c r="T824" s="213"/>
      <c r="U824" s="213"/>
      <c r="V824" s="213"/>
      <c r="W824" s="213"/>
      <c r="X824" s="213"/>
      <c r="Y824" s="213"/>
      <c r="Z824" s="213"/>
    </row>
    <row r="825" spans="1:26" ht="14.25">
      <c r="A825" s="213"/>
      <c r="B825" s="213"/>
      <c r="C825" s="213"/>
      <c r="D825" s="213"/>
      <c r="E825" s="213"/>
      <c r="F825" s="213"/>
      <c r="G825" s="213"/>
      <c r="H825" s="213"/>
      <c r="I825" s="213"/>
      <c r="J825" s="213"/>
      <c r="K825" s="213"/>
      <c r="L825" s="213"/>
      <c r="M825" s="213"/>
      <c r="N825" s="213"/>
      <c r="O825" s="213"/>
      <c r="P825" s="213"/>
      <c r="Q825" s="213"/>
      <c r="R825" s="213"/>
      <c r="S825" s="213"/>
      <c r="T825" s="213"/>
      <c r="U825" s="213"/>
      <c r="V825" s="213"/>
      <c r="W825" s="213"/>
      <c r="X825" s="213"/>
      <c r="Y825" s="213"/>
      <c r="Z825" s="213"/>
    </row>
    <row r="826" spans="1:26" ht="14.25">
      <c r="A826" s="213"/>
      <c r="B826" s="213"/>
      <c r="C826" s="213"/>
      <c r="D826" s="213"/>
      <c r="E826" s="213"/>
      <c r="F826" s="213"/>
      <c r="G826" s="213"/>
      <c r="H826" s="213"/>
      <c r="I826" s="213"/>
      <c r="J826" s="213"/>
      <c r="K826" s="213"/>
      <c r="L826" s="213"/>
      <c r="M826" s="213"/>
      <c r="N826" s="213"/>
      <c r="O826" s="213"/>
      <c r="P826" s="213"/>
      <c r="Q826" s="213"/>
      <c r="R826" s="213"/>
      <c r="S826" s="213"/>
      <c r="T826" s="213"/>
      <c r="U826" s="213"/>
      <c r="V826" s="213"/>
      <c r="W826" s="213"/>
      <c r="X826" s="213"/>
      <c r="Y826" s="213"/>
      <c r="Z826" s="213"/>
    </row>
    <row r="827" spans="1:26" ht="14.25">
      <c r="A827" s="213"/>
      <c r="B827" s="213"/>
      <c r="C827" s="213"/>
      <c r="D827" s="213"/>
      <c r="E827" s="213"/>
      <c r="F827" s="213"/>
      <c r="G827" s="213"/>
      <c r="H827" s="213"/>
      <c r="I827" s="213"/>
      <c r="J827" s="213"/>
      <c r="K827" s="213"/>
      <c r="L827" s="213"/>
      <c r="M827" s="213"/>
      <c r="N827" s="213"/>
      <c r="O827" s="213"/>
      <c r="P827" s="213"/>
      <c r="Q827" s="213"/>
      <c r="R827" s="213"/>
      <c r="S827" s="213"/>
      <c r="T827" s="213"/>
      <c r="U827" s="213"/>
      <c r="V827" s="213"/>
      <c r="W827" s="213"/>
      <c r="X827" s="213"/>
      <c r="Y827" s="213"/>
      <c r="Z827" s="213"/>
    </row>
    <row r="828" spans="1:26" ht="14.25">
      <c r="A828" s="213"/>
      <c r="B828" s="213"/>
      <c r="C828" s="213"/>
      <c r="D828" s="213"/>
      <c r="E828" s="213"/>
      <c r="F828" s="213"/>
      <c r="G828" s="213"/>
      <c r="H828" s="213"/>
      <c r="I828" s="213"/>
      <c r="J828" s="213"/>
      <c r="K828" s="213"/>
      <c r="L828" s="213"/>
      <c r="M828" s="213"/>
      <c r="N828" s="213"/>
      <c r="O828" s="213"/>
      <c r="P828" s="213"/>
      <c r="Q828" s="213"/>
      <c r="R828" s="213"/>
      <c r="S828" s="213"/>
      <c r="T828" s="213"/>
      <c r="U828" s="213"/>
      <c r="V828" s="213"/>
      <c r="W828" s="213"/>
      <c r="X828" s="213"/>
      <c r="Y828" s="213"/>
      <c r="Z828" s="213"/>
    </row>
    <row r="829" spans="1:26" ht="14.25">
      <c r="A829" s="213"/>
      <c r="B829" s="213"/>
      <c r="C829" s="213"/>
      <c r="D829" s="213"/>
      <c r="E829" s="213"/>
      <c r="F829" s="213"/>
      <c r="G829" s="213"/>
      <c r="H829" s="213"/>
      <c r="I829" s="213"/>
      <c r="J829" s="213"/>
      <c r="K829" s="213"/>
      <c r="L829" s="213"/>
      <c r="M829" s="213"/>
      <c r="N829" s="213"/>
      <c r="O829" s="213"/>
      <c r="P829" s="213"/>
      <c r="Q829" s="213"/>
      <c r="R829" s="213"/>
      <c r="S829" s="213"/>
      <c r="T829" s="213"/>
      <c r="U829" s="213"/>
      <c r="V829" s="213"/>
      <c r="W829" s="213"/>
      <c r="X829" s="213"/>
      <c r="Y829" s="213"/>
      <c r="Z829" s="213"/>
    </row>
    <row r="830" spans="1:26" ht="14.25">
      <c r="A830" s="213"/>
      <c r="B830" s="213"/>
      <c r="C830" s="213"/>
      <c r="D830" s="213"/>
      <c r="E830" s="213"/>
      <c r="F830" s="213"/>
      <c r="G830" s="213"/>
      <c r="H830" s="213"/>
      <c r="I830" s="213"/>
      <c r="J830" s="213"/>
      <c r="K830" s="213"/>
      <c r="L830" s="213"/>
      <c r="M830" s="213"/>
      <c r="N830" s="213"/>
      <c r="O830" s="213"/>
      <c r="P830" s="213"/>
      <c r="Q830" s="213"/>
      <c r="R830" s="213"/>
      <c r="S830" s="213"/>
      <c r="T830" s="213"/>
      <c r="U830" s="213"/>
      <c r="V830" s="213"/>
      <c r="W830" s="213"/>
      <c r="X830" s="213"/>
      <c r="Y830" s="213"/>
      <c r="Z830" s="213"/>
    </row>
    <row r="831" spans="1:26" ht="14.25">
      <c r="A831" s="213"/>
      <c r="B831" s="213"/>
      <c r="C831" s="213"/>
      <c r="D831" s="213"/>
      <c r="E831" s="213"/>
      <c r="F831" s="213"/>
      <c r="G831" s="213"/>
      <c r="H831" s="213"/>
      <c r="I831" s="213"/>
      <c r="J831" s="213"/>
      <c r="K831" s="213"/>
      <c r="L831" s="213"/>
      <c r="M831" s="213"/>
      <c r="N831" s="213"/>
      <c r="O831" s="213"/>
      <c r="P831" s="213"/>
      <c r="Q831" s="213"/>
      <c r="R831" s="213"/>
      <c r="S831" s="213"/>
      <c r="T831" s="213"/>
      <c r="U831" s="213"/>
      <c r="V831" s="213"/>
      <c r="W831" s="213"/>
      <c r="X831" s="213"/>
      <c r="Y831" s="213"/>
      <c r="Z831" s="213"/>
    </row>
    <row r="832" spans="1:26" ht="14.25">
      <c r="A832" s="213"/>
      <c r="B832" s="213"/>
      <c r="C832" s="213"/>
      <c r="D832" s="213"/>
      <c r="E832" s="213"/>
      <c r="F832" s="213"/>
      <c r="G832" s="213"/>
      <c r="H832" s="213"/>
      <c r="I832" s="213"/>
      <c r="J832" s="213"/>
      <c r="K832" s="213"/>
      <c r="L832" s="213"/>
      <c r="M832" s="213"/>
      <c r="N832" s="213"/>
      <c r="O832" s="213"/>
      <c r="P832" s="213"/>
      <c r="Q832" s="213"/>
      <c r="R832" s="213"/>
      <c r="S832" s="213"/>
      <c r="T832" s="213"/>
      <c r="U832" s="213"/>
      <c r="V832" s="213"/>
      <c r="W832" s="213"/>
      <c r="X832" s="213"/>
      <c r="Y832" s="213"/>
      <c r="Z832" s="213"/>
    </row>
    <row r="833" spans="1:26" ht="14.25">
      <c r="A833" s="213"/>
      <c r="B833" s="213"/>
      <c r="C833" s="213"/>
      <c r="D833" s="213"/>
      <c r="E833" s="213"/>
      <c r="F833" s="213"/>
      <c r="G833" s="213"/>
      <c r="H833" s="213"/>
      <c r="I833" s="213"/>
      <c r="J833" s="213"/>
      <c r="K833" s="213"/>
      <c r="L833" s="213"/>
      <c r="M833" s="213"/>
      <c r="N833" s="213"/>
      <c r="O833" s="213"/>
      <c r="P833" s="213"/>
      <c r="Q833" s="213"/>
      <c r="R833" s="213"/>
      <c r="S833" s="213"/>
      <c r="T833" s="213"/>
      <c r="U833" s="213"/>
      <c r="V833" s="213"/>
      <c r="W833" s="213"/>
      <c r="X833" s="213"/>
      <c r="Y833" s="213"/>
      <c r="Z833" s="213"/>
    </row>
    <row r="834" spans="1:26" ht="14.25">
      <c r="A834" s="213"/>
      <c r="B834" s="213"/>
      <c r="C834" s="213"/>
      <c r="D834" s="213"/>
      <c r="E834" s="213"/>
      <c r="F834" s="213"/>
      <c r="G834" s="213"/>
      <c r="H834" s="213"/>
      <c r="I834" s="213"/>
      <c r="J834" s="213"/>
      <c r="K834" s="213"/>
      <c r="L834" s="213"/>
      <c r="M834" s="213"/>
      <c r="N834" s="213"/>
      <c r="O834" s="213"/>
      <c r="P834" s="213"/>
      <c r="Q834" s="213"/>
      <c r="R834" s="213"/>
      <c r="S834" s="213"/>
      <c r="T834" s="213"/>
      <c r="U834" s="213"/>
      <c r="V834" s="213"/>
      <c r="W834" s="213"/>
      <c r="X834" s="213"/>
      <c r="Y834" s="213"/>
      <c r="Z834" s="213"/>
    </row>
    <row r="835" spans="1:26" ht="14.25">
      <c r="A835" s="213"/>
      <c r="B835" s="213"/>
      <c r="C835" s="213"/>
      <c r="D835" s="213"/>
      <c r="E835" s="213"/>
      <c r="F835" s="213"/>
      <c r="G835" s="213"/>
      <c r="H835" s="213"/>
      <c r="I835" s="213"/>
      <c r="J835" s="213"/>
      <c r="K835" s="213"/>
      <c r="L835" s="213"/>
      <c r="M835" s="213"/>
      <c r="N835" s="213"/>
      <c r="O835" s="213"/>
      <c r="P835" s="213"/>
      <c r="Q835" s="213"/>
      <c r="R835" s="213"/>
      <c r="S835" s="213"/>
      <c r="T835" s="213"/>
      <c r="U835" s="213"/>
      <c r="V835" s="213"/>
      <c r="W835" s="213"/>
      <c r="X835" s="213"/>
      <c r="Y835" s="213"/>
      <c r="Z835" s="213"/>
    </row>
    <row r="836" spans="1:26" ht="14.25">
      <c r="A836" s="213"/>
      <c r="B836" s="213"/>
      <c r="C836" s="213"/>
      <c r="D836" s="213"/>
      <c r="E836" s="213"/>
      <c r="F836" s="213"/>
      <c r="G836" s="213"/>
      <c r="H836" s="213"/>
      <c r="I836" s="213"/>
      <c r="J836" s="213"/>
      <c r="K836" s="213"/>
      <c r="L836" s="213"/>
      <c r="M836" s="213"/>
      <c r="N836" s="213"/>
      <c r="O836" s="213"/>
      <c r="P836" s="213"/>
      <c r="Q836" s="213"/>
      <c r="R836" s="213"/>
      <c r="S836" s="213"/>
      <c r="T836" s="213"/>
      <c r="U836" s="213"/>
      <c r="V836" s="213"/>
      <c r="W836" s="213"/>
      <c r="X836" s="213"/>
      <c r="Y836" s="213"/>
      <c r="Z836" s="213"/>
    </row>
    <row r="837" spans="1:26" ht="14.25">
      <c r="A837" s="213"/>
      <c r="B837" s="213"/>
      <c r="C837" s="213"/>
      <c r="D837" s="213"/>
      <c r="E837" s="213"/>
      <c r="F837" s="213"/>
      <c r="G837" s="213"/>
      <c r="H837" s="213"/>
      <c r="I837" s="213"/>
      <c r="J837" s="213"/>
      <c r="K837" s="213"/>
      <c r="L837" s="213"/>
      <c r="M837" s="213"/>
      <c r="N837" s="213"/>
      <c r="O837" s="213"/>
      <c r="P837" s="213"/>
      <c r="Q837" s="213"/>
      <c r="R837" s="213"/>
      <c r="S837" s="213"/>
      <c r="T837" s="213"/>
      <c r="U837" s="213"/>
      <c r="V837" s="213"/>
      <c r="W837" s="213"/>
      <c r="X837" s="213"/>
      <c r="Y837" s="213"/>
      <c r="Z837" s="213"/>
    </row>
    <row r="838" spans="1:26" ht="14.25">
      <c r="A838" s="213"/>
      <c r="B838" s="213"/>
      <c r="C838" s="213"/>
      <c r="D838" s="213"/>
      <c r="E838" s="213"/>
      <c r="F838" s="213"/>
      <c r="G838" s="213"/>
      <c r="H838" s="213"/>
      <c r="I838" s="213"/>
      <c r="J838" s="213"/>
      <c r="K838" s="213"/>
      <c r="L838" s="213"/>
      <c r="M838" s="213"/>
      <c r="N838" s="213"/>
      <c r="O838" s="213"/>
      <c r="P838" s="213"/>
      <c r="Q838" s="213"/>
      <c r="R838" s="213"/>
      <c r="S838" s="213"/>
      <c r="T838" s="213"/>
      <c r="U838" s="213"/>
      <c r="V838" s="213"/>
      <c r="W838" s="213"/>
      <c r="X838" s="213"/>
      <c r="Y838" s="213"/>
      <c r="Z838" s="213"/>
    </row>
    <row r="839" spans="1:26" ht="14.25">
      <c r="A839" s="213"/>
      <c r="B839" s="213"/>
      <c r="C839" s="213"/>
      <c r="D839" s="213"/>
      <c r="E839" s="213"/>
      <c r="F839" s="213"/>
      <c r="G839" s="213"/>
      <c r="H839" s="213"/>
      <c r="I839" s="213"/>
      <c r="J839" s="213"/>
      <c r="K839" s="213"/>
      <c r="L839" s="213"/>
      <c r="M839" s="213"/>
      <c r="N839" s="213"/>
      <c r="O839" s="213"/>
      <c r="P839" s="213"/>
      <c r="Q839" s="213"/>
      <c r="R839" s="213"/>
      <c r="S839" s="213"/>
      <c r="T839" s="213"/>
      <c r="U839" s="213"/>
      <c r="V839" s="213"/>
      <c r="W839" s="213"/>
      <c r="X839" s="213"/>
      <c r="Y839" s="213"/>
      <c r="Z839" s="213"/>
    </row>
    <row r="840" spans="1:26" ht="14.25">
      <c r="A840" s="213"/>
      <c r="B840" s="213"/>
      <c r="C840" s="213"/>
      <c r="D840" s="213"/>
      <c r="E840" s="213"/>
      <c r="F840" s="213"/>
      <c r="G840" s="213"/>
      <c r="H840" s="213"/>
      <c r="I840" s="213"/>
      <c r="J840" s="213"/>
      <c r="K840" s="213"/>
      <c r="L840" s="213"/>
      <c r="M840" s="213"/>
      <c r="N840" s="213"/>
      <c r="O840" s="213"/>
      <c r="P840" s="213"/>
      <c r="Q840" s="213"/>
      <c r="R840" s="213"/>
      <c r="S840" s="213"/>
      <c r="T840" s="213"/>
      <c r="U840" s="213"/>
      <c r="V840" s="213"/>
      <c r="W840" s="213"/>
      <c r="X840" s="213"/>
      <c r="Y840" s="213"/>
      <c r="Z840" s="213"/>
    </row>
    <row r="841" spans="1:26" ht="14.25">
      <c r="A841" s="213"/>
      <c r="B841" s="213"/>
      <c r="C841" s="213"/>
      <c r="D841" s="213"/>
      <c r="E841" s="213"/>
      <c r="F841" s="213"/>
      <c r="G841" s="213"/>
      <c r="H841" s="213"/>
      <c r="I841" s="213"/>
      <c r="J841" s="213"/>
      <c r="K841" s="213"/>
      <c r="L841" s="213"/>
      <c r="M841" s="213"/>
      <c r="N841" s="213"/>
      <c r="O841" s="213"/>
      <c r="P841" s="213"/>
      <c r="Q841" s="213"/>
      <c r="R841" s="213"/>
      <c r="S841" s="213"/>
      <c r="T841" s="213"/>
      <c r="U841" s="213"/>
      <c r="V841" s="213"/>
      <c r="W841" s="213"/>
      <c r="X841" s="213"/>
      <c r="Y841" s="213"/>
      <c r="Z841" s="213"/>
    </row>
    <row r="842" spans="1:26" ht="14.25">
      <c r="A842" s="213"/>
      <c r="B842" s="213"/>
      <c r="C842" s="213"/>
      <c r="D842" s="213"/>
      <c r="E842" s="213"/>
      <c r="F842" s="213"/>
      <c r="G842" s="213"/>
      <c r="H842" s="213"/>
      <c r="I842" s="213"/>
      <c r="J842" s="213"/>
      <c r="K842" s="213"/>
      <c r="L842" s="213"/>
      <c r="M842" s="213"/>
      <c r="N842" s="213"/>
      <c r="O842" s="213"/>
      <c r="P842" s="213"/>
      <c r="Q842" s="213"/>
      <c r="R842" s="213"/>
      <c r="S842" s="213"/>
      <c r="T842" s="213"/>
      <c r="U842" s="213"/>
      <c r="V842" s="213"/>
      <c r="W842" s="213"/>
      <c r="X842" s="213"/>
      <c r="Y842" s="213"/>
      <c r="Z842" s="213"/>
    </row>
    <row r="843" spans="1:26" ht="14.25">
      <c r="A843" s="213"/>
      <c r="B843" s="213"/>
      <c r="C843" s="213"/>
      <c r="D843" s="213"/>
      <c r="E843" s="213"/>
      <c r="F843" s="213"/>
      <c r="G843" s="213"/>
      <c r="H843" s="213"/>
      <c r="I843" s="213"/>
      <c r="J843" s="213"/>
      <c r="K843" s="213"/>
      <c r="L843" s="213"/>
      <c r="M843" s="213"/>
      <c r="N843" s="213"/>
      <c r="O843" s="213"/>
      <c r="P843" s="213"/>
      <c r="Q843" s="213"/>
      <c r="R843" s="213"/>
      <c r="S843" s="213"/>
      <c r="T843" s="213"/>
      <c r="U843" s="213"/>
      <c r="V843" s="213"/>
      <c r="W843" s="213"/>
      <c r="X843" s="213"/>
      <c r="Y843" s="213"/>
      <c r="Z843" s="213"/>
    </row>
    <row r="844" spans="1:26" ht="14.25">
      <c r="A844" s="213"/>
      <c r="B844" s="213"/>
      <c r="C844" s="213"/>
      <c r="D844" s="213"/>
      <c r="E844" s="213"/>
      <c r="F844" s="213"/>
      <c r="G844" s="213"/>
      <c r="H844" s="213"/>
      <c r="I844" s="213"/>
      <c r="J844" s="213"/>
      <c r="K844" s="213"/>
      <c r="L844" s="213"/>
      <c r="M844" s="213"/>
      <c r="N844" s="213"/>
      <c r="O844" s="213"/>
      <c r="P844" s="213"/>
      <c r="Q844" s="213"/>
      <c r="R844" s="213"/>
      <c r="S844" s="213"/>
      <c r="T844" s="213"/>
      <c r="U844" s="213"/>
      <c r="V844" s="213"/>
      <c r="W844" s="213"/>
      <c r="X844" s="213"/>
      <c r="Y844" s="213"/>
      <c r="Z844" s="213"/>
    </row>
    <row r="845" spans="1:26" ht="14.25">
      <c r="A845" s="213"/>
      <c r="B845" s="213"/>
      <c r="C845" s="213"/>
      <c r="D845" s="213"/>
      <c r="E845" s="213"/>
      <c r="F845" s="213"/>
      <c r="G845" s="213"/>
      <c r="H845" s="213"/>
      <c r="I845" s="213"/>
      <c r="J845" s="213"/>
      <c r="K845" s="213"/>
      <c r="L845" s="213"/>
      <c r="M845" s="213"/>
      <c r="N845" s="213"/>
      <c r="O845" s="213"/>
      <c r="P845" s="213"/>
      <c r="Q845" s="213"/>
      <c r="R845" s="213"/>
      <c r="S845" s="213"/>
      <c r="T845" s="213"/>
      <c r="U845" s="213"/>
      <c r="V845" s="213"/>
      <c r="W845" s="213"/>
      <c r="X845" s="213"/>
      <c r="Y845" s="213"/>
      <c r="Z845" s="213"/>
    </row>
    <row r="846" spans="1:26" ht="14.25">
      <c r="A846" s="213"/>
      <c r="B846" s="213"/>
      <c r="C846" s="213"/>
      <c r="D846" s="213"/>
      <c r="E846" s="213"/>
      <c r="F846" s="213"/>
      <c r="G846" s="213"/>
      <c r="H846" s="213"/>
      <c r="I846" s="213"/>
      <c r="J846" s="213"/>
      <c r="K846" s="213"/>
      <c r="L846" s="213"/>
      <c r="M846" s="213"/>
      <c r="N846" s="213"/>
      <c r="O846" s="213"/>
      <c r="P846" s="213"/>
      <c r="Q846" s="213"/>
      <c r="R846" s="213"/>
      <c r="S846" s="213"/>
      <c r="T846" s="213"/>
      <c r="U846" s="213"/>
      <c r="V846" s="213"/>
      <c r="W846" s="213"/>
      <c r="X846" s="213"/>
      <c r="Y846" s="213"/>
      <c r="Z846" s="213"/>
    </row>
    <row r="847" spans="1:26" ht="14.25">
      <c r="A847" s="213"/>
      <c r="B847" s="213"/>
      <c r="C847" s="213"/>
      <c r="D847" s="213"/>
      <c r="E847" s="213"/>
      <c r="F847" s="213"/>
      <c r="G847" s="213"/>
      <c r="H847" s="213"/>
      <c r="I847" s="213"/>
      <c r="J847" s="213"/>
      <c r="K847" s="213"/>
      <c r="L847" s="213"/>
      <c r="M847" s="213"/>
      <c r="N847" s="213"/>
      <c r="O847" s="213"/>
      <c r="P847" s="213"/>
      <c r="Q847" s="213"/>
      <c r="R847" s="213"/>
      <c r="S847" s="213"/>
      <c r="T847" s="213"/>
      <c r="U847" s="213"/>
      <c r="V847" s="213"/>
      <c r="W847" s="213"/>
      <c r="X847" s="213"/>
      <c r="Y847" s="213"/>
      <c r="Z847" s="213"/>
    </row>
    <row r="848" spans="1:26" ht="14.25">
      <c r="A848" s="213"/>
      <c r="B848" s="213"/>
      <c r="C848" s="213"/>
      <c r="D848" s="213"/>
      <c r="E848" s="213"/>
      <c r="F848" s="213"/>
      <c r="G848" s="213"/>
      <c r="H848" s="213"/>
      <c r="I848" s="213"/>
      <c r="J848" s="213"/>
      <c r="K848" s="213"/>
      <c r="L848" s="213"/>
      <c r="M848" s="213"/>
      <c r="N848" s="213"/>
      <c r="O848" s="213"/>
      <c r="P848" s="213"/>
      <c r="Q848" s="213"/>
      <c r="R848" s="213"/>
      <c r="S848" s="213"/>
      <c r="T848" s="213"/>
      <c r="U848" s="213"/>
      <c r="V848" s="213"/>
      <c r="W848" s="213"/>
      <c r="X848" s="213"/>
      <c r="Y848" s="213"/>
      <c r="Z848" s="213"/>
    </row>
    <row r="849" spans="1:26" ht="14.25">
      <c r="A849" s="213"/>
      <c r="B849" s="213"/>
      <c r="C849" s="213"/>
      <c r="D849" s="213"/>
      <c r="E849" s="213"/>
      <c r="F849" s="213"/>
      <c r="G849" s="213"/>
      <c r="H849" s="213"/>
      <c r="I849" s="213"/>
      <c r="J849" s="213"/>
      <c r="K849" s="213"/>
      <c r="L849" s="213"/>
      <c r="M849" s="213"/>
      <c r="N849" s="213"/>
      <c r="O849" s="213"/>
      <c r="P849" s="213"/>
      <c r="Q849" s="213"/>
      <c r="R849" s="213"/>
      <c r="S849" s="213"/>
      <c r="T849" s="213"/>
      <c r="U849" s="213"/>
      <c r="V849" s="213"/>
      <c r="W849" s="213"/>
      <c r="X849" s="213"/>
      <c r="Y849" s="213"/>
      <c r="Z849" s="213"/>
    </row>
    <row r="850" spans="1:26" ht="14.25">
      <c r="A850" s="213"/>
      <c r="B850" s="213"/>
      <c r="C850" s="213"/>
      <c r="D850" s="213"/>
      <c r="E850" s="213"/>
      <c r="F850" s="213"/>
      <c r="G850" s="213"/>
      <c r="H850" s="213"/>
      <c r="I850" s="213"/>
      <c r="J850" s="213"/>
      <c r="K850" s="213"/>
      <c r="L850" s="213"/>
      <c r="M850" s="213"/>
      <c r="N850" s="213"/>
      <c r="O850" s="213"/>
      <c r="P850" s="213"/>
      <c r="Q850" s="213"/>
      <c r="R850" s="213"/>
      <c r="S850" s="213"/>
      <c r="T850" s="213"/>
      <c r="U850" s="213"/>
      <c r="V850" s="213"/>
      <c r="W850" s="213"/>
      <c r="X850" s="213"/>
      <c r="Y850" s="213"/>
      <c r="Z850" s="213"/>
    </row>
    <row r="851" spans="1:26" ht="14.25">
      <c r="A851" s="213"/>
      <c r="B851" s="213"/>
      <c r="C851" s="213"/>
      <c r="D851" s="213"/>
      <c r="E851" s="213"/>
      <c r="F851" s="213"/>
      <c r="G851" s="213"/>
      <c r="H851" s="213"/>
      <c r="I851" s="213"/>
      <c r="J851" s="213"/>
      <c r="K851" s="213"/>
      <c r="L851" s="213"/>
      <c r="M851" s="213"/>
      <c r="N851" s="213"/>
      <c r="O851" s="213"/>
      <c r="P851" s="213"/>
      <c r="Q851" s="213"/>
      <c r="R851" s="213"/>
      <c r="S851" s="213"/>
      <c r="T851" s="213"/>
      <c r="U851" s="213"/>
      <c r="V851" s="213"/>
      <c r="W851" s="213"/>
      <c r="X851" s="213"/>
      <c r="Y851" s="213"/>
      <c r="Z851" s="213"/>
    </row>
    <row r="852" spans="1:26" ht="14.25">
      <c r="A852" s="213"/>
      <c r="B852" s="213"/>
      <c r="C852" s="213"/>
      <c r="D852" s="213"/>
      <c r="E852" s="213"/>
      <c r="F852" s="213"/>
      <c r="G852" s="213"/>
      <c r="H852" s="213"/>
      <c r="I852" s="213"/>
      <c r="J852" s="213"/>
      <c r="K852" s="213"/>
      <c r="L852" s="213"/>
      <c r="M852" s="213"/>
      <c r="N852" s="213"/>
      <c r="O852" s="213"/>
      <c r="P852" s="213"/>
      <c r="Q852" s="213"/>
      <c r="R852" s="213"/>
      <c r="S852" s="213"/>
      <c r="T852" s="213"/>
      <c r="U852" s="213"/>
      <c r="V852" s="213"/>
      <c r="W852" s="213"/>
      <c r="X852" s="213"/>
      <c r="Y852" s="213"/>
      <c r="Z852" s="213"/>
    </row>
    <row r="853" spans="1:26" ht="14.25">
      <c r="A853" s="213"/>
      <c r="B853" s="213"/>
      <c r="C853" s="213"/>
      <c r="D853" s="213"/>
      <c r="E853" s="213"/>
      <c r="F853" s="213"/>
      <c r="G853" s="213"/>
      <c r="H853" s="213"/>
      <c r="I853" s="213"/>
      <c r="J853" s="213"/>
      <c r="K853" s="213"/>
      <c r="L853" s="213"/>
      <c r="M853" s="213"/>
      <c r="N853" s="213"/>
      <c r="O853" s="213"/>
      <c r="P853" s="213"/>
      <c r="Q853" s="213"/>
      <c r="R853" s="213"/>
      <c r="S853" s="213"/>
      <c r="T853" s="213"/>
      <c r="U853" s="213"/>
      <c r="V853" s="213"/>
      <c r="W853" s="213"/>
      <c r="X853" s="213"/>
      <c r="Y853" s="213"/>
      <c r="Z853" s="213"/>
    </row>
    <row r="854" spans="1:26" ht="14.25">
      <c r="A854" s="213"/>
      <c r="B854" s="213"/>
      <c r="C854" s="213"/>
      <c r="D854" s="213"/>
      <c r="E854" s="213"/>
      <c r="F854" s="213"/>
      <c r="G854" s="213"/>
      <c r="H854" s="213"/>
      <c r="I854" s="213"/>
      <c r="J854" s="213"/>
      <c r="K854" s="213"/>
      <c r="L854" s="213"/>
      <c r="M854" s="213"/>
      <c r="N854" s="213"/>
      <c r="O854" s="213"/>
      <c r="P854" s="213"/>
      <c r="Q854" s="213"/>
      <c r="R854" s="213"/>
      <c r="S854" s="213"/>
      <c r="T854" s="213"/>
      <c r="U854" s="213"/>
      <c r="V854" s="213"/>
      <c r="W854" s="213"/>
      <c r="X854" s="213"/>
      <c r="Y854" s="213"/>
      <c r="Z854" s="213"/>
    </row>
    <row r="855" spans="1:26" ht="14.25">
      <c r="A855" s="213"/>
      <c r="B855" s="213"/>
      <c r="C855" s="213"/>
      <c r="D855" s="213"/>
      <c r="E855" s="213"/>
      <c r="F855" s="213"/>
      <c r="G855" s="213"/>
      <c r="H855" s="213"/>
      <c r="I855" s="213"/>
      <c r="J855" s="213"/>
      <c r="K855" s="213"/>
      <c r="L855" s="213"/>
      <c r="M855" s="213"/>
      <c r="N855" s="213"/>
      <c r="O855" s="213"/>
      <c r="P855" s="213"/>
      <c r="Q855" s="213"/>
      <c r="R855" s="213"/>
      <c r="S855" s="213"/>
      <c r="T855" s="213"/>
      <c r="U855" s="213"/>
      <c r="V855" s="213"/>
      <c r="W855" s="213"/>
      <c r="X855" s="213"/>
      <c r="Y855" s="213"/>
      <c r="Z855" s="213"/>
    </row>
    <row r="856" spans="1:26" ht="14.25">
      <c r="A856" s="213"/>
      <c r="B856" s="213"/>
      <c r="C856" s="213"/>
      <c r="D856" s="213"/>
      <c r="E856" s="213"/>
      <c r="F856" s="213"/>
      <c r="G856" s="213"/>
      <c r="H856" s="213"/>
      <c r="I856" s="213"/>
      <c r="J856" s="213"/>
      <c r="K856" s="213"/>
      <c r="L856" s="213"/>
      <c r="M856" s="213"/>
      <c r="N856" s="213"/>
      <c r="O856" s="213"/>
      <c r="P856" s="213"/>
      <c r="Q856" s="213"/>
      <c r="R856" s="213"/>
      <c r="S856" s="213"/>
      <c r="T856" s="213"/>
      <c r="U856" s="213"/>
      <c r="V856" s="213"/>
      <c r="W856" s="213"/>
      <c r="X856" s="213"/>
      <c r="Y856" s="213"/>
      <c r="Z856" s="213"/>
    </row>
    <row r="857" spans="1:26" ht="14.25">
      <c r="A857" s="213"/>
      <c r="B857" s="213"/>
      <c r="C857" s="213"/>
      <c r="D857" s="213"/>
      <c r="E857" s="213"/>
      <c r="F857" s="213"/>
      <c r="G857" s="213"/>
      <c r="H857" s="213"/>
      <c r="I857" s="213"/>
      <c r="J857" s="213"/>
      <c r="K857" s="213"/>
      <c r="L857" s="213"/>
      <c r="M857" s="213"/>
      <c r="N857" s="213"/>
      <c r="O857" s="213"/>
      <c r="P857" s="213"/>
      <c r="Q857" s="213"/>
      <c r="R857" s="213"/>
      <c r="S857" s="213"/>
      <c r="T857" s="213"/>
      <c r="U857" s="213"/>
      <c r="V857" s="213"/>
      <c r="W857" s="213"/>
      <c r="X857" s="213"/>
      <c r="Y857" s="213"/>
      <c r="Z857" s="213"/>
    </row>
    <row r="858" spans="1:26" ht="14.25">
      <c r="A858" s="213"/>
      <c r="B858" s="213"/>
      <c r="C858" s="213"/>
      <c r="D858" s="213"/>
      <c r="E858" s="213"/>
      <c r="F858" s="213"/>
      <c r="G858" s="213"/>
      <c r="H858" s="213"/>
      <c r="I858" s="213"/>
      <c r="J858" s="213"/>
      <c r="K858" s="213"/>
      <c r="L858" s="213"/>
      <c r="M858" s="213"/>
      <c r="N858" s="213"/>
      <c r="O858" s="213"/>
      <c r="P858" s="213"/>
      <c r="Q858" s="213"/>
      <c r="R858" s="213"/>
      <c r="S858" s="213"/>
      <c r="T858" s="213"/>
      <c r="U858" s="213"/>
      <c r="V858" s="213"/>
      <c r="W858" s="213"/>
      <c r="X858" s="213"/>
      <c r="Y858" s="213"/>
      <c r="Z858" s="213"/>
    </row>
    <row r="859" spans="1:26" ht="14.25">
      <c r="A859" s="213"/>
      <c r="B859" s="213"/>
      <c r="C859" s="213"/>
      <c r="D859" s="213"/>
      <c r="E859" s="213"/>
      <c r="F859" s="213"/>
      <c r="G859" s="213"/>
      <c r="H859" s="213"/>
      <c r="I859" s="213"/>
      <c r="J859" s="213"/>
      <c r="K859" s="213"/>
      <c r="L859" s="213"/>
      <c r="M859" s="213"/>
      <c r="N859" s="213"/>
      <c r="O859" s="213"/>
      <c r="P859" s="213"/>
      <c r="Q859" s="213"/>
      <c r="R859" s="213"/>
      <c r="S859" s="213"/>
      <c r="T859" s="213"/>
      <c r="U859" s="213"/>
      <c r="V859" s="213"/>
      <c r="W859" s="213"/>
      <c r="X859" s="213"/>
      <c r="Y859" s="213"/>
      <c r="Z859" s="213"/>
    </row>
    <row r="860" spans="1:26" ht="14.25">
      <c r="A860" s="213"/>
      <c r="B860" s="213"/>
      <c r="C860" s="213"/>
      <c r="D860" s="213"/>
      <c r="E860" s="213"/>
      <c r="F860" s="213"/>
      <c r="G860" s="213"/>
      <c r="H860" s="213"/>
      <c r="I860" s="213"/>
      <c r="J860" s="213"/>
      <c r="K860" s="213"/>
      <c r="L860" s="213"/>
      <c r="M860" s="213"/>
      <c r="N860" s="213"/>
      <c r="O860" s="213"/>
      <c r="P860" s="213"/>
      <c r="Q860" s="213"/>
      <c r="R860" s="213"/>
      <c r="S860" s="213"/>
      <c r="T860" s="213"/>
      <c r="U860" s="213"/>
      <c r="V860" s="213"/>
      <c r="W860" s="213"/>
      <c r="X860" s="213"/>
      <c r="Y860" s="213"/>
      <c r="Z860" s="213"/>
    </row>
    <row r="861" spans="1:26" ht="14.25">
      <c r="A861" s="213"/>
      <c r="B861" s="213"/>
      <c r="C861" s="213"/>
      <c r="D861" s="213"/>
      <c r="E861" s="213"/>
      <c r="F861" s="213"/>
      <c r="G861" s="213"/>
      <c r="H861" s="213"/>
      <c r="I861" s="213"/>
      <c r="J861" s="213"/>
      <c r="K861" s="213"/>
      <c r="L861" s="213"/>
      <c r="M861" s="213"/>
      <c r="N861" s="213"/>
      <c r="O861" s="213"/>
      <c r="P861" s="213"/>
      <c r="Q861" s="213"/>
      <c r="R861" s="213"/>
      <c r="S861" s="213"/>
      <c r="T861" s="213"/>
      <c r="U861" s="213"/>
      <c r="V861" s="213"/>
      <c r="W861" s="213"/>
      <c r="X861" s="213"/>
      <c r="Y861" s="213"/>
      <c r="Z861" s="213"/>
    </row>
    <row r="862" spans="1:26" ht="14.25">
      <c r="A862" s="213"/>
      <c r="B862" s="213"/>
      <c r="C862" s="213"/>
      <c r="D862" s="213"/>
      <c r="E862" s="213"/>
      <c r="F862" s="213"/>
      <c r="G862" s="213"/>
      <c r="H862" s="213"/>
      <c r="I862" s="213"/>
      <c r="J862" s="213"/>
      <c r="K862" s="213"/>
      <c r="L862" s="213"/>
      <c r="M862" s="213"/>
      <c r="N862" s="213"/>
      <c r="O862" s="213"/>
      <c r="P862" s="213"/>
      <c r="Q862" s="213"/>
      <c r="R862" s="213"/>
      <c r="S862" s="213"/>
      <c r="T862" s="213"/>
      <c r="U862" s="213"/>
      <c r="V862" s="213"/>
      <c r="W862" s="213"/>
      <c r="X862" s="213"/>
      <c r="Y862" s="213"/>
      <c r="Z862" s="213"/>
    </row>
    <row r="863" spans="1:26" ht="14.25">
      <c r="A863" s="213"/>
      <c r="B863" s="213"/>
      <c r="C863" s="213"/>
      <c r="D863" s="213"/>
      <c r="E863" s="213"/>
      <c r="F863" s="213"/>
      <c r="G863" s="213"/>
      <c r="H863" s="213"/>
      <c r="I863" s="213"/>
      <c r="J863" s="213"/>
      <c r="K863" s="213"/>
      <c r="L863" s="213"/>
      <c r="M863" s="213"/>
      <c r="N863" s="213"/>
      <c r="O863" s="213"/>
      <c r="P863" s="213"/>
      <c r="Q863" s="213"/>
      <c r="R863" s="213"/>
      <c r="S863" s="213"/>
      <c r="T863" s="213"/>
      <c r="U863" s="213"/>
      <c r="V863" s="213"/>
      <c r="W863" s="213"/>
      <c r="X863" s="213"/>
      <c r="Y863" s="213"/>
      <c r="Z863" s="213"/>
    </row>
    <row r="864" spans="1:26" ht="14.25">
      <c r="A864" s="213"/>
      <c r="B864" s="213"/>
      <c r="C864" s="213"/>
      <c r="D864" s="213"/>
      <c r="E864" s="213"/>
      <c r="F864" s="213"/>
      <c r="G864" s="213"/>
      <c r="H864" s="213"/>
      <c r="I864" s="213"/>
      <c r="J864" s="213"/>
      <c r="K864" s="213"/>
      <c r="L864" s="213"/>
      <c r="M864" s="213"/>
      <c r="N864" s="213"/>
      <c r="O864" s="213"/>
      <c r="P864" s="213"/>
      <c r="Q864" s="213"/>
      <c r="R864" s="213"/>
      <c r="S864" s="213"/>
      <c r="T864" s="213"/>
      <c r="U864" s="213"/>
      <c r="V864" s="213"/>
      <c r="W864" s="213"/>
      <c r="X864" s="213"/>
      <c r="Y864" s="213"/>
      <c r="Z864" s="213"/>
    </row>
    <row r="865" spans="1:26" ht="14.25">
      <c r="A865" s="213"/>
      <c r="B865" s="213"/>
      <c r="C865" s="213"/>
      <c r="D865" s="213"/>
      <c r="E865" s="213"/>
      <c r="F865" s="213"/>
      <c r="G865" s="213"/>
      <c r="H865" s="213"/>
      <c r="I865" s="213"/>
      <c r="J865" s="213"/>
      <c r="K865" s="213"/>
      <c r="L865" s="213"/>
      <c r="M865" s="213"/>
      <c r="N865" s="213"/>
      <c r="O865" s="213"/>
      <c r="P865" s="213"/>
      <c r="Q865" s="213"/>
      <c r="R865" s="213"/>
      <c r="S865" s="213"/>
      <c r="T865" s="213"/>
      <c r="U865" s="213"/>
      <c r="V865" s="213"/>
      <c r="W865" s="213"/>
      <c r="X865" s="213"/>
      <c r="Y865" s="213"/>
      <c r="Z865" s="213"/>
    </row>
    <row r="866" spans="1:26" ht="14.25">
      <c r="A866" s="213"/>
      <c r="B866" s="213"/>
      <c r="C866" s="213"/>
      <c r="D866" s="213"/>
      <c r="E866" s="213"/>
      <c r="F866" s="213"/>
      <c r="G866" s="213"/>
      <c r="H866" s="213"/>
      <c r="I866" s="213"/>
      <c r="J866" s="213"/>
      <c r="K866" s="213"/>
      <c r="L866" s="213"/>
      <c r="M866" s="213"/>
      <c r="N866" s="213"/>
      <c r="O866" s="213"/>
      <c r="P866" s="213"/>
      <c r="Q866" s="213"/>
      <c r="R866" s="213"/>
      <c r="S866" s="213"/>
      <c r="T866" s="213"/>
      <c r="U866" s="213"/>
      <c r="V866" s="213"/>
      <c r="W866" s="213"/>
      <c r="X866" s="213"/>
      <c r="Y866" s="213"/>
      <c r="Z866" s="213"/>
    </row>
    <row r="867" spans="1:26" ht="14.25">
      <c r="A867" s="213"/>
      <c r="B867" s="213"/>
      <c r="C867" s="213"/>
      <c r="D867" s="213"/>
      <c r="E867" s="213"/>
      <c r="F867" s="213"/>
      <c r="G867" s="213"/>
      <c r="H867" s="213"/>
      <c r="I867" s="213"/>
      <c r="J867" s="213"/>
      <c r="K867" s="213"/>
      <c r="L867" s="213"/>
      <c r="M867" s="213"/>
      <c r="N867" s="213"/>
      <c r="O867" s="213"/>
      <c r="P867" s="213"/>
      <c r="Q867" s="213"/>
      <c r="R867" s="213"/>
      <c r="S867" s="213"/>
      <c r="T867" s="213"/>
      <c r="U867" s="213"/>
      <c r="V867" s="213"/>
      <c r="W867" s="213"/>
      <c r="X867" s="213"/>
      <c r="Y867" s="213"/>
      <c r="Z867" s="213"/>
    </row>
    <row r="868" spans="1:26" ht="14.25">
      <c r="A868" s="213"/>
      <c r="B868" s="213"/>
      <c r="C868" s="213"/>
      <c r="D868" s="213"/>
      <c r="E868" s="213"/>
      <c r="F868" s="213"/>
      <c r="G868" s="213"/>
      <c r="H868" s="213"/>
      <c r="I868" s="213"/>
      <c r="J868" s="213"/>
      <c r="K868" s="213"/>
      <c r="L868" s="213"/>
      <c r="M868" s="213"/>
      <c r="N868" s="213"/>
      <c r="O868" s="213"/>
      <c r="P868" s="213"/>
      <c r="Q868" s="213"/>
      <c r="R868" s="213"/>
      <c r="S868" s="213"/>
      <c r="T868" s="213"/>
      <c r="U868" s="213"/>
      <c r="V868" s="213"/>
      <c r="W868" s="213"/>
      <c r="X868" s="213"/>
      <c r="Y868" s="213"/>
      <c r="Z868" s="213"/>
    </row>
    <row r="869" spans="1:26" ht="14.25">
      <c r="A869" s="213"/>
      <c r="B869" s="213"/>
      <c r="C869" s="213"/>
      <c r="D869" s="213"/>
      <c r="E869" s="213"/>
      <c r="F869" s="213"/>
      <c r="G869" s="213"/>
      <c r="H869" s="213"/>
      <c r="I869" s="213"/>
      <c r="J869" s="213"/>
      <c r="K869" s="213"/>
      <c r="L869" s="213"/>
      <c r="M869" s="213"/>
      <c r="N869" s="213"/>
      <c r="O869" s="213"/>
      <c r="P869" s="213"/>
      <c r="Q869" s="213"/>
      <c r="R869" s="213"/>
      <c r="S869" s="213"/>
      <c r="T869" s="213"/>
      <c r="U869" s="213"/>
      <c r="V869" s="213"/>
      <c r="W869" s="213"/>
      <c r="X869" s="213"/>
      <c r="Y869" s="213"/>
      <c r="Z869" s="213"/>
    </row>
    <row r="870" spans="1:26" ht="14.25">
      <c r="A870" s="213"/>
      <c r="B870" s="213"/>
      <c r="C870" s="213"/>
      <c r="D870" s="213"/>
      <c r="E870" s="213"/>
      <c r="F870" s="213"/>
      <c r="G870" s="213"/>
      <c r="H870" s="213"/>
      <c r="I870" s="213"/>
      <c r="J870" s="213"/>
      <c r="K870" s="213"/>
      <c r="L870" s="213"/>
      <c r="M870" s="213"/>
      <c r="N870" s="213"/>
      <c r="O870" s="213"/>
      <c r="P870" s="213"/>
      <c r="Q870" s="213"/>
      <c r="R870" s="213"/>
      <c r="S870" s="213"/>
      <c r="T870" s="213"/>
      <c r="U870" s="213"/>
      <c r="V870" s="213"/>
      <c r="W870" s="213"/>
      <c r="X870" s="213"/>
      <c r="Y870" s="213"/>
      <c r="Z870" s="213"/>
    </row>
    <row r="871" spans="1:26" ht="14.25">
      <c r="A871" s="213"/>
      <c r="B871" s="213"/>
      <c r="C871" s="213"/>
      <c r="D871" s="213"/>
      <c r="E871" s="213"/>
      <c r="F871" s="213"/>
      <c r="G871" s="213"/>
      <c r="H871" s="213"/>
      <c r="I871" s="213"/>
      <c r="J871" s="213"/>
      <c r="K871" s="213"/>
      <c r="L871" s="213"/>
      <c r="M871" s="213"/>
      <c r="N871" s="213"/>
      <c r="O871" s="213"/>
      <c r="P871" s="213"/>
      <c r="Q871" s="213"/>
      <c r="R871" s="213"/>
      <c r="S871" s="213"/>
      <c r="T871" s="213"/>
      <c r="U871" s="213"/>
      <c r="V871" s="213"/>
      <c r="W871" s="213"/>
      <c r="X871" s="213"/>
      <c r="Y871" s="213"/>
      <c r="Z871" s="213"/>
    </row>
    <row r="872" spans="1:26" ht="14.25">
      <c r="A872" s="213"/>
      <c r="B872" s="213"/>
      <c r="C872" s="213"/>
      <c r="D872" s="213"/>
      <c r="E872" s="213"/>
      <c r="F872" s="213"/>
      <c r="G872" s="213"/>
      <c r="H872" s="213"/>
      <c r="I872" s="213"/>
      <c r="J872" s="213"/>
      <c r="K872" s="213"/>
      <c r="L872" s="213"/>
      <c r="M872" s="213"/>
      <c r="N872" s="213"/>
      <c r="O872" s="213"/>
      <c r="P872" s="213"/>
      <c r="Q872" s="213"/>
      <c r="R872" s="213"/>
      <c r="S872" s="213"/>
      <c r="T872" s="213"/>
      <c r="U872" s="213"/>
      <c r="V872" s="213"/>
      <c r="W872" s="213"/>
      <c r="X872" s="213"/>
      <c r="Y872" s="213"/>
      <c r="Z872" s="213"/>
    </row>
    <row r="873" spans="1:26" ht="14.25">
      <c r="A873" s="213"/>
      <c r="B873" s="213"/>
      <c r="C873" s="213"/>
      <c r="D873" s="213"/>
      <c r="E873" s="213"/>
      <c r="F873" s="213"/>
      <c r="G873" s="213"/>
      <c r="H873" s="213"/>
      <c r="I873" s="213"/>
      <c r="J873" s="213"/>
      <c r="K873" s="213"/>
      <c r="L873" s="213"/>
      <c r="M873" s="213"/>
      <c r="N873" s="213"/>
      <c r="O873" s="213"/>
      <c r="P873" s="213"/>
      <c r="Q873" s="213"/>
      <c r="R873" s="213"/>
      <c r="S873" s="213"/>
      <c r="T873" s="213"/>
      <c r="U873" s="213"/>
      <c r="V873" s="213"/>
      <c r="W873" s="213"/>
      <c r="X873" s="213"/>
      <c r="Y873" s="213"/>
      <c r="Z873" s="213"/>
    </row>
    <row r="874" spans="1:26" ht="14.25">
      <c r="A874" s="213"/>
      <c r="B874" s="213"/>
      <c r="C874" s="213"/>
      <c r="D874" s="213"/>
      <c r="E874" s="213"/>
      <c r="F874" s="213"/>
      <c r="G874" s="213"/>
      <c r="H874" s="213"/>
      <c r="I874" s="213"/>
      <c r="J874" s="213"/>
      <c r="K874" s="213"/>
      <c r="L874" s="213"/>
      <c r="M874" s="213"/>
      <c r="N874" s="213"/>
      <c r="O874" s="213"/>
      <c r="P874" s="213"/>
      <c r="Q874" s="213"/>
      <c r="R874" s="213"/>
      <c r="S874" s="213"/>
      <c r="T874" s="213"/>
      <c r="U874" s="213"/>
      <c r="V874" s="213"/>
      <c r="W874" s="213"/>
      <c r="X874" s="213"/>
      <c r="Y874" s="213"/>
      <c r="Z874" s="213"/>
    </row>
    <row r="875" spans="1:26" ht="14.25">
      <c r="A875" s="213"/>
      <c r="B875" s="213"/>
      <c r="C875" s="213"/>
      <c r="D875" s="213"/>
      <c r="E875" s="213"/>
      <c r="F875" s="213"/>
      <c r="G875" s="213"/>
      <c r="H875" s="213"/>
      <c r="I875" s="213"/>
      <c r="J875" s="213"/>
      <c r="K875" s="213"/>
      <c r="L875" s="213"/>
      <c r="M875" s="213"/>
      <c r="N875" s="213"/>
      <c r="O875" s="213"/>
      <c r="P875" s="213"/>
      <c r="Q875" s="213"/>
      <c r="R875" s="213"/>
      <c r="S875" s="213"/>
      <c r="T875" s="213"/>
      <c r="U875" s="213"/>
      <c r="V875" s="213"/>
      <c r="W875" s="213"/>
      <c r="X875" s="213"/>
      <c r="Y875" s="213"/>
      <c r="Z875" s="213"/>
    </row>
    <row r="876" spans="1:26" ht="14.25">
      <c r="A876" s="213"/>
      <c r="B876" s="213"/>
      <c r="C876" s="213"/>
      <c r="D876" s="213"/>
      <c r="E876" s="213"/>
      <c r="F876" s="213"/>
      <c r="G876" s="213"/>
      <c r="H876" s="213"/>
      <c r="I876" s="213"/>
      <c r="J876" s="213"/>
      <c r="K876" s="213"/>
      <c r="L876" s="213"/>
      <c r="M876" s="213"/>
      <c r="N876" s="213"/>
      <c r="O876" s="213"/>
      <c r="P876" s="213"/>
      <c r="Q876" s="213"/>
      <c r="R876" s="213"/>
      <c r="S876" s="213"/>
      <c r="T876" s="213"/>
      <c r="U876" s="213"/>
      <c r="V876" s="213"/>
      <c r="W876" s="213"/>
      <c r="X876" s="213"/>
      <c r="Y876" s="213"/>
      <c r="Z876" s="213"/>
    </row>
    <row r="877" spans="1:26" ht="14.25">
      <c r="A877" s="213"/>
      <c r="B877" s="213"/>
      <c r="C877" s="213"/>
      <c r="D877" s="213"/>
      <c r="E877" s="213"/>
      <c r="F877" s="213"/>
      <c r="G877" s="213"/>
      <c r="H877" s="213"/>
      <c r="I877" s="213"/>
      <c r="J877" s="213"/>
      <c r="K877" s="213"/>
      <c r="L877" s="213"/>
      <c r="M877" s="213"/>
      <c r="N877" s="213"/>
      <c r="O877" s="213"/>
      <c r="P877" s="213"/>
      <c r="Q877" s="213"/>
      <c r="R877" s="213"/>
      <c r="S877" s="213"/>
      <c r="T877" s="213"/>
      <c r="U877" s="213"/>
      <c r="V877" s="213"/>
      <c r="W877" s="213"/>
      <c r="X877" s="213"/>
      <c r="Y877" s="213"/>
      <c r="Z877" s="213"/>
    </row>
    <row r="878" spans="1:26" ht="14.25">
      <c r="A878" s="213"/>
      <c r="B878" s="213"/>
      <c r="C878" s="213"/>
      <c r="D878" s="213"/>
      <c r="E878" s="213"/>
      <c r="F878" s="213"/>
      <c r="G878" s="213"/>
      <c r="H878" s="213"/>
      <c r="I878" s="213"/>
      <c r="J878" s="213"/>
      <c r="K878" s="213"/>
      <c r="L878" s="213"/>
      <c r="M878" s="213"/>
      <c r="N878" s="213"/>
      <c r="O878" s="213"/>
      <c r="P878" s="213"/>
      <c r="Q878" s="213"/>
      <c r="R878" s="213"/>
      <c r="S878" s="213"/>
      <c r="T878" s="213"/>
      <c r="U878" s="213"/>
      <c r="V878" s="213"/>
      <c r="W878" s="213"/>
      <c r="X878" s="213"/>
      <c r="Y878" s="213"/>
      <c r="Z878" s="213"/>
    </row>
    <row r="879" spans="1:26" ht="14.25">
      <c r="A879" s="213"/>
      <c r="B879" s="213"/>
      <c r="C879" s="213"/>
      <c r="D879" s="213"/>
      <c r="E879" s="213"/>
      <c r="F879" s="213"/>
      <c r="G879" s="213"/>
      <c r="H879" s="213"/>
      <c r="I879" s="213"/>
      <c r="J879" s="213"/>
      <c r="K879" s="213"/>
      <c r="L879" s="213"/>
      <c r="M879" s="213"/>
      <c r="N879" s="213"/>
      <c r="O879" s="213"/>
      <c r="P879" s="213"/>
      <c r="Q879" s="213"/>
      <c r="R879" s="213"/>
      <c r="S879" s="213"/>
      <c r="T879" s="213"/>
      <c r="U879" s="213"/>
      <c r="V879" s="213"/>
      <c r="W879" s="213"/>
      <c r="X879" s="213"/>
      <c r="Y879" s="213"/>
      <c r="Z879" s="213"/>
    </row>
    <row r="880" spans="1:26" ht="14.25">
      <c r="A880" s="213"/>
      <c r="B880" s="213"/>
      <c r="C880" s="213"/>
      <c r="D880" s="213"/>
      <c r="E880" s="213"/>
      <c r="F880" s="213"/>
      <c r="G880" s="213"/>
      <c r="H880" s="213"/>
      <c r="I880" s="213"/>
      <c r="J880" s="213"/>
      <c r="K880" s="213"/>
      <c r="L880" s="213"/>
      <c r="M880" s="213"/>
      <c r="N880" s="213"/>
      <c r="O880" s="213"/>
      <c r="P880" s="213"/>
      <c r="Q880" s="213"/>
      <c r="R880" s="213"/>
      <c r="S880" s="213"/>
      <c r="T880" s="213"/>
      <c r="U880" s="213"/>
      <c r="V880" s="213"/>
      <c r="W880" s="213"/>
      <c r="X880" s="213"/>
      <c r="Y880" s="213"/>
      <c r="Z880" s="213"/>
    </row>
    <row r="881" spans="1:26" ht="14.25">
      <c r="A881" s="213"/>
      <c r="B881" s="213"/>
      <c r="C881" s="213"/>
      <c r="D881" s="213"/>
      <c r="E881" s="213"/>
      <c r="F881" s="213"/>
      <c r="G881" s="213"/>
      <c r="H881" s="213"/>
      <c r="I881" s="213"/>
      <c r="J881" s="213"/>
      <c r="K881" s="213"/>
      <c r="L881" s="213"/>
      <c r="M881" s="213"/>
      <c r="N881" s="213"/>
      <c r="O881" s="213"/>
      <c r="P881" s="213"/>
      <c r="Q881" s="213"/>
      <c r="R881" s="213"/>
      <c r="S881" s="213"/>
      <c r="T881" s="213"/>
      <c r="U881" s="213"/>
      <c r="V881" s="213"/>
      <c r="W881" s="213"/>
      <c r="X881" s="213"/>
      <c r="Y881" s="213"/>
      <c r="Z881" s="213"/>
    </row>
    <row r="882" spans="1:26" ht="14.25">
      <c r="A882" s="213"/>
      <c r="B882" s="213"/>
      <c r="C882" s="213"/>
      <c r="D882" s="213"/>
      <c r="E882" s="213"/>
      <c r="F882" s="213"/>
      <c r="G882" s="213"/>
      <c r="H882" s="213"/>
      <c r="I882" s="213"/>
      <c r="J882" s="213"/>
      <c r="K882" s="213"/>
      <c r="L882" s="213"/>
      <c r="M882" s="213"/>
      <c r="N882" s="213"/>
      <c r="O882" s="213"/>
      <c r="P882" s="213"/>
      <c r="Q882" s="213"/>
      <c r="R882" s="213"/>
      <c r="S882" s="213"/>
      <c r="T882" s="213"/>
      <c r="U882" s="213"/>
      <c r="V882" s="213"/>
      <c r="W882" s="213"/>
      <c r="X882" s="213"/>
      <c r="Y882" s="213"/>
      <c r="Z882" s="213"/>
    </row>
    <row r="883" spans="1:26" ht="14.25">
      <c r="A883" s="213"/>
      <c r="B883" s="213"/>
      <c r="C883" s="213"/>
      <c r="D883" s="213"/>
      <c r="E883" s="213"/>
      <c r="F883" s="213"/>
      <c r="G883" s="213"/>
      <c r="H883" s="213"/>
      <c r="I883" s="213"/>
      <c r="J883" s="213"/>
      <c r="K883" s="213"/>
      <c r="L883" s="213"/>
      <c r="M883" s="213"/>
      <c r="N883" s="213"/>
      <c r="O883" s="213"/>
      <c r="P883" s="213"/>
      <c r="Q883" s="213"/>
      <c r="R883" s="213"/>
      <c r="S883" s="213"/>
      <c r="T883" s="213"/>
      <c r="U883" s="213"/>
      <c r="V883" s="213"/>
      <c r="W883" s="213"/>
      <c r="X883" s="213"/>
      <c r="Y883" s="213"/>
      <c r="Z883" s="213"/>
    </row>
    <row r="884" spans="1:26" ht="14.25">
      <c r="A884" s="213"/>
      <c r="B884" s="213"/>
      <c r="C884" s="213"/>
      <c r="D884" s="213"/>
      <c r="E884" s="213"/>
      <c r="F884" s="213"/>
      <c r="G884" s="213"/>
      <c r="H884" s="213"/>
      <c r="I884" s="213"/>
      <c r="J884" s="213"/>
      <c r="K884" s="213"/>
      <c r="L884" s="213"/>
      <c r="M884" s="213"/>
      <c r="N884" s="213"/>
      <c r="O884" s="213"/>
      <c r="P884" s="213"/>
      <c r="Q884" s="213"/>
      <c r="R884" s="213"/>
      <c r="S884" s="213"/>
      <c r="T884" s="213"/>
      <c r="U884" s="213"/>
      <c r="V884" s="213"/>
      <c r="W884" s="213"/>
      <c r="X884" s="213"/>
      <c r="Y884" s="213"/>
      <c r="Z884" s="213"/>
    </row>
    <row r="885" spans="1:26" ht="14.25">
      <c r="A885" s="213"/>
      <c r="B885" s="213"/>
      <c r="C885" s="213"/>
      <c r="D885" s="213"/>
      <c r="E885" s="213"/>
      <c r="F885" s="213"/>
      <c r="G885" s="213"/>
      <c r="H885" s="213"/>
      <c r="I885" s="213"/>
      <c r="J885" s="213"/>
      <c r="K885" s="213"/>
      <c r="L885" s="213"/>
      <c r="M885" s="213"/>
      <c r="N885" s="213"/>
      <c r="O885" s="213"/>
      <c r="P885" s="213"/>
      <c r="Q885" s="213"/>
      <c r="R885" s="213"/>
      <c r="S885" s="213"/>
      <c r="T885" s="213"/>
      <c r="U885" s="213"/>
      <c r="V885" s="213"/>
      <c r="W885" s="213"/>
      <c r="X885" s="213"/>
      <c r="Y885" s="213"/>
      <c r="Z885" s="213"/>
    </row>
    <row r="886" spans="1:26" ht="14.25">
      <c r="A886" s="213"/>
      <c r="B886" s="213"/>
      <c r="C886" s="213"/>
      <c r="D886" s="213"/>
      <c r="E886" s="213"/>
      <c r="F886" s="213"/>
      <c r="G886" s="213"/>
      <c r="H886" s="213"/>
      <c r="I886" s="213"/>
      <c r="J886" s="213"/>
      <c r="K886" s="213"/>
      <c r="L886" s="213"/>
      <c r="M886" s="213"/>
      <c r="N886" s="213"/>
      <c r="O886" s="213"/>
      <c r="P886" s="213"/>
      <c r="Q886" s="213"/>
      <c r="R886" s="213"/>
      <c r="S886" s="213"/>
      <c r="T886" s="213"/>
      <c r="U886" s="213"/>
      <c r="V886" s="213"/>
      <c r="W886" s="213"/>
      <c r="X886" s="213"/>
      <c r="Y886" s="213"/>
      <c r="Z886" s="213"/>
    </row>
    <row r="887" spans="1:26" ht="14.25">
      <c r="A887" s="213"/>
      <c r="B887" s="213"/>
      <c r="C887" s="213"/>
      <c r="D887" s="213"/>
      <c r="E887" s="213"/>
      <c r="F887" s="213"/>
      <c r="G887" s="213"/>
      <c r="H887" s="213"/>
      <c r="I887" s="213"/>
      <c r="J887" s="213"/>
      <c r="K887" s="213"/>
      <c r="L887" s="213"/>
      <c r="M887" s="213"/>
      <c r="N887" s="213"/>
      <c r="O887" s="213"/>
      <c r="P887" s="213"/>
      <c r="Q887" s="213"/>
      <c r="R887" s="213"/>
      <c r="S887" s="213"/>
      <c r="T887" s="213"/>
      <c r="U887" s="213"/>
      <c r="V887" s="213"/>
      <c r="W887" s="213"/>
      <c r="X887" s="213"/>
      <c r="Y887" s="213"/>
      <c r="Z887" s="213"/>
    </row>
    <row r="888" spans="1:26" ht="14.25">
      <c r="A888" s="213"/>
      <c r="B888" s="213"/>
      <c r="C888" s="213"/>
      <c r="D888" s="213"/>
      <c r="E888" s="213"/>
      <c r="F888" s="213"/>
      <c r="G888" s="213"/>
      <c r="H888" s="213"/>
      <c r="I888" s="213"/>
      <c r="J888" s="213"/>
      <c r="K888" s="213"/>
      <c r="L888" s="213"/>
      <c r="M888" s="213"/>
      <c r="N888" s="213"/>
      <c r="O888" s="213"/>
      <c r="P888" s="213"/>
      <c r="Q888" s="213"/>
      <c r="R888" s="213"/>
      <c r="S888" s="213"/>
      <c r="T888" s="213"/>
      <c r="U888" s="213"/>
      <c r="V888" s="213"/>
      <c r="W888" s="213"/>
      <c r="X888" s="213"/>
      <c r="Y888" s="213"/>
      <c r="Z888" s="213"/>
    </row>
    <row r="889" spans="1:26" ht="14.25">
      <c r="A889" s="213"/>
      <c r="B889" s="213"/>
      <c r="C889" s="213"/>
      <c r="D889" s="213"/>
      <c r="E889" s="213"/>
      <c r="F889" s="213"/>
      <c r="G889" s="213"/>
      <c r="H889" s="213"/>
      <c r="I889" s="213"/>
      <c r="J889" s="213"/>
      <c r="K889" s="213"/>
      <c r="L889" s="213"/>
      <c r="M889" s="213"/>
      <c r="N889" s="213"/>
      <c r="O889" s="213"/>
      <c r="P889" s="213"/>
      <c r="Q889" s="213"/>
      <c r="R889" s="213"/>
      <c r="S889" s="213"/>
      <c r="T889" s="213"/>
      <c r="U889" s="213"/>
      <c r="V889" s="213"/>
      <c r="W889" s="213"/>
      <c r="X889" s="213"/>
      <c r="Y889" s="213"/>
      <c r="Z889" s="213"/>
    </row>
    <row r="890" spans="1:26" ht="14.25">
      <c r="A890" s="213"/>
      <c r="B890" s="213"/>
      <c r="C890" s="213"/>
      <c r="D890" s="213"/>
      <c r="E890" s="213"/>
      <c r="F890" s="213"/>
      <c r="G890" s="213"/>
      <c r="H890" s="213"/>
      <c r="I890" s="213"/>
      <c r="J890" s="213"/>
      <c r="K890" s="213"/>
      <c r="L890" s="213"/>
      <c r="M890" s="213"/>
      <c r="N890" s="213"/>
      <c r="O890" s="213"/>
      <c r="P890" s="213"/>
      <c r="Q890" s="213"/>
      <c r="R890" s="213"/>
      <c r="S890" s="213"/>
      <c r="T890" s="213"/>
      <c r="U890" s="213"/>
      <c r="V890" s="213"/>
      <c r="W890" s="213"/>
      <c r="X890" s="213"/>
      <c r="Y890" s="213"/>
      <c r="Z890" s="213"/>
    </row>
    <row r="891" spans="1:26" ht="14.25">
      <c r="A891" s="213"/>
      <c r="B891" s="213"/>
      <c r="C891" s="213"/>
      <c r="D891" s="213"/>
      <c r="E891" s="213"/>
      <c r="F891" s="213"/>
      <c r="G891" s="213"/>
      <c r="H891" s="213"/>
      <c r="I891" s="213"/>
      <c r="J891" s="213"/>
      <c r="K891" s="213"/>
      <c r="L891" s="213"/>
      <c r="M891" s="213"/>
      <c r="N891" s="213"/>
      <c r="O891" s="213"/>
      <c r="P891" s="213"/>
      <c r="Q891" s="213"/>
      <c r="R891" s="213"/>
      <c r="S891" s="213"/>
      <c r="T891" s="213"/>
      <c r="U891" s="213"/>
      <c r="V891" s="213"/>
      <c r="W891" s="213"/>
      <c r="X891" s="213"/>
      <c r="Y891" s="213"/>
      <c r="Z891" s="213"/>
    </row>
    <row r="892" spans="1:26" ht="14.25">
      <c r="A892" s="213"/>
      <c r="B892" s="213"/>
      <c r="C892" s="213"/>
      <c r="D892" s="213"/>
      <c r="E892" s="213"/>
      <c r="F892" s="213"/>
      <c r="G892" s="213"/>
      <c r="H892" s="213"/>
      <c r="I892" s="213"/>
      <c r="J892" s="213"/>
      <c r="K892" s="213"/>
      <c r="L892" s="213"/>
      <c r="M892" s="213"/>
      <c r="N892" s="213"/>
      <c r="O892" s="213"/>
      <c r="P892" s="213"/>
      <c r="Q892" s="213"/>
      <c r="R892" s="213"/>
      <c r="S892" s="213"/>
      <c r="T892" s="213"/>
      <c r="U892" s="213"/>
      <c r="V892" s="213"/>
      <c r="W892" s="213"/>
      <c r="X892" s="213"/>
      <c r="Y892" s="213"/>
      <c r="Z892" s="213"/>
    </row>
    <row r="893" spans="1:26" ht="14.25">
      <c r="A893" s="213"/>
      <c r="B893" s="213"/>
      <c r="C893" s="213"/>
      <c r="D893" s="213"/>
      <c r="E893" s="213"/>
      <c r="F893" s="213"/>
      <c r="G893" s="213"/>
      <c r="H893" s="213"/>
      <c r="I893" s="213"/>
      <c r="J893" s="213"/>
      <c r="K893" s="213"/>
      <c r="L893" s="213"/>
      <c r="M893" s="213"/>
      <c r="N893" s="213"/>
      <c r="O893" s="213"/>
      <c r="P893" s="213"/>
      <c r="Q893" s="213"/>
      <c r="R893" s="213"/>
      <c r="S893" s="213"/>
      <c r="T893" s="213"/>
      <c r="U893" s="213"/>
      <c r="V893" s="213"/>
      <c r="W893" s="213"/>
      <c r="X893" s="213"/>
      <c r="Y893" s="213"/>
      <c r="Z893" s="213"/>
    </row>
    <row r="894" spans="1:26" ht="14.25">
      <c r="A894" s="213"/>
      <c r="B894" s="213"/>
      <c r="C894" s="213"/>
      <c r="D894" s="213"/>
      <c r="E894" s="213"/>
      <c r="F894" s="213"/>
      <c r="G894" s="213"/>
      <c r="H894" s="213"/>
      <c r="I894" s="213"/>
      <c r="J894" s="213"/>
      <c r="K894" s="213"/>
      <c r="L894" s="213"/>
      <c r="M894" s="213"/>
      <c r="N894" s="213"/>
      <c r="O894" s="213"/>
      <c r="P894" s="213"/>
      <c r="Q894" s="213"/>
      <c r="R894" s="213"/>
      <c r="S894" s="213"/>
      <c r="T894" s="213"/>
      <c r="U894" s="213"/>
      <c r="V894" s="213"/>
      <c r="W894" s="213"/>
      <c r="X894" s="213"/>
      <c r="Y894" s="213"/>
      <c r="Z894" s="213"/>
    </row>
    <row r="895" spans="1:26" ht="14.25">
      <c r="A895" s="213"/>
      <c r="B895" s="213"/>
      <c r="C895" s="213"/>
      <c r="D895" s="213"/>
      <c r="E895" s="213"/>
      <c r="F895" s="213"/>
      <c r="G895" s="213"/>
      <c r="H895" s="213"/>
      <c r="I895" s="213"/>
      <c r="J895" s="213"/>
      <c r="K895" s="213"/>
      <c r="L895" s="213"/>
      <c r="M895" s="213"/>
      <c r="N895" s="213"/>
      <c r="O895" s="213"/>
      <c r="P895" s="213"/>
      <c r="Q895" s="213"/>
      <c r="R895" s="213"/>
      <c r="S895" s="213"/>
      <c r="T895" s="213"/>
      <c r="U895" s="213"/>
      <c r="V895" s="213"/>
      <c r="W895" s="213"/>
      <c r="X895" s="213"/>
      <c r="Y895" s="213"/>
      <c r="Z895" s="213"/>
    </row>
    <row r="896" spans="1:26" ht="14.25">
      <c r="A896" s="213"/>
      <c r="B896" s="213"/>
      <c r="C896" s="213"/>
      <c r="D896" s="213"/>
      <c r="E896" s="213"/>
      <c r="F896" s="213"/>
      <c r="G896" s="213"/>
      <c r="H896" s="213"/>
      <c r="I896" s="213"/>
      <c r="J896" s="213"/>
      <c r="K896" s="213"/>
      <c r="L896" s="213"/>
      <c r="M896" s="213"/>
      <c r="N896" s="213"/>
      <c r="O896" s="213"/>
      <c r="P896" s="213"/>
      <c r="Q896" s="213"/>
      <c r="R896" s="213"/>
      <c r="S896" s="213"/>
      <c r="T896" s="213"/>
      <c r="U896" s="213"/>
      <c r="V896" s="213"/>
      <c r="W896" s="213"/>
      <c r="X896" s="213"/>
      <c r="Y896" s="213"/>
      <c r="Z896" s="213"/>
    </row>
    <row r="897" spans="1:26" ht="14.25">
      <c r="A897" s="213"/>
      <c r="B897" s="213"/>
      <c r="C897" s="213"/>
      <c r="D897" s="213"/>
      <c r="E897" s="213"/>
      <c r="F897" s="213"/>
      <c r="G897" s="213"/>
      <c r="H897" s="213"/>
      <c r="I897" s="213"/>
      <c r="J897" s="213"/>
      <c r="K897" s="213"/>
      <c r="L897" s="213"/>
      <c r="M897" s="213"/>
      <c r="N897" s="213"/>
      <c r="O897" s="213"/>
      <c r="P897" s="213"/>
      <c r="Q897" s="213"/>
      <c r="R897" s="213"/>
      <c r="S897" s="213"/>
      <c r="T897" s="213"/>
      <c r="U897" s="213"/>
      <c r="V897" s="213"/>
      <c r="W897" s="213"/>
      <c r="X897" s="213"/>
      <c r="Y897" s="213"/>
      <c r="Z897" s="213"/>
    </row>
    <row r="898" spans="1:26" ht="14.25">
      <c r="A898" s="213"/>
      <c r="B898" s="213"/>
      <c r="C898" s="213"/>
      <c r="D898" s="213"/>
      <c r="E898" s="213"/>
      <c r="F898" s="213"/>
      <c r="G898" s="213"/>
      <c r="H898" s="213"/>
      <c r="I898" s="213"/>
      <c r="J898" s="213"/>
      <c r="K898" s="213"/>
      <c r="L898" s="213"/>
      <c r="M898" s="213"/>
      <c r="N898" s="213"/>
      <c r="O898" s="213"/>
      <c r="P898" s="213"/>
      <c r="Q898" s="213"/>
      <c r="R898" s="213"/>
      <c r="S898" s="213"/>
      <c r="T898" s="213"/>
      <c r="U898" s="213"/>
      <c r="V898" s="213"/>
      <c r="W898" s="213"/>
      <c r="X898" s="213"/>
      <c r="Y898" s="213"/>
      <c r="Z898" s="213"/>
    </row>
    <row r="899" spans="1:26" ht="14.25">
      <c r="A899" s="213"/>
      <c r="B899" s="213"/>
      <c r="C899" s="213"/>
      <c r="D899" s="213"/>
      <c r="E899" s="213"/>
      <c r="F899" s="213"/>
      <c r="G899" s="213"/>
      <c r="H899" s="213"/>
      <c r="I899" s="213"/>
      <c r="J899" s="213"/>
      <c r="K899" s="213"/>
      <c r="L899" s="213"/>
      <c r="M899" s="213"/>
      <c r="N899" s="213"/>
      <c r="O899" s="213"/>
      <c r="P899" s="213"/>
      <c r="Q899" s="213"/>
      <c r="R899" s="213"/>
      <c r="S899" s="213"/>
      <c r="T899" s="213"/>
      <c r="U899" s="213"/>
      <c r="V899" s="213"/>
      <c r="W899" s="213"/>
      <c r="X899" s="213"/>
      <c r="Y899" s="213"/>
      <c r="Z899" s="213"/>
    </row>
    <row r="900" spans="1:26" ht="14.25">
      <c r="A900" s="213"/>
      <c r="B900" s="213"/>
      <c r="C900" s="213"/>
      <c r="D900" s="213"/>
      <c r="E900" s="213"/>
      <c r="F900" s="213"/>
      <c r="G900" s="213"/>
      <c r="H900" s="213"/>
      <c r="I900" s="213"/>
      <c r="J900" s="213"/>
      <c r="K900" s="213"/>
      <c r="L900" s="213"/>
      <c r="M900" s="213"/>
      <c r="N900" s="213"/>
      <c r="O900" s="213"/>
      <c r="P900" s="213"/>
      <c r="Q900" s="213"/>
      <c r="R900" s="213"/>
      <c r="S900" s="213"/>
      <c r="T900" s="213"/>
      <c r="U900" s="213"/>
      <c r="V900" s="213"/>
      <c r="W900" s="213"/>
      <c r="X900" s="213"/>
      <c r="Y900" s="213"/>
      <c r="Z900" s="213"/>
    </row>
    <row r="901" spans="1:26" ht="14.25">
      <c r="A901" s="213"/>
      <c r="B901" s="213"/>
      <c r="C901" s="213"/>
      <c r="D901" s="213"/>
      <c r="E901" s="213"/>
      <c r="F901" s="213"/>
      <c r="G901" s="213"/>
      <c r="H901" s="213"/>
      <c r="I901" s="213"/>
      <c r="J901" s="213"/>
      <c r="K901" s="213"/>
      <c r="L901" s="213"/>
      <c r="M901" s="213"/>
      <c r="N901" s="213"/>
      <c r="O901" s="213"/>
      <c r="P901" s="213"/>
      <c r="Q901" s="213"/>
      <c r="R901" s="213"/>
      <c r="S901" s="213"/>
      <c r="T901" s="213"/>
      <c r="U901" s="213"/>
      <c r="V901" s="213"/>
      <c r="W901" s="213"/>
      <c r="X901" s="213"/>
      <c r="Y901" s="213"/>
      <c r="Z901" s="213"/>
    </row>
    <row r="902" spans="1:26" ht="14.25">
      <c r="A902" s="213"/>
      <c r="B902" s="213"/>
      <c r="C902" s="213"/>
      <c r="D902" s="213"/>
      <c r="E902" s="213"/>
      <c r="F902" s="213"/>
      <c r="G902" s="213"/>
      <c r="H902" s="213"/>
      <c r="I902" s="213"/>
      <c r="J902" s="213"/>
      <c r="K902" s="213"/>
      <c r="L902" s="213"/>
      <c r="M902" s="213"/>
      <c r="N902" s="213"/>
      <c r="O902" s="213"/>
      <c r="P902" s="213"/>
      <c r="Q902" s="213"/>
      <c r="R902" s="213"/>
      <c r="S902" s="213"/>
      <c r="T902" s="213"/>
      <c r="U902" s="213"/>
      <c r="V902" s="213"/>
      <c r="W902" s="213"/>
      <c r="X902" s="213"/>
      <c r="Y902" s="213"/>
      <c r="Z902" s="213"/>
    </row>
    <row r="903" spans="1:26" ht="14.25">
      <c r="A903" s="213"/>
      <c r="B903" s="213"/>
      <c r="C903" s="213"/>
      <c r="D903" s="213"/>
      <c r="E903" s="213"/>
      <c r="F903" s="213"/>
      <c r="G903" s="213"/>
      <c r="H903" s="213"/>
      <c r="I903" s="213"/>
      <c r="J903" s="213"/>
      <c r="K903" s="213"/>
      <c r="L903" s="213"/>
      <c r="M903" s="213"/>
      <c r="N903" s="213"/>
      <c r="O903" s="213"/>
      <c r="P903" s="213"/>
      <c r="Q903" s="213"/>
      <c r="R903" s="213"/>
      <c r="S903" s="213"/>
      <c r="T903" s="213"/>
      <c r="U903" s="213"/>
      <c r="V903" s="213"/>
      <c r="W903" s="213"/>
      <c r="X903" s="213"/>
      <c r="Y903" s="213"/>
      <c r="Z903" s="213"/>
    </row>
    <row r="904" spans="1:26" ht="14.25">
      <c r="A904" s="213"/>
      <c r="B904" s="213"/>
      <c r="C904" s="213"/>
      <c r="D904" s="213"/>
      <c r="E904" s="213"/>
      <c r="F904" s="213"/>
      <c r="G904" s="213"/>
      <c r="H904" s="213"/>
      <c r="I904" s="213"/>
      <c r="J904" s="213"/>
      <c r="K904" s="213"/>
      <c r="L904" s="213"/>
      <c r="M904" s="213"/>
      <c r="N904" s="213"/>
      <c r="O904" s="213"/>
      <c r="P904" s="213"/>
      <c r="Q904" s="213"/>
      <c r="R904" s="213"/>
      <c r="S904" s="213"/>
      <c r="T904" s="213"/>
      <c r="U904" s="213"/>
      <c r="V904" s="213"/>
      <c r="W904" s="213"/>
      <c r="X904" s="213"/>
      <c r="Y904" s="213"/>
      <c r="Z904" s="213"/>
    </row>
    <row r="905" spans="1:26" ht="14.25">
      <c r="A905" s="213"/>
      <c r="B905" s="213"/>
      <c r="C905" s="213"/>
      <c r="D905" s="213"/>
      <c r="E905" s="213"/>
      <c r="F905" s="213"/>
      <c r="G905" s="213"/>
      <c r="H905" s="213"/>
      <c r="I905" s="213"/>
      <c r="J905" s="213"/>
      <c r="K905" s="213"/>
      <c r="L905" s="213"/>
      <c r="M905" s="213"/>
      <c r="N905" s="213"/>
      <c r="O905" s="213"/>
      <c r="P905" s="213"/>
      <c r="Q905" s="213"/>
      <c r="R905" s="213"/>
      <c r="S905" s="213"/>
      <c r="T905" s="213"/>
      <c r="U905" s="213"/>
      <c r="V905" s="213"/>
      <c r="W905" s="213"/>
      <c r="X905" s="213"/>
      <c r="Y905" s="213"/>
      <c r="Z905" s="213"/>
    </row>
    <row r="906" spans="1:26" ht="14.25">
      <c r="A906" s="213"/>
      <c r="B906" s="213"/>
      <c r="C906" s="213"/>
      <c r="D906" s="213"/>
      <c r="E906" s="213"/>
      <c r="F906" s="213"/>
      <c r="G906" s="213"/>
      <c r="H906" s="213"/>
      <c r="I906" s="213"/>
      <c r="J906" s="213"/>
      <c r="K906" s="213"/>
      <c r="L906" s="213"/>
      <c r="M906" s="213"/>
      <c r="N906" s="213"/>
      <c r="O906" s="213"/>
      <c r="P906" s="213"/>
      <c r="Q906" s="213"/>
      <c r="R906" s="213"/>
      <c r="S906" s="213"/>
      <c r="T906" s="213"/>
      <c r="U906" s="213"/>
      <c r="V906" s="213"/>
      <c r="W906" s="213"/>
      <c r="X906" s="213"/>
      <c r="Y906" s="213"/>
      <c r="Z906" s="213"/>
    </row>
    <row r="907" spans="1:26" ht="14.25">
      <c r="A907" s="213"/>
      <c r="B907" s="213"/>
      <c r="C907" s="213"/>
      <c r="D907" s="213"/>
      <c r="E907" s="213"/>
      <c r="F907" s="213"/>
      <c r="G907" s="213"/>
      <c r="H907" s="213"/>
      <c r="I907" s="213"/>
      <c r="J907" s="213"/>
      <c r="K907" s="213"/>
      <c r="L907" s="213"/>
      <c r="M907" s="213"/>
      <c r="N907" s="213"/>
      <c r="O907" s="213"/>
      <c r="P907" s="213"/>
      <c r="Q907" s="213"/>
      <c r="R907" s="213"/>
      <c r="S907" s="213"/>
      <c r="T907" s="213"/>
      <c r="U907" s="213"/>
      <c r="V907" s="213"/>
      <c r="W907" s="213"/>
      <c r="X907" s="213"/>
      <c r="Y907" s="213"/>
      <c r="Z907" s="213"/>
    </row>
    <row r="908" spans="1:26" ht="14.25">
      <c r="A908" s="213"/>
      <c r="B908" s="213"/>
      <c r="C908" s="213"/>
      <c r="D908" s="213"/>
      <c r="E908" s="213"/>
      <c r="F908" s="213"/>
      <c r="G908" s="213"/>
      <c r="H908" s="213"/>
      <c r="I908" s="213"/>
      <c r="J908" s="213"/>
      <c r="K908" s="213"/>
      <c r="L908" s="213"/>
      <c r="M908" s="213"/>
      <c r="N908" s="213"/>
      <c r="O908" s="213"/>
      <c r="P908" s="213"/>
      <c r="Q908" s="213"/>
      <c r="R908" s="213"/>
      <c r="S908" s="213"/>
      <c r="T908" s="213"/>
      <c r="U908" s="213"/>
      <c r="V908" s="213"/>
      <c r="W908" s="213"/>
      <c r="X908" s="213"/>
      <c r="Y908" s="213"/>
      <c r="Z908" s="213"/>
    </row>
    <row r="909" spans="1:26" ht="14.25">
      <c r="A909" s="213"/>
      <c r="B909" s="213"/>
      <c r="C909" s="213"/>
      <c r="D909" s="213"/>
      <c r="E909" s="213"/>
      <c r="F909" s="213"/>
      <c r="G909" s="213"/>
      <c r="H909" s="213"/>
      <c r="I909" s="213"/>
      <c r="J909" s="213"/>
      <c r="K909" s="213"/>
      <c r="L909" s="213"/>
      <c r="M909" s="213"/>
      <c r="N909" s="213"/>
      <c r="O909" s="213"/>
      <c r="P909" s="213"/>
      <c r="Q909" s="213"/>
      <c r="R909" s="213"/>
      <c r="S909" s="213"/>
      <c r="T909" s="213"/>
      <c r="U909" s="213"/>
      <c r="V909" s="213"/>
      <c r="W909" s="213"/>
      <c r="X909" s="213"/>
      <c r="Y909" s="213"/>
      <c r="Z909" s="213"/>
    </row>
    <row r="910" spans="1:26" ht="14.25">
      <c r="A910" s="213"/>
      <c r="B910" s="213"/>
      <c r="C910" s="213"/>
      <c r="D910" s="213"/>
      <c r="E910" s="213"/>
      <c r="F910" s="213"/>
      <c r="G910" s="213"/>
      <c r="H910" s="213"/>
      <c r="I910" s="213"/>
      <c r="J910" s="213"/>
      <c r="K910" s="213"/>
      <c r="L910" s="213"/>
      <c r="M910" s="213"/>
      <c r="N910" s="213"/>
      <c r="O910" s="213"/>
      <c r="P910" s="213"/>
      <c r="Q910" s="213"/>
      <c r="R910" s="213"/>
      <c r="S910" s="213"/>
      <c r="T910" s="213"/>
      <c r="U910" s="213"/>
      <c r="V910" s="213"/>
      <c r="W910" s="213"/>
      <c r="X910" s="213"/>
      <c r="Y910" s="213"/>
      <c r="Z910" s="213"/>
    </row>
    <row r="911" spans="1:26" ht="14.25">
      <c r="A911" s="213"/>
      <c r="B911" s="213"/>
      <c r="C911" s="213"/>
      <c r="D911" s="213"/>
      <c r="E911" s="213"/>
      <c r="F911" s="213"/>
      <c r="G911" s="213"/>
      <c r="H911" s="213"/>
      <c r="I911" s="213"/>
      <c r="J911" s="213"/>
      <c r="K911" s="213"/>
      <c r="L911" s="213"/>
      <c r="M911" s="213"/>
      <c r="N911" s="213"/>
      <c r="O911" s="213"/>
      <c r="P911" s="213"/>
      <c r="Q911" s="213"/>
      <c r="R911" s="213"/>
      <c r="S911" s="213"/>
      <c r="T911" s="213"/>
      <c r="U911" s="213"/>
      <c r="V911" s="213"/>
      <c r="W911" s="213"/>
      <c r="X911" s="213"/>
      <c r="Y911" s="213"/>
      <c r="Z911" s="213"/>
    </row>
    <row r="912" spans="1:26" ht="14.25">
      <c r="A912" s="213"/>
      <c r="B912" s="213"/>
      <c r="C912" s="213"/>
      <c r="D912" s="213"/>
      <c r="E912" s="213"/>
      <c r="F912" s="213"/>
      <c r="G912" s="213"/>
      <c r="H912" s="213"/>
      <c r="I912" s="213"/>
      <c r="J912" s="213"/>
      <c r="K912" s="213"/>
      <c r="L912" s="213"/>
      <c r="M912" s="213"/>
      <c r="N912" s="213"/>
      <c r="O912" s="213"/>
      <c r="P912" s="213"/>
      <c r="Q912" s="213"/>
      <c r="R912" s="213"/>
      <c r="S912" s="213"/>
      <c r="T912" s="213"/>
      <c r="U912" s="213"/>
      <c r="V912" s="213"/>
      <c r="W912" s="213"/>
      <c r="X912" s="213"/>
      <c r="Y912" s="213"/>
      <c r="Z912" s="213"/>
    </row>
    <row r="913" spans="1:26" ht="14.25">
      <c r="A913" s="213"/>
      <c r="B913" s="213"/>
      <c r="C913" s="213"/>
      <c r="D913" s="213"/>
      <c r="E913" s="213"/>
      <c r="F913" s="213"/>
      <c r="G913" s="213"/>
      <c r="H913" s="213"/>
      <c r="I913" s="213"/>
      <c r="J913" s="213"/>
      <c r="K913" s="213"/>
      <c r="L913" s="213"/>
      <c r="M913" s="213"/>
      <c r="N913" s="213"/>
      <c r="O913" s="213"/>
      <c r="P913" s="213"/>
      <c r="Q913" s="213"/>
      <c r="R913" s="213"/>
      <c r="S913" s="213"/>
      <c r="T913" s="213"/>
      <c r="U913" s="213"/>
      <c r="V913" s="213"/>
      <c r="W913" s="213"/>
      <c r="X913" s="213"/>
      <c r="Y913" s="213"/>
      <c r="Z913" s="213"/>
    </row>
    <row r="914" spans="1:26" ht="14.25">
      <c r="A914" s="213"/>
      <c r="B914" s="213"/>
      <c r="C914" s="213"/>
      <c r="D914" s="213"/>
      <c r="E914" s="213"/>
      <c r="F914" s="213"/>
      <c r="G914" s="213"/>
      <c r="H914" s="213"/>
      <c r="I914" s="213"/>
      <c r="J914" s="213"/>
      <c r="K914" s="213"/>
      <c r="L914" s="213"/>
      <c r="M914" s="213"/>
      <c r="N914" s="213"/>
      <c r="O914" s="213"/>
      <c r="P914" s="213"/>
      <c r="Q914" s="213"/>
      <c r="R914" s="213"/>
      <c r="S914" s="213"/>
      <c r="T914" s="213"/>
      <c r="U914" s="213"/>
      <c r="V914" s="213"/>
      <c r="W914" s="213"/>
      <c r="X914" s="213"/>
      <c r="Y914" s="213"/>
      <c r="Z914" s="213"/>
    </row>
    <row r="915" spans="1:26" ht="14.25">
      <c r="A915" s="213"/>
      <c r="B915" s="213"/>
      <c r="C915" s="213"/>
      <c r="D915" s="213"/>
      <c r="E915" s="213"/>
      <c r="F915" s="213"/>
      <c r="G915" s="213"/>
      <c r="H915" s="213"/>
      <c r="I915" s="213"/>
      <c r="J915" s="213"/>
      <c r="K915" s="213"/>
      <c r="L915" s="213"/>
      <c r="M915" s="213"/>
      <c r="N915" s="213"/>
      <c r="O915" s="213"/>
      <c r="P915" s="213"/>
      <c r="Q915" s="213"/>
      <c r="R915" s="213"/>
      <c r="S915" s="213"/>
      <c r="T915" s="213"/>
      <c r="U915" s="213"/>
      <c r="V915" s="213"/>
      <c r="W915" s="213"/>
      <c r="X915" s="213"/>
      <c r="Y915" s="213"/>
      <c r="Z915" s="213"/>
    </row>
    <row r="916" spans="1:26" ht="14.25">
      <c r="A916" s="213"/>
      <c r="B916" s="213"/>
      <c r="C916" s="213"/>
      <c r="D916" s="213"/>
      <c r="E916" s="213"/>
      <c r="F916" s="213"/>
      <c r="G916" s="213"/>
      <c r="H916" s="213"/>
      <c r="I916" s="213"/>
      <c r="J916" s="213"/>
      <c r="K916" s="213"/>
      <c r="L916" s="213"/>
      <c r="M916" s="213"/>
      <c r="N916" s="213"/>
      <c r="O916" s="213"/>
      <c r="P916" s="213"/>
      <c r="Q916" s="213"/>
      <c r="R916" s="213"/>
      <c r="S916" s="213"/>
      <c r="T916" s="213"/>
      <c r="U916" s="213"/>
      <c r="V916" s="213"/>
      <c r="W916" s="213"/>
      <c r="X916" s="213"/>
      <c r="Y916" s="213"/>
      <c r="Z916" s="213"/>
    </row>
    <row r="917" spans="1:26" ht="14.25">
      <c r="A917" s="213"/>
      <c r="B917" s="213"/>
      <c r="C917" s="213"/>
      <c r="D917" s="213"/>
      <c r="E917" s="213"/>
      <c r="F917" s="213"/>
      <c r="G917" s="213"/>
      <c r="H917" s="213"/>
      <c r="I917" s="213"/>
      <c r="J917" s="213"/>
      <c r="K917" s="213"/>
      <c r="L917" s="213"/>
      <c r="M917" s="213"/>
      <c r="N917" s="213"/>
      <c r="O917" s="213"/>
      <c r="P917" s="213"/>
      <c r="Q917" s="213"/>
      <c r="R917" s="213"/>
      <c r="S917" s="213"/>
      <c r="T917" s="213"/>
      <c r="U917" s="213"/>
      <c r="V917" s="213"/>
      <c r="W917" s="213"/>
      <c r="X917" s="213"/>
      <c r="Y917" s="213"/>
      <c r="Z917" s="213"/>
    </row>
    <row r="918" spans="1:26" ht="14.25">
      <c r="A918" s="213"/>
      <c r="B918" s="213"/>
      <c r="C918" s="213"/>
      <c r="D918" s="213"/>
      <c r="E918" s="213"/>
      <c r="F918" s="213"/>
      <c r="G918" s="213"/>
      <c r="H918" s="213"/>
      <c r="I918" s="213"/>
      <c r="J918" s="213"/>
      <c r="K918" s="213"/>
      <c r="L918" s="213"/>
      <c r="M918" s="213"/>
      <c r="N918" s="213"/>
      <c r="O918" s="213"/>
      <c r="P918" s="213"/>
      <c r="Q918" s="213"/>
      <c r="R918" s="213"/>
      <c r="S918" s="213"/>
      <c r="T918" s="213"/>
      <c r="U918" s="213"/>
      <c r="V918" s="213"/>
      <c r="W918" s="213"/>
      <c r="X918" s="213"/>
      <c r="Y918" s="213"/>
      <c r="Z918" s="213"/>
    </row>
    <row r="919" spans="1:26" ht="14.25">
      <c r="A919" s="213"/>
      <c r="B919" s="213"/>
      <c r="C919" s="213"/>
      <c r="D919" s="213"/>
      <c r="E919" s="213"/>
      <c r="F919" s="213"/>
      <c r="G919" s="213"/>
      <c r="H919" s="213"/>
      <c r="I919" s="213"/>
      <c r="J919" s="213"/>
      <c r="K919" s="213"/>
      <c r="L919" s="213"/>
      <c r="M919" s="213"/>
      <c r="N919" s="213"/>
      <c r="O919" s="213"/>
      <c r="P919" s="213"/>
      <c r="Q919" s="213"/>
      <c r="R919" s="213"/>
      <c r="S919" s="213"/>
      <c r="T919" s="213"/>
      <c r="U919" s="213"/>
      <c r="V919" s="213"/>
      <c r="W919" s="213"/>
      <c r="X919" s="213"/>
      <c r="Y919" s="213"/>
      <c r="Z919" s="213"/>
    </row>
    <row r="920" spans="1:26" ht="14.25">
      <c r="A920" s="213"/>
      <c r="B920" s="213"/>
      <c r="C920" s="213"/>
      <c r="D920" s="213"/>
      <c r="E920" s="213"/>
      <c r="F920" s="213"/>
      <c r="G920" s="213"/>
      <c r="H920" s="213"/>
      <c r="I920" s="213"/>
      <c r="J920" s="213"/>
      <c r="K920" s="213"/>
      <c r="L920" s="213"/>
      <c r="M920" s="213"/>
      <c r="N920" s="213"/>
      <c r="O920" s="213"/>
      <c r="P920" s="213"/>
      <c r="Q920" s="213"/>
      <c r="R920" s="213"/>
      <c r="S920" s="213"/>
      <c r="T920" s="213"/>
      <c r="U920" s="213"/>
      <c r="V920" s="213"/>
      <c r="W920" s="213"/>
      <c r="X920" s="213"/>
      <c r="Y920" s="213"/>
      <c r="Z920" s="213"/>
    </row>
    <row r="921" spans="1:26" ht="14.25">
      <c r="A921" s="213"/>
      <c r="B921" s="213"/>
      <c r="C921" s="213"/>
      <c r="D921" s="213"/>
      <c r="E921" s="213"/>
      <c r="F921" s="213"/>
      <c r="G921" s="213"/>
      <c r="H921" s="213"/>
      <c r="I921" s="213"/>
      <c r="J921" s="213"/>
      <c r="K921" s="213"/>
      <c r="L921" s="213"/>
      <c r="M921" s="213"/>
      <c r="N921" s="213"/>
      <c r="O921" s="213"/>
      <c r="P921" s="213"/>
      <c r="Q921" s="213"/>
      <c r="R921" s="213"/>
      <c r="S921" s="213"/>
      <c r="T921" s="213"/>
      <c r="U921" s="213"/>
      <c r="V921" s="213"/>
      <c r="W921" s="213"/>
      <c r="X921" s="213"/>
      <c r="Y921" s="213"/>
      <c r="Z921" s="213"/>
    </row>
    <row r="922" spans="1:26" ht="14.25">
      <c r="A922" s="213"/>
      <c r="B922" s="213"/>
      <c r="C922" s="213"/>
      <c r="D922" s="213"/>
      <c r="E922" s="213"/>
      <c r="F922" s="213"/>
      <c r="G922" s="213"/>
      <c r="H922" s="213"/>
      <c r="I922" s="213"/>
      <c r="J922" s="213"/>
      <c r="K922" s="213"/>
      <c r="L922" s="213"/>
      <c r="M922" s="213"/>
      <c r="N922" s="213"/>
      <c r="O922" s="213"/>
      <c r="P922" s="213"/>
      <c r="Q922" s="213"/>
      <c r="R922" s="213"/>
      <c r="S922" s="213"/>
      <c r="T922" s="213"/>
      <c r="U922" s="213"/>
      <c r="V922" s="213"/>
      <c r="W922" s="213"/>
      <c r="X922" s="213"/>
      <c r="Y922" s="213"/>
      <c r="Z922" s="213"/>
    </row>
    <row r="923" spans="1:26" ht="14.25">
      <c r="A923" s="213"/>
      <c r="B923" s="213"/>
      <c r="C923" s="213"/>
      <c r="D923" s="213"/>
      <c r="E923" s="213"/>
      <c r="F923" s="213"/>
      <c r="G923" s="213"/>
      <c r="H923" s="213"/>
      <c r="I923" s="213"/>
      <c r="J923" s="213"/>
      <c r="K923" s="213"/>
      <c r="L923" s="213"/>
      <c r="M923" s="213"/>
      <c r="N923" s="213"/>
      <c r="O923" s="213"/>
      <c r="P923" s="213"/>
      <c r="Q923" s="213"/>
      <c r="R923" s="213"/>
      <c r="S923" s="213"/>
      <c r="T923" s="213"/>
      <c r="U923" s="213"/>
      <c r="V923" s="213"/>
      <c r="W923" s="213"/>
      <c r="X923" s="213"/>
      <c r="Y923" s="213"/>
      <c r="Z923" s="213"/>
    </row>
    <row r="924" spans="1:26" ht="14.25">
      <c r="A924" s="213"/>
      <c r="B924" s="213"/>
      <c r="C924" s="213"/>
      <c r="D924" s="213"/>
      <c r="E924" s="213"/>
      <c r="F924" s="213"/>
      <c r="G924" s="213"/>
      <c r="H924" s="213"/>
      <c r="I924" s="213"/>
      <c r="J924" s="213"/>
      <c r="K924" s="213"/>
      <c r="L924" s="213"/>
      <c r="M924" s="213"/>
      <c r="N924" s="213"/>
      <c r="O924" s="213"/>
      <c r="P924" s="213"/>
      <c r="Q924" s="213"/>
      <c r="R924" s="213"/>
      <c r="S924" s="213"/>
      <c r="T924" s="213"/>
      <c r="U924" s="213"/>
      <c r="V924" s="213"/>
      <c r="W924" s="213"/>
      <c r="X924" s="213"/>
      <c r="Y924" s="213"/>
      <c r="Z924" s="213"/>
    </row>
    <row r="925" spans="1:26" ht="14.25">
      <c r="A925" s="213"/>
      <c r="B925" s="213"/>
      <c r="C925" s="213"/>
      <c r="D925" s="213"/>
      <c r="E925" s="213"/>
      <c r="F925" s="213"/>
      <c r="G925" s="213"/>
      <c r="H925" s="213"/>
      <c r="I925" s="213"/>
      <c r="J925" s="213"/>
      <c r="K925" s="213"/>
      <c r="L925" s="213"/>
      <c r="M925" s="213"/>
      <c r="N925" s="213"/>
      <c r="O925" s="213"/>
      <c r="P925" s="213"/>
      <c r="Q925" s="213"/>
      <c r="R925" s="213"/>
      <c r="S925" s="213"/>
      <c r="T925" s="213"/>
      <c r="U925" s="213"/>
      <c r="V925" s="213"/>
      <c r="W925" s="213"/>
      <c r="X925" s="213"/>
      <c r="Y925" s="213"/>
      <c r="Z925" s="213"/>
    </row>
    <row r="926" spans="1:26" ht="14.25">
      <c r="A926" s="213"/>
      <c r="B926" s="213"/>
      <c r="C926" s="213"/>
      <c r="D926" s="213"/>
      <c r="E926" s="213"/>
      <c r="F926" s="213"/>
      <c r="G926" s="213"/>
      <c r="H926" s="213"/>
      <c r="I926" s="213"/>
      <c r="J926" s="213"/>
      <c r="K926" s="213"/>
      <c r="L926" s="213"/>
      <c r="M926" s="213"/>
      <c r="N926" s="213"/>
      <c r="O926" s="213"/>
      <c r="P926" s="213"/>
      <c r="Q926" s="213"/>
      <c r="R926" s="213"/>
      <c r="S926" s="213"/>
      <c r="T926" s="213"/>
      <c r="U926" s="213"/>
      <c r="V926" s="213"/>
      <c r="W926" s="213"/>
      <c r="X926" s="213"/>
      <c r="Y926" s="213"/>
      <c r="Z926" s="213"/>
    </row>
    <row r="927" spans="1:26" ht="14.25">
      <c r="A927" s="213"/>
      <c r="B927" s="213"/>
      <c r="C927" s="213"/>
      <c r="D927" s="213"/>
      <c r="E927" s="213"/>
      <c r="F927" s="213"/>
      <c r="G927" s="213"/>
      <c r="H927" s="213"/>
      <c r="I927" s="213"/>
      <c r="J927" s="213"/>
      <c r="K927" s="213"/>
      <c r="L927" s="213"/>
      <c r="M927" s="213"/>
      <c r="N927" s="213"/>
      <c r="O927" s="213"/>
      <c r="P927" s="213"/>
      <c r="Q927" s="213"/>
      <c r="R927" s="213"/>
      <c r="S927" s="213"/>
      <c r="T927" s="213"/>
      <c r="U927" s="213"/>
      <c r="V927" s="213"/>
      <c r="W927" s="213"/>
      <c r="X927" s="213"/>
      <c r="Y927" s="213"/>
      <c r="Z927" s="213"/>
    </row>
    <row r="928" spans="1:26" ht="14.25">
      <c r="A928" s="213"/>
      <c r="B928" s="213"/>
      <c r="C928" s="213"/>
      <c r="D928" s="213"/>
      <c r="E928" s="213"/>
      <c r="F928" s="213"/>
      <c r="G928" s="213"/>
      <c r="H928" s="213"/>
      <c r="I928" s="213"/>
      <c r="J928" s="213"/>
      <c r="K928" s="213"/>
      <c r="L928" s="213"/>
      <c r="M928" s="213"/>
      <c r="N928" s="213"/>
      <c r="O928" s="213"/>
      <c r="P928" s="213"/>
      <c r="Q928" s="213"/>
      <c r="R928" s="213"/>
      <c r="S928" s="213"/>
      <c r="T928" s="213"/>
      <c r="U928" s="213"/>
      <c r="V928" s="213"/>
      <c r="W928" s="213"/>
      <c r="X928" s="213"/>
      <c r="Y928" s="213"/>
      <c r="Z928" s="213"/>
    </row>
    <row r="929" spans="1:26" ht="14.25">
      <c r="A929" s="213"/>
      <c r="B929" s="213"/>
      <c r="C929" s="213"/>
      <c r="D929" s="213"/>
      <c r="E929" s="213"/>
      <c r="F929" s="213"/>
      <c r="G929" s="213"/>
      <c r="H929" s="213"/>
      <c r="I929" s="213"/>
      <c r="J929" s="213"/>
      <c r="K929" s="213"/>
      <c r="L929" s="213"/>
      <c r="M929" s="213"/>
      <c r="N929" s="213"/>
      <c r="O929" s="213"/>
      <c r="P929" s="213"/>
      <c r="Q929" s="213"/>
      <c r="R929" s="213"/>
      <c r="S929" s="213"/>
      <c r="T929" s="213"/>
      <c r="U929" s="213"/>
      <c r="V929" s="213"/>
      <c r="W929" s="213"/>
      <c r="X929" s="213"/>
      <c r="Y929" s="213"/>
      <c r="Z929" s="213"/>
    </row>
    <row r="930" spans="1:26" ht="14.25">
      <c r="A930" s="213"/>
      <c r="B930" s="213"/>
      <c r="C930" s="213"/>
      <c r="D930" s="213"/>
      <c r="E930" s="213"/>
      <c r="F930" s="213"/>
      <c r="G930" s="213"/>
      <c r="H930" s="213"/>
      <c r="I930" s="213"/>
      <c r="J930" s="213"/>
      <c r="K930" s="213"/>
      <c r="L930" s="213"/>
      <c r="M930" s="213"/>
      <c r="N930" s="213"/>
      <c r="O930" s="213"/>
      <c r="P930" s="213"/>
      <c r="Q930" s="213"/>
      <c r="R930" s="213"/>
      <c r="S930" s="213"/>
      <c r="T930" s="213"/>
      <c r="U930" s="213"/>
      <c r="V930" s="213"/>
      <c r="W930" s="213"/>
      <c r="X930" s="213"/>
      <c r="Y930" s="213"/>
      <c r="Z930" s="213"/>
    </row>
    <row r="931" spans="1:26" ht="14.25">
      <c r="A931" s="213"/>
      <c r="B931" s="213"/>
      <c r="C931" s="213"/>
      <c r="D931" s="213"/>
      <c r="E931" s="213"/>
      <c r="F931" s="213"/>
      <c r="G931" s="213"/>
      <c r="H931" s="213"/>
      <c r="I931" s="213"/>
      <c r="J931" s="213"/>
      <c r="K931" s="213"/>
      <c r="L931" s="213"/>
      <c r="M931" s="213"/>
      <c r="N931" s="213"/>
      <c r="O931" s="213"/>
      <c r="P931" s="213"/>
      <c r="Q931" s="213"/>
      <c r="R931" s="213"/>
      <c r="S931" s="213"/>
      <c r="T931" s="213"/>
      <c r="U931" s="213"/>
      <c r="V931" s="213"/>
      <c r="W931" s="213"/>
      <c r="X931" s="213"/>
      <c r="Y931" s="213"/>
      <c r="Z931" s="213"/>
    </row>
    <row r="932" spans="1:26" ht="14.25">
      <c r="A932" s="213"/>
      <c r="B932" s="213"/>
      <c r="C932" s="213"/>
      <c r="D932" s="213"/>
      <c r="E932" s="213"/>
      <c r="F932" s="213"/>
      <c r="G932" s="213"/>
      <c r="H932" s="213"/>
      <c r="I932" s="213"/>
      <c r="J932" s="213"/>
      <c r="K932" s="213"/>
      <c r="L932" s="213"/>
      <c r="M932" s="213"/>
      <c r="N932" s="213"/>
      <c r="O932" s="213"/>
      <c r="P932" s="213"/>
      <c r="Q932" s="213"/>
      <c r="R932" s="213"/>
      <c r="S932" s="213"/>
      <c r="T932" s="213"/>
      <c r="U932" s="213"/>
      <c r="V932" s="213"/>
      <c r="W932" s="213"/>
      <c r="X932" s="213"/>
      <c r="Y932" s="213"/>
      <c r="Z932" s="213"/>
    </row>
    <row r="933" spans="1:26" ht="14.25">
      <c r="A933" s="213"/>
      <c r="B933" s="213"/>
      <c r="C933" s="213"/>
      <c r="D933" s="213"/>
      <c r="E933" s="213"/>
      <c r="F933" s="213"/>
      <c r="G933" s="213"/>
      <c r="H933" s="213"/>
      <c r="I933" s="213"/>
      <c r="J933" s="213"/>
      <c r="K933" s="213"/>
      <c r="L933" s="213"/>
      <c r="M933" s="213"/>
      <c r="N933" s="213"/>
      <c r="O933" s="213"/>
      <c r="P933" s="213"/>
      <c r="Q933" s="213"/>
      <c r="R933" s="213"/>
      <c r="S933" s="213"/>
      <c r="T933" s="213"/>
      <c r="U933" s="213"/>
      <c r="V933" s="213"/>
      <c r="W933" s="213"/>
      <c r="X933" s="213"/>
      <c r="Y933" s="213"/>
      <c r="Z933" s="213"/>
    </row>
    <row r="934" spans="1:26" ht="14.25">
      <c r="A934" s="213"/>
      <c r="B934" s="213"/>
      <c r="C934" s="213"/>
      <c r="D934" s="213"/>
      <c r="E934" s="213"/>
      <c r="F934" s="213"/>
      <c r="G934" s="213"/>
      <c r="H934" s="213"/>
      <c r="I934" s="213"/>
      <c r="J934" s="213"/>
      <c r="K934" s="213"/>
      <c r="L934" s="213"/>
      <c r="M934" s="213"/>
      <c r="N934" s="213"/>
      <c r="O934" s="213"/>
      <c r="P934" s="213"/>
      <c r="Q934" s="213"/>
      <c r="R934" s="213"/>
      <c r="S934" s="213"/>
      <c r="T934" s="213"/>
      <c r="U934" s="213"/>
      <c r="V934" s="213"/>
      <c r="W934" s="213"/>
      <c r="X934" s="213"/>
      <c r="Y934" s="213"/>
      <c r="Z934" s="213"/>
    </row>
    <row r="935" spans="1:26" ht="14.25">
      <c r="A935" s="213"/>
      <c r="B935" s="213"/>
      <c r="C935" s="213"/>
      <c r="D935" s="213"/>
      <c r="E935" s="213"/>
      <c r="F935" s="213"/>
      <c r="G935" s="213"/>
      <c r="H935" s="213"/>
      <c r="I935" s="213"/>
      <c r="J935" s="213"/>
      <c r="K935" s="213"/>
      <c r="L935" s="213"/>
      <c r="M935" s="213"/>
      <c r="N935" s="213"/>
      <c r="O935" s="213"/>
      <c r="P935" s="213"/>
      <c r="Q935" s="213"/>
      <c r="R935" s="213"/>
      <c r="S935" s="213"/>
      <c r="T935" s="213"/>
      <c r="U935" s="213"/>
      <c r="V935" s="213"/>
      <c r="W935" s="213"/>
      <c r="X935" s="213"/>
      <c r="Y935" s="213"/>
      <c r="Z935" s="213"/>
    </row>
    <row r="936" spans="1:26" ht="14.25">
      <c r="A936" s="213"/>
      <c r="B936" s="213"/>
      <c r="C936" s="213"/>
      <c r="D936" s="213"/>
      <c r="E936" s="213"/>
      <c r="F936" s="213"/>
      <c r="G936" s="213"/>
      <c r="H936" s="213"/>
      <c r="I936" s="213"/>
      <c r="J936" s="213"/>
      <c r="K936" s="213"/>
      <c r="L936" s="213"/>
      <c r="M936" s="213"/>
      <c r="N936" s="213"/>
      <c r="O936" s="213"/>
      <c r="P936" s="213"/>
      <c r="Q936" s="213"/>
      <c r="R936" s="213"/>
      <c r="S936" s="213"/>
      <c r="T936" s="213"/>
      <c r="U936" s="213"/>
      <c r="V936" s="213"/>
      <c r="W936" s="213"/>
      <c r="X936" s="213"/>
      <c r="Y936" s="213"/>
      <c r="Z936" s="213"/>
    </row>
    <row r="937" spans="1:26" ht="14.25">
      <c r="A937" s="213"/>
      <c r="B937" s="213"/>
      <c r="C937" s="213"/>
      <c r="D937" s="213"/>
      <c r="E937" s="213"/>
      <c r="F937" s="213"/>
      <c r="G937" s="213"/>
      <c r="H937" s="213"/>
      <c r="I937" s="213"/>
      <c r="J937" s="213"/>
      <c r="K937" s="213"/>
      <c r="L937" s="213"/>
      <c r="M937" s="213"/>
      <c r="N937" s="213"/>
      <c r="O937" s="213"/>
      <c r="P937" s="213"/>
      <c r="Q937" s="213"/>
      <c r="R937" s="213"/>
      <c r="S937" s="213"/>
      <c r="T937" s="213"/>
      <c r="U937" s="213"/>
      <c r="V937" s="213"/>
      <c r="W937" s="213"/>
      <c r="X937" s="213"/>
      <c r="Y937" s="213"/>
      <c r="Z937" s="213"/>
    </row>
    <row r="938" spans="1:26" ht="14.25">
      <c r="A938" s="213"/>
      <c r="B938" s="213"/>
      <c r="C938" s="213"/>
      <c r="D938" s="213"/>
      <c r="E938" s="213"/>
      <c r="F938" s="213"/>
      <c r="G938" s="213"/>
      <c r="H938" s="213"/>
      <c r="I938" s="213"/>
      <c r="J938" s="213"/>
      <c r="K938" s="213"/>
      <c r="L938" s="213"/>
      <c r="M938" s="213"/>
      <c r="N938" s="213"/>
      <c r="O938" s="213"/>
      <c r="P938" s="213"/>
      <c r="Q938" s="213"/>
      <c r="R938" s="213"/>
      <c r="S938" s="213"/>
      <c r="T938" s="213"/>
      <c r="U938" s="213"/>
      <c r="V938" s="213"/>
      <c r="W938" s="213"/>
      <c r="X938" s="213"/>
      <c r="Y938" s="213"/>
      <c r="Z938" s="213"/>
    </row>
    <row r="939" spans="1:26" ht="14.25">
      <c r="A939" s="213"/>
      <c r="B939" s="213"/>
      <c r="C939" s="213"/>
      <c r="D939" s="213"/>
      <c r="E939" s="213"/>
      <c r="F939" s="213"/>
      <c r="G939" s="213"/>
      <c r="H939" s="213"/>
      <c r="I939" s="213"/>
      <c r="J939" s="213"/>
      <c r="K939" s="213"/>
      <c r="L939" s="213"/>
      <c r="M939" s="213"/>
      <c r="N939" s="213"/>
      <c r="O939" s="213"/>
      <c r="P939" s="213"/>
      <c r="Q939" s="213"/>
      <c r="R939" s="213"/>
      <c r="S939" s="213"/>
      <c r="T939" s="213"/>
      <c r="U939" s="213"/>
      <c r="V939" s="213"/>
      <c r="W939" s="213"/>
      <c r="X939" s="213"/>
      <c r="Y939" s="213"/>
      <c r="Z939" s="213"/>
    </row>
    <row r="940" spans="1:26" ht="14.25">
      <c r="A940" s="213"/>
      <c r="B940" s="213"/>
      <c r="C940" s="213"/>
      <c r="D940" s="213"/>
      <c r="E940" s="213"/>
      <c r="F940" s="213"/>
      <c r="G940" s="213"/>
      <c r="H940" s="213"/>
      <c r="I940" s="213"/>
      <c r="J940" s="213"/>
      <c r="K940" s="213"/>
      <c r="L940" s="213"/>
      <c r="M940" s="213"/>
      <c r="N940" s="213"/>
      <c r="O940" s="213"/>
      <c r="P940" s="213"/>
      <c r="Q940" s="213"/>
      <c r="R940" s="213"/>
      <c r="S940" s="213"/>
      <c r="T940" s="213"/>
      <c r="U940" s="213"/>
      <c r="V940" s="213"/>
      <c r="W940" s="213"/>
      <c r="X940" s="213"/>
      <c r="Y940" s="213"/>
      <c r="Z940" s="213"/>
    </row>
    <row r="941" spans="1:26" ht="14.25">
      <c r="A941" s="213"/>
      <c r="B941" s="213"/>
      <c r="C941" s="213"/>
      <c r="D941" s="213"/>
      <c r="E941" s="213"/>
      <c r="F941" s="213"/>
      <c r="G941" s="213"/>
      <c r="H941" s="213"/>
      <c r="I941" s="213"/>
      <c r="J941" s="213"/>
      <c r="K941" s="213"/>
      <c r="L941" s="213"/>
      <c r="M941" s="213"/>
      <c r="N941" s="213"/>
      <c r="O941" s="213"/>
      <c r="P941" s="213"/>
      <c r="Q941" s="213"/>
      <c r="R941" s="213"/>
      <c r="S941" s="213"/>
      <c r="T941" s="213"/>
      <c r="U941" s="213"/>
      <c r="V941" s="213"/>
      <c r="W941" s="213"/>
      <c r="X941" s="213"/>
      <c r="Y941" s="213"/>
      <c r="Z941" s="213"/>
    </row>
    <row r="942" spans="1:26" ht="14.25">
      <c r="A942" s="213"/>
      <c r="B942" s="213"/>
      <c r="C942" s="213"/>
      <c r="D942" s="213"/>
      <c r="E942" s="213"/>
      <c r="F942" s="213"/>
      <c r="G942" s="213"/>
      <c r="H942" s="213"/>
      <c r="I942" s="213"/>
      <c r="J942" s="213"/>
      <c r="K942" s="213"/>
      <c r="L942" s="213"/>
      <c r="M942" s="213"/>
      <c r="N942" s="213"/>
      <c r="O942" s="213"/>
      <c r="P942" s="213"/>
      <c r="Q942" s="213"/>
      <c r="R942" s="213"/>
      <c r="S942" s="213"/>
      <c r="T942" s="213"/>
      <c r="U942" s="213"/>
      <c r="V942" s="213"/>
      <c r="W942" s="213"/>
      <c r="X942" s="213"/>
      <c r="Y942" s="213"/>
      <c r="Z942" s="213"/>
    </row>
    <row r="943" spans="1:26" ht="14.25">
      <c r="A943" s="213"/>
      <c r="B943" s="213"/>
      <c r="C943" s="213"/>
      <c r="D943" s="213"/>
      <c r="E943" s="213"/>
      <c r="F943" s="213"/>
      <c r="G943" s="213"/>
      <c r="H943" s="213"/>
      <c r="I943" s="213"/>
      <c r="J943" s="213"/>
      <c r="K943" s="213"/>
      <c r="L943" s="213"/>
      <c r="M943" s="213"/>
      <c r="N943" s="213"/>
      <c r="O943" s="213"/>
      <c r="P943" s="213"/>
      <c r="Q943" s="213"/>
      <c r="R943" s="213"/>
      <c r="S943" s="213"/>
      <c r="T943" s="213"/>
      <c r="U943" s="213"/>
      <c r="V943" s="213"/>
      <c r="W943" s="213"/>
      <c r="X943" s="213"/>
      <c r="Y943" s="213"/>
      <c r="Z943" s="213"/>
    </row>
    <row r="944" spans="1:26" ht="14.25">
      <c r="A944" s="213"/>
      <c r="B944" s="213"/>
      <c r="C944" s="213"/>
      <c r="D944" s="213"/>
      <c r="E944" s="213"/>
      <c r="F944" s="213"/>
      <c r="G944" s="213"/>
      <c r="H944" s="213"/>
      <c r="I944" s="213"/>
      <c r="J944" s="213"/>
      <c r="K944" s="213"/>
      <c r="L944" s="213"/>
      <c r="M944" s="213"/>
      <c r="N944" s="213"/>
      <c r="O944" s="213"/>
      <c r="P944" s="213"/>
      <c r="Q944" s="213"/>
      <c r="R944" s="213"/>
      <c r="S944" s="213"/>
      <c r="T944" s="213"/>
      <c r="U944" s="213"/>
      <c r="V944" s="213"/>
      <c r="W944" s="213"/>
      <c r="X944" s="213"/>
      <c r="Y944" s="213"/>
      <c r="Z944" s="213"/>
    </row>
    <row r="945" spans="1:26" ht="14.25">
      <c r="A945" s="213"/>
      <c r="B945" s="213"/>
      <c r="C945" s="213"/>
      <c r="D945" s="213"/>
      <c r="E945" s="213"/>
      <c r="F945" s="213"/>
      <c r="G945" s="213"/>
      <c r="H945" s="213"/>
      <c r="I945" s="213"/>
      <c r="J945" s="213"/>
      <c r="K945" s="213"/>
      <c r="L945" s="213"/>
      <c r="M945" s="213"/>
      <c r="N945" s="213"/>
      <c r="O945" s="213"/>
      <c r="P945" s="213"/>
      <c r="Q945" s="213"/>
      <c r="R945" s="213"/>
      <c r="S945" s="213"/>
      <c r="T945" s="213"/>
      <c r="U945" s="213"/>
      <c r="V945" s="213"/>
      <c r="W945" s="213"/>
      <c r="X945" s="213"/>
      <c r="Y945" s="213"/>
      <c r="Z945" s="213"/>
    </row>
    <row r="946" spans="1:26" ht="14.25">
      <c r="A946" s="213"/>
      <c r="B946" s="213"/>
      <c r="C946" s="213"/>
      <c r="D946" s="213"/>
      <c r="E946" s="213"/>
      <c r="F946" s="213"/>
      <c r="G946" s="213"/>
      <c r="H946" s="213"/>
      <c r="I946" s="213"/>
      <c r="J946" s="213"/>
      <c r="K946" s="213"/>
      <c r="L946" s="213"/>
      <c r="M946" s="213"/>
      <c r="N946" s="213"/>
      <c r="O946" s="213"/>
      <c r="P946" s="213"/>
      <c r="Q946" s="213"/>
      <c r="R946" s="213"/>
      <c r="S946" s="213"/>
      <c r="T946" s="213"/>
      <c r="U946" s="213"/>
      <c r="V946" s="213"/>
      <c r="W946" s="213"/>
      <c r="X946" s="213"/>
      <c r="Y946" s="213"/>
      <c r="Z946" s="213"/>
    </row>
    <row r="947" spans="1:26" ht="14.25">
      <c r="A947" s="213"/>
      <c r="B947" s="213"/>
      <c r="C947" s="213"/>
      <c r="D947" s="213"/>
      <c r="E947" s="213"/>
      <c r="F947" s="213"/>
      <c r="G947" s="213"/>
      <c r="H947" s="213"/>
      <c r="I947" s="213"/>
      <c r="J947" s="213"/>
      <c r="K947" s="213"/>
      <c r="L947" s="213"/>
      <c r="M947" s="213"/>
      <c r="N947" s="213"/>
      <c r="O947" s="213"/>
      <c r="P947" s="213"/>
      <c r="Q947" s="213"/>
      <c r="R947" s="213"/>
      <c r="S947" s="213"/>
      <c r="T947" s="213"/>
      <c r="U947" s="213"/>
      <c r="V947" s="213"/>
      <c r="W947" s="213"/>
      <c r="X947" s="213"/>
      <c r="Y947" s="213"/>
      <c r="Z947" s="213"/>
    </row>
    <row r="948" spans="1:26" ht="14.25">
      <c r="A948" s="213"/>
      <c r="B948" s="213"/>
      <c r="C948" s="213"/>
      <c r="D948" s="213"/>
      <c r="E948" s="213"/>
      <c r="F948" s="213"/>
      <c r="G948" s="213"/>
      <c r="H948" s="213"/>
      <c r="I948" s="213"/>
      <c r="J948" s="213"/>
      <c r="K948" s="213"/>
      <c r="L948" s="213"/>
      <c r="M948" s="213"/>
      <c r="N948" s="213"/>
      <c r="O948" s="213"/>
      <c r="P948" s="213"/>
      <c r="Q948" s="213"/>
      <c r="R948" s="213"/>
      <c r="S948" s="213"/>
      <c r="T948" s="213"/>
      <c r="U948" s="213"/>
      <c r="V948" s="213"/>
      <c r="W948" s="213"/>
      <c r="X948" s="213"/>
      <c r="Y948" s="213"/>
      <c r="Z948" s="213"/>
    </row>
    <row r="949" spans="1:26" ht="14.25">
      <c r="A949" s="213"/>
      <c r="B949" s="213"/>
      <c r="C949" s="213"/>
      <c r="D949" s="213"/>
      <c r="E949" s="213"/>
      <c r="F949" s="213"/>
      <c r="G949" s="213"/>
      <c r="H949" s="213"/>
      <c r="I949" s="213"/>
      <c r="J949" s="213"/>
      <c r="K949" s="213"/>
      <c r="L949" s="213"/>
      <c r="M949" s="213"/>
      <c r="N949" s="213"/>
      <c r="O949" s="213"/>
      <c r="P949" s="213"/>
      <c r="Q949" s="213"/>
      <c r="R949" s="213"/>
      <c r="S949" s="213"/>
      <c r="T949" s="213"/>
      <c r="U949" s="213"/>
      <c r="V949" s="213"/>
      <c r="W949" s="213"/>
      <c r="X949" s="213"/>
      <c r="Y949" s="213"/>
      <c r="Z949" s="213"/>
    </row>
    <row r="950" spans="1:26" ht="14.25">
      <c r="A950" s="213"/>
      <c r="B950" s="213"/>
      <c r="C950" s="213"/>
      <c r="D950" s="213"/>
      <c r="E950" s="213"/>
      <c r="F950" s="213"/>
      <c r="G950" s="213"/>
      <c r="H950" s="213"/>
      <c r="I950" s="213"/>
      <c r="J950" s="213"/>
      <c r="K950" s="213"/>
      <c r="L950" s="213"/>
      <c r="M950" s="213"/>
      <c r="N950" s="213"/>
      <c r="O950" s="213"/>
      <c r="P950" s="213"/>
      <c r="Q950" s="213"/>
      <c r="R950" s="213"/>
      <c r="S950" s="213"/>
      <c r="T950" s="213"/>
      <c r="U950" s="213"/>
      <c r="V950" s="213"/>
      <c r="W950" s="213"/>
      <c r="X950" s="213"/>
      <c r="Y950" s="213"/>
      <c r="Z950" s="213"/>
    </row>
    <row r="951" spans="1:26" ht="14.25">
      <c r="A951" s="213"/>
      <c r="B951" s="213"/>
      <c r="C951" s="213"/>
      <c r="D951" s="213"/>
      <c r="E951" s="213"/>
      <c r="F951" s="213"/>
      <c r="G951" s="213"/>
      <c r="H951" s="213"/>
      <c r="I951" s="213"/>
      <c r="J951" s="213"/>
      <c r="K951" s="213"/>
      <c r="L951" s="213"/>
      <c r="M951" s="213"/>
      <c r="N951" s="213"/>
      <c r="O951" s="213"/>
      <c r="P951" s="213"/>
      <c r="Q951" s="213"/>
      <c r="R951" s="213"/>
      <c r="S951" s="213"/>
      <c r="T951" s="213"/>
      <c r="U951" s="213"/>
      <c r="V951" s="213"/>
      <c r="W951" s="213"/>
      <c r="X951" s="213"/>
      <c r="Y951" s="213"/>
      <c r="Z951" s="213"/>
    </row>
    <row r="952" spans="1:26" ht="14.25">
      <c r="A952" s="213"/>
      <c r="B952" s="213"/>
      <c r="C952" s="213"/>
      <c r="D952" s="213"/>
      <c r="E952" s="213"/>
      <c r="F952" s="213"/>
      <c r="G952" s="213"/>
      <c r="H952" s="213"/>
      <c r="I952" s="213"/>
      <c r="J952" s="213"/>
      <c r="K952" s="213"/>
      <c r="L952" s="213"/>
      <c r="M952" s="213"/>
      <c r="N952" s="213"/>
      <c r="O952" s="213"/>
      <c r="P952" s="213"/>
      <c r="Q952" s="213"/>
      <c r="R952" s="213"/>
      <c r="S952" s="213"/>
      <c r="T952" s="213"/>
      <c r="U952" s="213"/>
      <c r="V952" s="213"/>
      <c r="W952" s="213"/>
      <c r="X952" s="213"/>
      <c r="Y952" s="213"/>
      <c r="Z952" s="213"/>
    </row>
    <row r="953" spans="1:26" ht="14.25">
      <c r="A953" s="213"/>
      <c r="B953" s="213"/>
      <c r="C953" s="213"/>
      <c r="D953" s="213"/>
      <c r="E953" s="213"/>
      <c r="F953" s="213"/>
      <c r="G953" s="213"/>
      <c r="H953" s="213"/>
      <c r="I953" s="213"/>
      <c r="J953" s="213"/>
      <c r="K953" s="213"/>
      <c r="L953" s="213"/>
      <c r="M953" s="213"/>
      <c r="N953" s="213"/>
      <c r="O953" s="213"/>
      <c r="P953" s="213"/>
      <c r="Q953" s="213"/>
      <c r="R953" s="213"/>
      <c r="S953" s="213"/>
      <c r="T953" s="213"/>
      <c r="U953" s="213"/>
      <c r="V953" s="213"/>
      <c r="W953" s="213"/>
      <c r="X953" s="213"/>
      <c r="Y953" s="213"/>
      <c r="Z953" s="213"/>
    </row>
    <row r="954" spans="1:26" ht="14.25">
      <c r="A954" s="213"/>
      <c r="B954" s="213"/>
      <c r="C954" s="213"/>
      <c r="D954" s="213"/>
      <c r="E954" s="213"/>
      <c r="F954" s="213"/>
      <c r="G954" s="213"/>
      <c r="H954" s="213"/>
      <c r="I954" s="213"/>
      <c r="J954" s="213"/>
      <c r="K954" s="213"/>
      <c r="L954" s="213"/>
      <c r="M954" s="213"/>
      <c r="N954" s="213"/>
      <c r="O954" s="213"/>
      <c r="P954" s="213"/>
      <c r="Q954" s="213"/>
      <c r="R954" s="213"/>
      <c r="S954" s="213"/>
      <c r="T954" s="213"/>
      <c r="U954" s="213"/>
      <c r="V954" s="213"/>
      <c r="W954" s="213"/>
      <c r="X954" s="213"/>
      <c r="Y954" s="213"/>
      <c r="Z954" s="213"/>
    </row>
    <row r="955" spans="1:26" ht="14.25">
      <c r="A955" s="213"/>
      <c r="B955" s="213"/>
      <c r="C955" s="213"/>
      <c r="D955" s="213"/>
      <c r="E955" s="213"/>
      <c r="F955" s="213"/>
      <c r="G955" s="213"/>
      <c r="H955" s="213"/>
      <c r="I955" s="213"/>
      <c r="J955" s="213"/>
      <c r="K955" s="213"/>
      <c r="L955" s="213"/>
      <c r="M955" s="213"/>
      <c r="N955" s="213"/>
      <c r="O955" s="213"/>
      <c r="P955" s="213"/>
      <c r="Q955" s="213"/>
      <c r="R955" s="213"/>
      <c r="S955" s="213"/>
      <c r="T955" s="213"/>
      <c r="U955" s="213"/>
      <c r="V955" s="213"/>
      <c r="W955" s="213"/>
      <c r="X955" s="213"/>
      <c r="Y955" s="213"/>
      <c r="Z955" s="213"/>
    </row>
    <row r="956" spans="1:26" ht="14.25">
      <c r="A956" s="213"/>
      <c r="B956" s="213"/>
      <c r="C956" s="213"/>
      <c r="D956" s="213"/>
      <c r="E956" s="213"/>
      <c r="F956" s="213"/>
      <c r="G956" s="213"/>
      <c r="H956" s="213"/>
      <c r="I956" s="213"/>
      <c r="J956" s="213"/>
      <c r="K956" s="213"/>
      <c r="L956" s="213"/>
      <c r="M956" s="213"/>
      <c r="N956" s="213"/>
      <c r="O956" s="213"/>
      <c r="P956" s="213"/>
      <c r="Q956" s="213"/>
      <c r="R956" s="213"/>
      <c r="S956" s="213"/>
      <c r="T956" s="213"/>
      <c r="U956" s="213"/>
      <c r="V956" s="213"/>
      <c r="W956" s="213"/>
      <c r="X956" s="213"/>
      <c r="Y956" s="213"/>
      <c r="Z956" s="213"/>
    </row>
    <row r="957" spans="1:26" ht="14.25">
      <c r="A957" s="213"/>
      <c r="B957" s="213"/>
      <c r="C957" s="213"/>
      <c r="D957" s="213"/>
      <c r="E957" s="213"/>
      <c r="F957" s="213"/>
      <c r="G957" s="213"/>
      <c r="H957" s="213"/>
      <c r="I957" s="213"/>
      <c r="J957" s="213"/>
      <c r="K957" s="213"/>
      <c r="L957" s="213"/>
      <c r="M957" s="213"/>
      <c r="N957" s="213"/>
      <c r="O957" s="213"/>
      <c r="P957" s="213"/>
      <c r="Q957" s="213"/>
      <c r="R957" s="213"/>
      <c r="S957" s="213"/>
      <c r="T957" s="213"/>
      <c r="U957" s="213"/>
      <c r="V957" s="213"/>
      <c r="W957" s="213"/>
      <c r="X957" s="213"/>
      <c r="Y957" s="213"/>
      <c r="Z957" s="213"/>
    </row>
    <row r="958" spans="1:26" ht="14.25">
      <c r="A958" s="213"/>
      <c r="B958" s="213"/>
      <c r="C958" s="213"/>
      <c r="D958" s="213"/>
      <c r="E958" s="213"/>
      <c r="F958" s="213"/>
      <c r="G958" s="213"/>
      <c r="H958" s="213"/>
      <c r="I958" s="213"/>
      <c r="J958" s="213"/>
      <c r="K958" s="213"/>
      <c r="L958" s="213"/>
      <c r="M958" s="213"/>
      <c r="N958" s="213"/>
      <c r="O958" s="213"/>
      <c r="P958" s="213"/>
      <c r="Q958" s="213"/>
      <c r="R958" s="213"/>
      <c r="S958" s="213"/>
      <c r="T958" s="213"/>
      <c r="U958" s="213"/>
      <c r="V958" s="213"/>
      <c r="W958" s="213"/>
      <c r="X958" s="213"/>
      <c r="Y958" s="213"/>
      <c r="Z958" s="213"/>
    </row>
    <row r="959" spans="1:26" ht="14.25">
      <c r="A959" s="213"/>
      <c r="B959" s="213"/>
      <c r="C959" s="213"/>
      <c r="D959" s="213"/>
      <c r="E959" s="213"/>
      <c r="F959" s="213"/>
      <c r="G959" s="213"/>
      <c r="H959" s="213"/>
      <c r="I959" s="213"/>
      <c r="J959" s="213"/>
      <c r="K959" s="213"/>
      <c r="L959" s="213"/>
      <c r="M959" s="213"/>
      <c r="N959" s="213"/>
      <c r="O959" s="213"/>
      <c r="P959" s="213"/>
      <c r="Q959" s="213"/>
      <c r="R959" s="213"/>
      <c r="S959" s="213"/>
      <c r="T959" s="213"/>
      <c r="U959" s="213"/>
      <c r="V959" s="213"/>
      <c r="W959" s="213"/>
      <c r="X959" s="213"/>
      <c r="Y959" s="213"/>
      <c r="Z959" s="213"/>
    </row>
    <row r="960" spans="1:26" ht="14.25">
      <c r="A960" s="213"/>
      <c r="B960" s="213"/>
      <c r="C960" s="213"/>
      <c r="D960" s="213"/>
      <c r="E960" s="213"/>
      <c r="F960" s="213"/>
      <c r="G960" s="213"/>
      <c r="H960" s="213"/>
      <c r="I960" s="213"/>
      <c r="J960" s="213"/>
      <c r="K960" s="213"/>
      <c r="L960" s="213"/>
      <c r="M960" s="213"/>
      <c r="N960" s="213"/>
      <c r="O960" s="213"/>
      <c r="P960" s="213"/>
      <c r="Q960" s="213"/>
      <c r="R960" s="213"/>
      <c r="S960" s="213"/>
      <c r="T960" s="213"/>
      <c r="U960" s="213"/>
      <c r="V960" s="213"/>
      <c r="W960" s="213"/>
      <c r="X960" s="213"/>
      <c r="Y960" s="213"/>
      <c r="Z960" s="213"/>
    </row>
    <row r="961" spans="1:26" ht="14.25">
      <c r="A961" s="213"/>
      <c r="B961" s="213"/>
      <c r="C961" s="213"/>
      <c r="D961" s="213"/>
      <c r="E961" s="213"/>
      <c r="F961" s="213"/>
      <c r="G961" s="213"/>
      <c r="H961" s="213"/>
      <c r="I961" s="213"/>
      <c r="J961" s="213"/>
      <c r="K961" s="213"/>
      <c r="L961" s="213"/>
      <c r="M961" s="213"/>
      <c r="N961" s="213"/>
      <c r="O961" s="213"/>
      <c r="P961" s="213"/>
      <c r="Q961" s="213"/>
      <c r="R961" s="213"/>
      <c r="S961" s="213"/>
      <c r="T961" s="213"/>
      <c r="U961" s="213"/>
      <c r="V961" s="213"/>
      <c r="W961" s="213"/>
      <c r="X961" s="213"/>
      <c r="Y961" s="213"/>
      <c r="Z961" s="213"/>
    </row>
    <row r="962" spans="1:26" ht="14.25">
      <c r="A962" s="213"/>
      <c r="B962" s="213"/>
      <c r="C962" s="213"/>
      <c r="D962" s="213"/>
      <c r="E962" s="213"/>
      <c r="F962" s="213"/>
      <c r="G962" s="213"/>
      <c r="H962" s="213"/>
      <c r="I962" s="213"/>
      <c r="J962" s="213"/>
      <c r="K962" s="213"/>
      <c r="L962" s="213"/>
      <c r="M962" s="213"/>
      <c r="N962" s="213"/>
      <c r="O962" s="213"/>
      <c r="P962" s="213"/>
      <c r="Q962" s="213"/>
      <c r="R962" s="213"/>
      <c r="S962" s="213"/>
      <c r="T962" s="213"/>
      <c r="U962" s="213"/>
      <c r="V962" s="213"/>
      <c r="W962" s="213"/>
      <c r="X962" s="213"/>
      <c r="Y962" s="213"/>
      <c r="Z962" s="213"/>
    </row>
    <row r="963" spans="1:26" ht="14.25">
      <c r="A963" s="213"/>
      <c r="B963" s="213"/>
      <c r="C963" s="213"/>
      <c r="D963" s="213"/>
      <c r="E963" s="213"/>
      <c r="F963" s="213"/>
      <c r="G963" s="213"/>
      <c r="H963" s="213"/>
      <c r="I963" s="213"/>
      <c r="J963" s="213"/>
      <c r="K963" s="213"/>
      <c r="L963" s="213"/>
      <c r="M963" s="213"/>
      <c r="N963" s="213"/>
      <c r="O963" s="213"/>
      <c r="P963" s="213"/>
      <c r="Q963" s="213"/>
      <c r="R963" s="213"/>
      <c r="S963" s="213"/>
      <c r="T963" s="213"/>
      <c r="U963" s="213"/>
      <c r="V963" s="213"/>
      <c r="W963" s="213"/>
      <c r="X963" s="213"/>
      <c r="Y963" s="213"/>
      <c r="Z963" s="213"/>
    </row>
    <row r="964" spans="1:26" ht="14.25">
      <c r="A964" s="213"/>
      <c r="B964" s="213"/>
      <c r="C964" s="213"/>
      <c r="D964" s="213"/>
      <c r="E964" s="213"/>
      <c r="F964" s="213"/>
      <c r="G964" s="213"/>
      <c r="H964" s="213"/>
      <c r="I964" s="213"/>
      <c r="J964" s="213"/>
      <c r="K964" s="213"/>
      <c r="L964" s="213"/>
      <c r="M964" s="213"/>
      <c r="N964" s="213"/>
      <c r="O964" s="213"/>
      <c r="P964" s="213"/>
      <c r="Q964" s="213"/>
      <c r="R964" s="213"/>
      <c r="S964" s="213"/>
      <c r="T964" s="213"/>
      <c r="U964" s="213"/>
      <c r="V964" s="213"/>
      <c r="W964" s="213"/>
      <c r="X964" s="213"/>
      <c r="Y964" s="213"/>
      <c r="Z964" s="213"/>
    </row>
    <row r="965" spans="1:26" ht="14.25">
      <c r="A965" s="213"/>
      <c r="B965" s="213"/>
      <c r="C965" s="213"/>
      <c r="D965" s="213"/>
      <c r="E965" s="213"/>
      <c r="F965" s="213"/>
      <c r="G965" s="213"/>
      <c r="H965" s="213"/>
      <c r="I965" s="213"/>
      <c r="J965" s="213"/>
      <c r="K965" s="213"/>
      <c r="L965" s="213"/>
      <c r="M965" s="213"/>
      <c r="N965" s="213"/>
      <c r="O965" s="213"/>
      <c r="P965" s="213"/>
      <c r="Q965" s="213"/>
      <c r="R965" s="213"/>
      <c r="S965" s="213"/>
      <c r="T965" s="213"/>
      <c r="U965" s="213"/>
      <c r="V965" s="213"/>
      <c r="W965" s="213"/>
      <c r="X965" s="213"/>
      <c r="Y965" s="213"/>
      <c r="Z965" s="213"/>
    </row>
    <row r="966" spans="1:26" ht="14.25">
      <c r="A966" s="213"/>
      <c r="B966" s="213"/>
      <c r="C966" s="213"/>
      <c r="D966" s="213"/>
      <c r="E966" s="213"/>
      <c r="F966" s="213"/>
      <c r="G966" s="213"/>
      <c r="H966" s="213"/>
      <c r="I966" s="213"/>
      <c r="J966" s="213"/>
      <c r="K966" s="213"/>
      <c r="L966" s="213"/>
      <c r="M966" s="213"/>
      <c r="N966" s="213"/>
      <c r="O966" s="213"/>
      <c r="P966" s="213"/>
      <c r="Q966" s="213"/>
      <c r="R966" s="213"/>
      <c r="S966" s="213"/>
      <c r="T966" s="213"/>
      <c r="U966" s="213"/>
      <c r="V966" s="213"/>
      <c r="W966" s="213"/>
      <c r="X966" s="213"/>
      <c r="Y966" s="213"/>
      <c r="Z966" s="213"/>
    </row>
    <row r="967" spans="1:26" ht="14.25">
      <c r="A967" s="213"/>
      <c r="B967" s="213"/>
      <c r="C967" s="213"/>
      <c r="D967" s="213"/>
      <c r="E967" s="213"/>
      <c r="F967" s="213"/>
      <c r="G967" s="213"/>
      <c r="H967" s="213"/>
      <c r="I967" s="213"/>
      <c r="J967" s="213"/>
      <c r="K967" s="213"/>
      <c r="L967" s="213"/>
      <c r="M967" s="213"/>
      <c r="N967" s="213"/>
      <c r="O967" s="213"/>
      <c r="P967" s="213"/>
      <c r="Q967" s="213"/>
      <c r="R967" s="213"/>
      <c r="S967" s="213"/>
      <c r="T967" s="213"/>
      <c r="U967" s="213"/>
      <c r="V967" s="213"/>
      <c r="W967" s="213"/>
      <c r="X967" s="213"/>
      <c r="Y967" s="213"/>
      <c r="Z967" s="213"/>
    </row>
    <row r="968" spans="1:26" ht="14.25">
      <c r="A968" s="213"/>
      <c r="B968" s="213"/>
      <c r="C968" s="213"/>
      <c r="D968" s="213"/>
      <c r="E968" s="213"/>
      <c r="F968" s="213"/>
      <c r="G968" s="213"/>
      <c r="H968" s="213"/>
      <c r="I968" s="213"/>
      <c r="J968" s="213"/>
      <c r="K968" s="213"/>
      <c r="L968" s="213"/>
      <c r="M968" s="213"/>
      <c r="N968" s="213"/>
      <c r="O968" s="213"/>
      <c r="P968" s="213"/>
      <c r="Q968" s="213"/>
      <c r="R968" s="213"/>
      <c r="S968" s="213"/>
      <c r="T968" s="213"/>
      <c r="U968" s="213"/>
      <c r="V968" s="213"/>
      <c r="W968" s="213"/>
      <c r="X968" s="213"/>
      <c r="Y968" s="213"/>
      <c r="Z968" s="213"/>
    </row>
    <row r="969" spans="1:26" ht="14.25">
      <c r="A969" s="213"/>
      <c r="B969" s="213"/>
      <c r="C969" s="213"/>
      <c r="D969" s="213"/>
      <c r="E969" s="213"/>
      <c r="F969" s="213"/>
      <c r="G969" s="213"/>
      <c r="H969" s="213"/>
      <c r="I969" s="213"/>
      <c r="J969" s="213"/>
      <c r="K969" s="213"/>
      <c r="L969" s="213"/>
      <c r="M969" s="213"/>
      <c r="N969" s="213"/>
      <c r="O969" s="213"/>
      <c r="P969" s="213"/>
      <c r="Q969" s="213"/>
      <c r="R969" s="213"/>
      <c r="S969" s="213"/>
      <c r="T969" s="213"/>
      <c r="U969" s="213"/>
      <c r="V969" s="213"/>
      <c r="W969" s="213"/>
      <c r="X969" s="213"/>
      <c r="Y969" s="213"/>
      <c r="Z969" s="213"/>
    </row>
    <row r="970" spans="1:26" ht="14.25">
      <c r="A970" s="213"/>
      <c r="B970" s="213"/>
      <c r="C970" s="213"/>
      <c r="D970" s="213"/>
      <c r="E970" s="213"/>
      <c r="F970" s="213"/>
      <c r="G970" s="213"/>
      <c r="H970" s="213"/>
      <c r="I970" s="213"/>
      <c r="J970" s="213"/>
      <c r="K970" s="213"/>
      <c r="L970" s="213"/>
      <c r="M970" s="213"/>
      <c r="N970" s="213"/>
      <c r="O970" s="213"/>
      <c r="P970" s="213"/>
      <c r="Q970" s="213"/>
      <c r="R970" s="213"/>
      <c r="S970" s="213"/>
      <c r="T970" s="213"/>
      <c r="U970" s="213"/>
      <c r="V970" s="213"/>
      <c r="W970" s="213"/>
      <c r="X970" s="213"/>
      <c r="Y970" s="213"/>
      <c r="Z970" s="213"/>
    </row>
    <row r="971" spans="1:26" ht="14.25">
      <c r="A971" s="213"/>
      <c r="B971" s="213"/>
      <c r="C971" s="213"/>
      <c r="D971" s="213"/>
      <c r="E971" s="213"/>
      <c r="F971" s="213"/>
      <c r="G971" s="213"/>
      <c r="H971" s="213"/>
      <c r="I971" s="213"/>
      <c r="J971" s="213"/>
      <c r="K971" s="213"/>
      <c r="L971" s="213"/>
      <c r="M971" s="213"/>
      <c r="N971" s="213"/>
      <c r="O971" s="213"/>
      <c r="P971" s="213"/>
      <c r="Q971" s="213"/>
      <c r="R971" s="213"/>
      <c r="S971" s="213"/>
      <c r="T971" s="213"/>
      <c r="U971" s="213"/>
      <c r="V971" s="213"/>
      <c r="W971" s="213"/>
      <c r="X971" s="213"/>
      <c r="Y971" s="213"/>
      <c r="Z971" s="213"/>
    </row>
    <row r="972" spans="1:26" ht="14.25">
      <c r="A972" s="213"/>
      <c r="B972" s="213"/>
      <c r="C972" s="213"/>
      <c r="D972" s="213"/>
      <c r="E972" s="213"/>
      <c r="F972" s="213"/>
      <c r="G972" s="213"/>
      <c r="H972" s="213"/>
      <c r="I972" s="213"/>
      <c r="J972" s="213"/>
      <c r="K972" s="213"/>
      <c r="L972" s="213"/>
      <c r="M972" s="213"/>
      <c r="N972" s="213"/>
      <c r="O972" s="213"/>
      <c r="P972" s="213"/>
      <c r="Q972" s="213"/>
      <c r="R972" s="213"/>
      <c r="S972" s="213"/>
      <c r="T972" s="213"/>
      <c r="U972" s="213"/>
      <c r="V972" s="213"/>
      <c r="W972" s="213"/>
      <c r="X972" s="213"/>
      <c r="Y972" s="213"/>
      <c r="Z972" s="213"/>
    </row>
    <row r="973" spans="1:26" ht="14.25">
      <c r="A973" s="213"/>
      <c r="B973" s="213"/>
      <c r="C973" s="213"/>
      <c r="D973" s="213"/>
      <c r="E973" s="213"/>
      <c r="F973" s="213"/>
      <c r="G973" s="213"/>
      <c r="H973" s="213"/>
      <c r="I973" s="213"/>
      <c r="J973" s="213"/>
      <c r="K973" s="213"/>
      <c r="L973" s="213"/>
      <c r="M973" s="213"/>
      <c r="N973" s="213"/>
      <c r="O973" s="213"/>
      <c r="P973" s="213"/>
      <c r="Q973" s="213"/>
      <c r="R973" s="213"/>
      <c r="S973" s="213"/>
      <c r="T973" s="213"/>
      <c r="U973" s="213"/>
      <c r="V973" s="213"/>
      <c r="W973" s="213"/>
      <c r="X973" s="213"/>
      <c r="Y973" s="213"/>
      <c r="Z973" s="213"/>
    </row>
    <row r="974" spans="1:26" ht="14.25">
      <c r="A974" s="213"/>
      <c r="B974" s="213"/>
      <c r="C974" s="213"/>
      <c r="D974" s="213"/>
      <c r="E974" s="213"/>
      <c r="F974" s="213"/>
      <c r="G974" s="213"/>
      <c r="H974" s="213"/>
      <c r="I974" s="213"/>
      <c r="J974" s="213"/>
      <c r="K974" s="213"/>
      <c r="L974" s="213"/>
      <c r="M974" s="213"/>
      <c r="N974" s="213"/>
      <c r="O974" s="213"/>
      <c r="P974" s="213"/>
      <c r="Q974" s="213"/>
      <c r="R974" s="213"/>
      <c r="S974" s="213"/>
      <c r="T974" s="213"/>
      <c r="U974" s="213"/>
      <c r="V974" s="213"/>
      <c r="W974" s="213"/>
      <c r="X974" s="213"/>
      <c r="Y974" s="213"/>
      <c r="Z974" s="213"/>
    </row>
    <row r="975" spans="1:26" ht="14.25">
      <c r="A975" s="213"/>
      <c r="B975" s="213"/>
      <c r="C975" s="213"/>
      <c r="D975" s="213"/>
      <c r="E975" s="213"/>
      <c r="F975" s="213"/>
      <c r="G975" s="213"/>
      <c r="H975" s="213"/>
      <c r="I975" s="213"/>
      <c r="J975" s="213"/>
      <c r="K975" s="213"/>
      <c r="L975" s="213"/>
      <c r="M975" s="213"/>
      <c r="N975" s="213"/>
      <c r="O975" s="213"/>
      <c r="P975" s="213"/>
      <c r="Q975" s="213"/>
      <c r="R975" s="213"/>
      <c r="S975" s="213"/>
      <c r="T975" s="213"/>
      <c r="U975" s="213"/>
      <c r="V975" s="213"/>
      <c r="W975" s="213"/>
      <c r="X975" s="213"/>
      <c r="Y975" s="213"/>
      <c r="Z975" s="213"/>
    </row>
    <row r="976" spans="1:26" ht="14.25">
      <c r="A976" s="213"/>
      <c r="B976" s="213"/>
      <c r="C976" s="213"/>
      <c r="D976" s="213"/>
      <c r="E976" s="213"/>
      <c r="F976" s="213"/>
      <c r="G976" s="213"/>
      <c r="H976" s="213"/>
      <c r="I976" s="213"/>
      <c r="J976" s="213"/>
      <c r="K976" s="213"/>
      <c r="L976" s="213"/>
      <c r="M976" s="213"/>
      <c r="N976" s="213"/>
      <c r="O976" s="213"/>
      <c r="P976" s="213"/>
      <c r="Q976" s="213"/>
      <c r="R976" s="213"/>
      <c r="S976" s="213"/>
      <c r="T976" s="213"/>
      <c r="U976" s="213"/>
      <c r="V976" s="213"/>
      <c r="W976" s="213"/>
      <c r="X976" s="213"/>
      <c r="Y976" s="213"/>
      <c r="Z976" s="213"/>
    </row>
    <row r="977" spans="1:26" ht="14.25">
      <c r="A977" s="213"/>
      <c r="B977" s="213"/>
      <c r="C977" s="213"/>
      <c r="D977" s="213"/>
      <c r="E977" s="213"/>
      <c r="F977" s="213"/>
      <c r="G977" s="213"/>
      <c r="H977" s="213"/>
      <c r="I977" s="213"/>
      <c r="J977" s="213"/>
      <c r="K977" s="213"/>
      <c r="L977" s="213"/>
      <c r="M977" s="213"/>
      <c r="N977" s="213"/>
      <c r="O977" s="213"/>
      <c r="P977" s="213"/>
      <c r="Q977" s="213"/>
      <c r="R977" s="213"/>
      <c r="S977" s="213"/>
      <c r="T977" s="213"/>
      <c r="U977" s="213"/>
      <c r="V977" s="213"/>
      <c r="W977" s="213"/>
      <c r="X977" s="213"/>
      <c r="Y977" s="213"/>
      <c r="Z977" s="213"/>
    </row>
    <row r="978" spans="1:26" ht="14.25">
      <c r="A978" s="213"/>
      <c r="B978" s="213"/>
      <c r="C978" s="213"/>
      <c r="D978" s="213"/>
      <c r="E978" s="213"/>
      <c r="F978" s="213"/>
      <c r="G978" s="213"/>
      <c r="H978" s="213"/>
      <c r="I978" s="213"/>
      <c r="J978" s="213"/>
      <c r="K978" s="213"/>
      <c r="L978" s="213"/>
      <c r="M978" s="213"/>
      <c r="N978" s="213"/>
      <c r="O978" s="213"/>
      <c r="P978" s="213"/>
      <c r="Q978" s="213"/>
      <c r="R978" s="213"/>
      <c r="S978" s="213"/>
      <c r="T978" s="213"/>
      <c r="U978" s="213"/>
      <c r="V978" s="213"/>
      <c r="W978" s="213"/>
      <c r="X978" s="213"/>
      <c r="Y978" s="213"/>
      <c r="Z978" s="213"/>
    </row>
    <row r="979" spans="1:26" ht="14.25">
      <c r="A979" s="213"/>
      <c r="B979" s="213"/>
      <c r="C979" s="213"/>
      <c r="D979" s="213"/>
      <c r="E979" s="213"/>
      <c r="F979" s="213"/>
      <c r="G979" s="213"/>
      <c r="H979" s="213"/>
      <c r="I979" s="213"/>
      <c r="J979" s="213"/>
      <c r="K979" s="213"/>
      <c r="L979" s="213"/>
      <c r="M979" s="213"/>
      <c r="N979" s="213"/>
      <c r="O979" s="213"/>
      <c r="P979" s="213"/>
      <c r="Q979" s="213"/>
      <c r="R979" s="213"/>
      <c r="S979" s="213"/>
      <c r="T979" s="213"/>
      <c r="U979" s="213"/>
      <c r="V979" s="213"/>
      <c r="W979" s="213"/>
      <c r="X979" s="213"/>
      <c r="Y979" s="213"/>
      <c r="Z979" s="213"/>
    </row>
    <row r="980" spans="1:26" ht="14.25">
      <c r="A980" s="213"/>
      <c r="B980" s="213"/>
      <c r="C980" s="213"/>
      <c r="D980" s="213"/>
      <c r="E980" s="213"/>
      <c r="F980" s="213"/>
      <c r="G980" s="213"/>
      <c r="H980" s="213"/>
      <c r="I980" s="213"/>
      <c r="J980" s="213"/>
      <c r="K980" s="213"/>
      <c r="L980" s="213"/>
      <c r="M980" s="213"/>
      <c r="N980" s="213"/>
      <c r="O980" s="213"/>
      <c r="P980" s="213"/>
      <c r="Q980" s="213"/>
      <c r="R980" s="213"/>
      <c r="S980" s="213"/>
      <c r="T980" s="213"/>
      <c r="U980" s="213"/>
      <c r="V980" s="213"/>
      <c r="W980" s="213"/>
      <c r="X980" s="213"/>
      <c r="Y980" s="213"/>
      <c r="Z980" s="213"/>
    </row>
    <row r="981" spans="1:26" ht="14.25">
      <c r="A981" s="213"/>
      <c r="B981" s="213"/>
      <c r="C981" s="213"/>
      <c r="D981" s="213"/>
      <c r="E981" s="213"/>
      <c r="F981" s="213"/>
      <c r="G981" s="213"/>
      <c r="H981" s="213"/>
      <c r="I981" s="213"/>
      <c r="J981" s="213"/>
      <c r="K981" s="213"/>
      <c r="L981" s="213"/>
      <c r="M981" s="213"/>
      <c r="N981" s="213"/>
      <c r="O981" s="213"/>
      <c r="P981" s="213"/>
      <c r="Q981" s="213"/>
      <c r="R981" s="213"/>
      <c r="S981" s="213"/>
      <c r="T981" s="213"/>
      <c r="U981" s="213"/>
      <c r="V981" s="213"/>
      <c r="W981" s="213"/>
      <c r="X981" s="213"/>
      <c r="Y981" s="213"/>
      <c r="Z981" s="213"/>
    </row>
    <row r="982" spans="1:26" ht="14.25">
      <c r="A982" s="213"/>
      <c r="B982" s="213"/>
      <c r="C982" s="213"/>
      <c r="D982" s="213"/>
      <c r="E982" s="213"/>
      <c r="F982" s="213"/>
      <c r="G982" s="213"/>
      <c r="H982" s="213"/>
      <c r="I982" s="213"/>
      <c r="J982" s="213"/>
      <c r="K982" s="213"/>
      <c r="L982" s="213"/>
      <c r="M982" s="213"/>
      <c r="N982" s="213"/>
      <c r="O982" s="213"/>
      <c r="P982" s="213"/>
      <c r="Q982" s="213"/>
      <c r="R982" s="213"/>
      <c r="S982" s="213"/>
      <c r="T982" s="213"/>
      <c r="U982" s="213"/>
      <c r="V982" s="213"/>
      <c r="W982" s="213"/>
      <c r="X982" s="213"/>
      <c r="Y982" s="213"/>
      <c r="Z982" s="213"/>
    </row>
    <row r="983" spans="1:26" ht="14.25">
      <c r="A983" s="213"/>
      <c r="B983" s="213"/>
      <c r="C983" s="213"/>
      <c r="D983" s="213"/>
      <c r="E983" s="213"/>
      <c r="F983" s="213"/>
      <c r="G983" s="213"/>
      <c r="H983" s="213"/>
      <c r="I983" s="213"/>
      <c r="J983" s="213"/>
      <c r="K983" s="213"/>
      <c r="L983" s="213"/>
      <c r="M983" s="213"/>
      <c r="N983" s="213"/>
      <c r="O983" s="213"/>
      <c r="P983" s="213"/>
      <c r="Q983" s="213"/>
      <c r="R983" s="213"/>
      <c r="S983" s="213"/>
      <c r="T983" s="213"/>
      <c r="U983" s="213"/>
      <c r="V983" s="213"/>
      <c r="W983" s="213"/>
      <c r="X983" s="213"/>
      <c r="Y983" s="213"/>
      <c r="Z983" s="213"/>
    </row>
    <row r="984" spans="1:26" ht="14.25">
      <c r="A984" s="213"/>
      <c r="B984" s="213"/>
      <c r="C984" s="213"/>
      <c r="D984" s="213"/>
      <c r="E984" s="213"/>
      <c r="F984" s="213"/>
      <c r="G984" s="213"/>
      <c r="H984" s="213"/>
      <c r="I984" s="213"/>
      <c r="J984" s="213"/>
      <c r="K984" s="213"/>
      <c r="L984" s="213"/>
      <c r="M984" s="213"/>
      <c r="N984" s="213"/>
      <c r="O984" s="213"/>
      <c r="P984" s="213"/>
      <c r="Q984" s="213"/>
      <c r="R984" s="213"/>
      <c r="S984" s="213"/>
      <c r="T984" s="213"/>
      <c r="U984" s="213"/>
      <c r="V984" s="213"/>
      <c r="W984" s="213"/>
      <c r="X984" s="213"/>
      <c r="Y984" s="213"/>
      <c r="Z984" s="213"/>
    </row>
    <row r="985" spans="1:26" ht="14.25">
      <c r="A985" s="213"/>
      <c r="B985" s="213"/>
      <c r="C985" s="213"/>
      <c r="D985" s="213"/>
      <c r="E985" s="213"/>
      <c r="F985" s="213"/>
      <c r="G985" s="213"/>
      <c r="H985" s="213"/>
      <c r="I985" s="213"/>
      <c r="J985" s="213"/>
      <c r="K985" s="213"/>
      <c r="L985" s="213"/>
      <c r="M985" s="213"/>
      <c r="N985" s="213"/>
      <c r="O985" s="213"/>
      <c r="P985" s="213"/>
      <c r="Q985" s="213"/>
      <c r="R985" s="213"/>
      <c r="S985" s="213"/>
      <c r="T985" s="213"/>
      <c r="U985" s="213"/>
      <c r="V985" s="213"/>
      <c r="W985" s="213"/>
      <c r="X985" s="213"/>
      <c r="Y985" s="213"/>
      <c r="Z985" s="213"/>
    </row>
    <row r="986" spans="1:26" ht="14.25">
      <c r="A986" s="213"/>
      <c r="B986" s="213"/>
      <c r="C986" s="213"/>
      <c r="D986" s="213"/>
      <c r="E986" s="213"/>
      <c r="F986" s="213"/>
      <c r="G986" s="213"/>
      <c r="H986" s="213"/>
      <c r="I986" s="213"/>
      <c r="J986" s="213"/>
      <c r="K986" s="213"/>
      <c r="L986" s="213"/>
      <c r="M986" s="213"/>
      <c r="N986" s="213"/>
      <c r="O986" s="213"/>
      <c r="P986" s="213"/>
      <c r="Q986" s="213"/>
      <c r="R986" s="213"/>
      <c r="S986" s="213"/>
      <c r="T986" s="213"/>
      <c r="U986" s="213"/>
      <c r="V986" s="213"/>
      <c r="W986" s="213"/>
      <c r="X986" s="213"/>
      <c r="Y986" s="213"/>
      <c r="Z986" s="213"/>
    </row>
    <row r="987" spans="1:26" ht="14.25">
      <c r="A987" s="213"/>
      <c r="B987" s="213"/>
      <c r="C987" s="213"/>
      <c r="D987" s="213"/>
      <c r="E987" s="213"/>
      <c r="F987" s="213"/>
      <c r="G987" s="213"/>
      <c r="H987" s="213"/>
      <c r="I987" s="213"/>
      <c r="J987" s="213"/>
      <c r="K987" s="213"/>
      <c r="L987" s="213"/>
      <c r="M987" s="213"/>
      <c r="N987" s="213"/>
      <c r="O987" s="213"/>
      <c r="P987" s="213"/>
      <c r="Q987" s="213"/>
      <c r="R987" s="213"/>
      <c r="S987" s="213"/>
      <c r="T987" s="213"/>
      <c r="U987" s="213"/>
      <c r="V987" s="213"/>
      <c r="W987" s="213"/>
      <c r="X987" s="213"/>
      <c r="Y987" s="213"/>
      <c r="Z987" s="213"/>
    </row>
    <row r="988" spans="1:26" ht="14.25">
      <c r="A988" s="213"/>
      <c r="B988" s="213"/>
      <c r="C988" s="213"/>
      <c r="D988" s="213"/>
      <c r="E988" s="213"/>
      <c r="F988" s="213"/>
      <c r="G988" s="213"/>
      <c r="H988" s="213"/>
      <c r="I988" s="213"/>
      <c r="J988" s="213"/>
      <c r="K988" s="213"/>
      <c r="L988" s="213"/>
      <c r="M988" s="213"/>
      <c r="N988" s="213"/>
      <c r="O988" s="213"/>
      <c r="P988" s="213"/>
      <c r="Q988" s="213"/>
      <c r="R988" s="213"/>
      <c r="S988" s="213"/>
      <c r="T988" s="213"/>
      <c r="U988" s="213"/>
      <c r="V988" s="213"/>
      <c r="W988" s="213"/>
      <c r="X988" s="213"/>
      <c r="Y988" s="213"/>
      <c r="Z988" s="213"/>
    </row>
    <row r="989" spans="1:26" ht="14.25">
      <c r="A989" s="213"/>
      <c r="B989" s="213"/>
      <c r="C989" s="213"/>
      <c r="D989" s="213"/>
      <c r="E989" s="213"/>
      <c r="F989" s="213"/>
      <c r="G989" s="213"/>
      <c r="H989" s="213"/>
      <c r="I989" s="213"/>
      <c r="J989" s="213"/>
      <c r="K989" s="213"/>
      <c r="L989" s="213"/>
      <c r="M989" s="213"/>
      <c r="N989" s="213"/>
      <c r="O989" s="213"/>
      <c r="P989" s="213"/>
      <c r="Q989" s="213"/>
      <c r="R989" s="213"/>
      <c r="S989" s="213"/>
      <c r="T989" s="213"/>
      <c r="U989" s="213"/>
      <c r="V989" s="213"/>
      <c r="W989" s="213"/>
      <c r="X989" s="213"/>
      <c r="Y989" s="213"/>
      <c r="Z989" s="213"/>
    </row>
    <row r="990" spans="1:26" ht="14.25">
      <c r="A990" s="213"/>
      <c r="B990" s="213"/>
      <c r="C990" s="213"/>
      <c r="D990" s="213"/>
      <c r="E990" s="213"/>
      <c r="F990" s="213"/>
      <c r="G990" s="213"/>
      <c r="H990" s="213"/>
      <c r="I990" s="213"/>
      <c r="J990" s="213"/>
      <c r="K990" s="213"/>
      <c r="L990" s="213"/>
      <c r="M990" s="213"/>
      <c r="N990" s="213"/>
      <c r="O990" s="213"/>
      <c r="P990" s="213"/>
      <c r="Q990" s="213"/>
      <c r="R990" s="213"/>
      <c r="S990" s="213"/>
      <c r="T990" s="213"/>
      <c r="U990" s="213"/>
      <c r="V990" s="213"/>
      <c r="W990" s="213"/>
      <c r="X990" s="213"/>
      <c r="Y990" s="213"/>
      <c r="Z990" s="213"/>
    </row>
    <row r="991" spans="1:26" ht="14.25">
      <c r="A991" s="213"/>
      <c r="B991" s="213"/>
      <c r="C991" s="213"/>
      <c r="D991" s="213"/>
      <c r="E991" s="213"/>
      <c r="F991" s="213"/>
      <c r="G991" s="213"/>
      <c r="H991" s="213"/>
      <c r="I991" s="213"/>
      <c r="J991" s="213"/>
      <c r="K991" s="213"/>
      <c r="L991" s="213"/>
      <c r="M991" s="213"/>
      <c r="N991" s="213"/>
      <c r="O991" s="213"/>
      <c r="P991" s="213"/>
      <c r="Q991" s="213"/>
      <c r="R991" s="213"/>
      <c r="S991" s="213"/>
      <c r="T991" s="213"/>
      <c r="U991" s="213"/>
      <c r="V991" s="213"/>
      <c r="W991" s="213"/>
      <c r="X991" s="213"/>
      <c r="Y991" s="213"/>
      <c r="Z991" s="213"/>
    </row>
    <row r="992" spans="1:26" ht="14.25">
      <c r="A992" s="213"/>
      <c r="B992" s="213"/>
      <c r="C992" s="213"/>
      <c r="D992" s="213"/>
      <c r="E992" s="213"/>
      <c r="F992" s="213"/>
      <c r="G992" s="213"/>
      <c r="H992" s="213"/>
      <c r="I992" s="213"/>
      <c r="J992" s="213"/>
      <c r="K992" s="213"/>
      <c r="L992" s="213"/>
      <c r="M992" s="213"/>
      <c r="N992" s="213"/>
      <c r="O992" s="213"/>
      <c r="P992" s="213"/>
      <c r="Q992" s="213"/>
      <c r="R992" s="213"/>
      <c r="S992" s="213"/>
      <c r="T992" s="213"/>
      <c r="U992" s="213"/>
      <c r="V992" s="213"/>
      <c r="W992" s="213"/>
      <c r="X992" s="213"/>
      <c r="Y992" s="213"/>
      <c r="Z992" s="213"/>
    </row>
    <row r="993" spans="1:26" ht="14.25">
      <c r="A993" s="213"/>
      <c r="B993" s="213"/>
      <c r="C993" s="213"/>
      <c r="D993" s="213"/>
      <c r="E993" s="213"/>
      <c r="F993" s="213"/>
      <c r="G993" s="213"/>
      <c r="H993" s="213"/>
      <c r="I993" s="213"/>
      <c r="J993" s="213"/>
      <c r="K993" s="213"/>
      <c r="L993" s="213"/>
      <c r="M993" s="213"/>
      <c r="N993" s="213"/>
      <c r="O993" s="213"/>
      <c r="P993" s="213"/>
      <c r="Q993" s="213"/>
      <c r="R993" s="213"/>
      <c r="S993" s="213"/>
      <c r="T993" s="213"/>
      <c r="U993" s="213"/>
      <c r="V993" s="213"/>
      <c r="W993" s="213"/>
      <c r="X993" s="213"/>
      <c r="Y993" s="213"/>
      <c r="Z993" s="213"/>
    </row>
    <row r="994" spans="1:26" ht="14.25">
      <c r="A994" s="213"/>
      <c r="B994" s="213"/>
      <c r="C994" s="213"/>
      <c r="D994" s="213"/>
      <c r="E994" s="213"/>
      <c r="F994" s="213"/>
      <c r="G994" s="213"/>
      <c r="H994" s="213"/>
      <c r="I994" s="213"/>
      <c r="J994" s="213"/>
      <c r="K994" s="213"/>
      <c r="L994" s="213"/>
      <c r="M994" s="213"/>
      <c r="N994" s="213"/>
      <c r="O994" s="213"/>
      <c r="P994" s="213"/>
      <c r="Q994" s="213"/>
      <c r="R994" s="213"/>
      <c r="S994" s="213"/>
      <c r="T994" s="213"/>
      <c r="U994" s="213"/>
      <c r="V994" s="213"/>
      <c r="W994" s="213"/>
      <c r="X994" s="213"/>
      <c r="Y994" s="213"/>
      <c r="Z994" s="213"/>
    </row>
    <row r="995" spans="1:26" ht="14.25">
      <c r="A995" s="213"/>
      <c r="B995" s="213"/>
      <c r="C995" s="213"/>
      <c r="D995" s="213"/>
      <c r="E995" s="213"/>
      <c r="F995" s="213"/>
      <c r="G995" s="213"/>
      <c r="H995" s="213"/>
      <c r="I995" s="213"/>
      <c r="J995" s="213"/>
      <c r="K995" s="213"/>
      <c r="L995" s="213"/>
      <c r="M995" s="213"/>
      <c r="N995" s="213"/>
      <c r="O995" s="213"/>
      <c r="P995" s="213"/>
      <c r="Q995" s="213"/>
      <c r="R995" s="213"/>
      <c r="S995" s="213"/>
      <c r="T995" s="213"/>
      <c r="U995" s="213"/>
      <c r="V995" s="213"/>
      <c r="W995" s="213"/>
      <c r="X995" s="213"/>
      <c r="Y995" s="213"/>
      <c r="Z995" s="213"/>
    </row>
    <row r="996" spans="1:26" ht="14.25">
      <c r="A996" s="213"/>
      <c r="B996" s="213"/>
      <c r="C996" s="213"/>
      <c r="D996" s="213"/>
      <c r="E996" s="213"/>
      <c r="F996" s="213"/>
      <c r="G996" s="213"/>
      <c r="H996" s="213"/>
      <c r="I996" s="213"/>
      <c r="J996" s="213"/>
      <c r="K996" s="213"/>
      <c r="L996" s="213"/>
      <c r="M996" s="213"/>
      <c r="N996" s="213"/>
      <c r="O996" s="213"/>
      <c r="P996" s="213"/>
      <c r="Q996" s="213"/>
      <c r="R996" s="213"/>
      <c r="S996" s="213"/>
      <c r="T996" s="213"/>
      <c r="U996" s="213"/>
      <c r="V996" s="213"/>
      <c r="W996" s="213"/>
      <c r="X996" s="213"/>
      <c r="Y996" s="213"/>
      <c r="Z996" s="213"/>
    </row>
    <row r="997" spans="1:26" ht="14.25">
      <c r="A997" s="213"/>
      <c r="B997" s="213"/>
      <c r="C997" s="213"/>
      <c r="D997" s="213"/>
      <c r="E997" s="213"/>
      <c r="F997" s="213"/>
      <c r="G997" s="213"/>
      <c r="H997" s="213"/>
      <c r="I997" s="213"/>
      <c r="J997" s="213"/>
      <c r="K997" s="213"/>
      <c r="L997" s="213"/>
      <c r="M997" s="213"/>
      <c r="N997" s="213"/>
      <c r="O997" s="213"/>
      <c r="P997" s="213"/>
      <c r="Q997" s="213"/>
      <c r="R997" s="213"/>
      <c r="S997" s="213"/>
      <c r="T997" s="213"/>
      <c r="U997" s="213"/>
      <c r="V997" s="213"/>
      <c r="W997" s="213"/>
      <c r="X997" s="213"/>
      <c r="Y997" s="213"/>
      <c r="Z997" s="213"/>
    </row>
    <row r="998" spans="1:26" ht="14.25">
      <c r="A998" s="213"/>
      <c r="B998" s="213"/>
      <c r="C998" s="213"/>
      <c r="D998" s="213"/>
      <c r="E998" s="213"/>
      <c r="F998" s="213"/>
      <c r="G998" s="213"/>
      <c r="H998" s="213"/>
      <c r="I998" s="213"/>
      <c r="J998" s="213"/>
      <c r="K998" s="213"/>
      <c r="L998" s="213"/>
      <c r="M998" s="213"/>
      <c r="N998" s="213"/>
      <c r="O998" s="213"/>
      <c r="P998" s="213"/>
      <c r="Q998" s="213"/>
      <c r="R998" s="213"/>
      <c r="S998" s="213"/>
      <c r="T998" s="213"/>
      <c r="U998" s="213"/>
      <c r="V998" s="213"/>
      <c r="W998" s="213"/>
      <c r="X998" s="213"/>
      <c r="Y998" s="213"/>
      <c r="Z998" s="213"/>
    </row>
    <row r="999" spans="1:26" ht="14.25">
      <c r="A999" s="213"/>
      <c r="B999" s="213"/>
      <c r="C999" s="213"/>
      <c r="D999" s="213"/>
      <c r="E999" s="213"/>
      <c r="F999" s="213"/>
      <c r="G999" s="213"/>
      <c r="H999" s="213"/>
      <c r="I999" s="213"/>
      <c r="J999" s="213"/>
      <c r="K999" s="213"/>
      <c r="L999" s="213"/>
      <c r="M999" s="213"/>
      <c r="N999" s="213"/>
      <c r="O999" s="213"/>
      <c r="P999" s="213"/>
      <c r="Q999" s="213"/>
      <c r="R999" s="213"/>
      <c r="S999" s="213"/>
      <c r="T999" s="213"/>
      <c r="U999" s="213"/>
      <c r="V999" s="213"/>
      <c r="W999" s="213"/>
      <c r="X999" s="213"/>
      <c r="Y999" s="213"/>
      <c r="Z999" s="213"/>
    </row>
    <row r="1000" spans="1:26" ht="14.25">
      <c r="A1000" s="213"/>
      <c r="B1000" s="213"/>
      <c r="C1000" s="213"/>
      <c r="D1000" s="213"/>
      <c r="E1000" s="213"/>
      <c r="F1000" s="213"/>
      <c r="G1000" s="213"/>
      <c r="H1000" s="213"/>
      <c r="I1000" s="213"/>
      <c r="J1000" s="213"/>
      <c r="K1000" s="213"/>
      <c r="L1000" s="213"/>
      <c r="M1000" s="213"/>
      <c r="N1000" s="213"/>
      <c r="O1000" s="213"/>
      <c r="P1000" s="213"/>
      <c r="Q1000" s="213"/>
      <c r="R1000" s="213"/>
      <c r="S1000" s="213"/>
      <c r="T1000" s="213"/>
      <c r="U1000" s="213"/>
      <c r="V1000" s="213"/>
      <c r="W1000" s="213"/>
      <c r="X1000" s="213"/>
      <c r="Y1000" s="213"/>
      <c r="Z1000" s="213"/>
    </row>
    <row r="1001" spans="1:26" ht="14.25">
      <c r="A1001" s="213"/>
      <c r="B1001" s="213"/>
      <c r="C1001" s="213"/>
      <c r="D1001" s="213"/>
      <c r="E1001" s="213"/>
      <c r="F1001" s="213"/>
      <c r="G1001" s="213"/>
      <c r="H1001" s="213"/>
      <c r="I1001" s="213"/>
      <c r="J1001" s="213"/>
      <c r="K1001" s="213"/>
      <c r="L1001" s="213"/>
      <c r="M1001" s="213"/>
      <c r="N1001" s="213"/>
      <c r="O1001" s="213"/>
      <c r="P1001" s="213"/>
      <c r="Q1001" s="213"/>
      <c r="R1001" s="213"/>
      <c r="S1001" s="213"/>
      <c r="T1001" s="213"/>
      <c r="U1001" s="213"/>
      <c r="V1001" s="213"/>
      <c r="W1001" s="213"/>
      <c r="X1001" s="213"/>
      <c r="Y1001" s="213"/>
      <c r="Z1001" s="213"/>
    </row>
    <row r="1002" spans="1:26" ht="14.25">
      <c r="A1002" s="213"/>
      <c r="B1002" s="213"/>
      <c r="C1002" s="213"/>
      <c r="D1002" s="213"/>
      <c r="E1002" s="213"/>
      <c r="F1002" s="213"/>
      <c r="G1002" s="213"/>
      <c r="H1002" s="213"/>
      <c r="I1002" s="213"/>
      <c r="J1002" s="213"/>
      <c r="K1002" s="213"/>
      <c r="L1002" s="213"/>
      <c r="M1002" s="213"/>
      <c r="N1002" s="213"/>
      <c r="O1002" s="213"/>
      <c r="P1002" s="213"/>
      <c r="Q1002" s="213"/>
      <c r="R1002" s="213"/>
      <c r="S1002" s="213"/>
      <c r="T1002" s="213"/>
      <c r="U1002" s="213"/>
      <c r="V1002" s="213"/>
      <c r="W1002" s="213"/>
      <c r="X1002" s="213"/>
      <c r="Y1002" s="213"/>
      <c r="Z1002" s="213"/>
    </row>
    <row r="1003" spans="1:26" ht="14.25">
      <c r="A1003" s="213"/>
      <c r="B1003" s="213"/>
      <c r="C1003" s="213"/>
      <c r="D1003" s="213"/>
      <c r="E1003" s="213"/>
      <c r="F1003" s="213"/>
      <c r="G1003" s="213"/>
      <c r="H1003" s="213"/>
      <c r="I1003" s="213"/>
      <c r="J1003" s="213"/>
      <c r="K1003" s="213"/>
      <c r="L1003" s="213"/>
      <c r="M1003" s="213"/>
      <c r="N1003" s="213"/>
      <c r="O1003" s="213"/>
      <c r="P1003" s="213"/>
      <c r="Q1003" s="213"/>
      <c r="R1003" s="213"/>
      <c r="S1003" s="213"/>
      <c r="T1003" s="213"/>
      <c r="U1003" s="213"/>
      <c r="V1003" s="213"/>
      <c r="W1003" s="213"/>
      <c r="X1003" s="213"/>
      <c r="Y1003" s="213"/>
      <c r="Z1003" s="213"/>
    </row>
    <row r="1004" spans="1:26" ht="14.25">
      <c r="A1004" s="213"/>
      <c r="B1004" s="213"/>
      <c r="C1004" s="213"/>
      <c r="D1004" s="213"/>
      <c r="E1004" s="213"/>
      <c r="F1004" s="213"/>
      <c r="G1004" s="213"/>
      <c r="H1004" s="213"/>
      <c r="I1004" s="213"/>
      <c r="J1004" s="213"/>
      <c r="K1004" s="213"/>
      <c r="L1004" s="213"/>
      <c r="M1004" s="213"/>
      <c r="N1004" s="213"/>
      <c r="O1004" s="213"/>
      <c r="P1004" s="213"/>
      <c r="Q1004" s="213"/>
      <c r="R1004" s="213"/>
      <c r="S1004" s="213"/>
      <c r="T1004" s="213"/>
      <c r="U1004" s="213"/>
      <c r="V1004" s="213"/>
      <c r="W1004" s="213"/>
      <c r="X1004" s="213"/>
      <c r="Y1004" s="213"/>
      <c r="Z1004" s="213"/>
    </row>
    <row r="1005" spans="1:26" ht="14.25">
      <c r="A1005" s="213"/>
      <c r="B1005" s="213"/>
      <c r="C1005" s="213"/>
      <c r="D1005" s="213"/>
      <c r="E1005" s="213"/>
      <c r="F1005" s="213"/>
      <c r="G1005" s="213"/>
      <c r="H1005" s="213"/>
      <c r="I1005" s="213"/>
      <c r="J1005" s="213"/>
      <c r="K1005" s="213"/>
      <c r="L1005" s="213"/>
      <c r="M1005" s="213"/>
      <c r="N1005" s="213"/>
      <c r="O1005" s="213"/>
      <c r="P1005" s="213"/>
      <c r="Q1005" s="213"/>
      <c r="R1005" s="213"/>
      <c r="S1005" s="213"/>
      <c r="T1005" s="213"/>
      <c r="U1005" s="213"/>
      <c r="V1005" s="213"/>
      <c r="W1005" s="213"/>
      <c r="X1005" s="213"/>
      <c r="Y1005" s="213"/>
      <c r="Z1005" s="213"/>
    </row>
    <row r="1006" spans="1:26" ht="14.25">
      <c r="A1006" s="213"/>
      <c r="B1006" s="213"/>
      <c r="C1006" s="213"/>
      <c r="D1006" s="213"/>
      <c r="E1006" s="213"/>
      <c r="F1006" s="213"/>
      <c r="G1006" s="213"/>
      <c r="H1006" s="213"/>
      <c r="I1006" s="213"/>
      <c r="J1006" s="213"/>
      <c r="K1006" s="213"/>
      <c r="L1006" s="213"/>
      <c r="M1006" s="213"/>
      <c r="N1006" s="213"/>
      <c r="O1006" s="213"/>
      <c r="P1006" s="213"/>
      <c r="Q1006" s="213"/>
      <c r="R1006" s="213"/>
      <c r="S1006" s="213"/>
      <c r="T1006" s="213"/>
      <c r="U1006" s="213"/>
      <c r="V1006" s="213"/>
      <c r="W1006" s="213"/>
      <c r="X1006" s="213"/>
      <c r="Y1006" s="213"/>
      <c r="Z1006" s="213"/>
    </row>
    <row r="1007" spans="1:26" ht="14.25">
      <c r="A1007" s="213"/>
      <c r="B1007" s="213"/>
      <c r="C1007" s="213"/>
      <c r="D1007" s="213"/>
      <c r="E1007" s="213"/>
      <c r="F1007" s="213"/>
      <c r="G1007" s="213"/>
      <c r="H1007" s="213"/>
      <c r="I1007" s="213"/>
      <c r="J1007" s="213"/>
      <c r="K1007" s="213"/>
      <c r="L1007" s="213"/>
      <c r="M1007" s="213"/>
      <c r="N1007" s="213"/>
      <c r="O1007" s="213"/>
      <c r="P1007" s="213"/>
      <c r="Q1007" s="213"/>
      <c r="R1007" s="213"/>
      <c r="S1007" s="213"/>
      <c r="T1007" s="213"/>
      <c r="U1007" s="213"/>
      <c r="V1007" s="213"/>
      <c r="W1007" s="213"/>
      <c r="X1007" s="213"/>
      <c r="Y1007" s="213"/>
      <c r="Z1007" s="213"/>
    </row>
    <row r="1008" spans="1:26" ht="14.25">
      <c r="A1008" s="213"/>
      <c r="B1008" s="213"/>
      <c r="C1008" s="213"/>
      <c r="D1008" s="213"/>
      <c r="E1008" s="213"/>
      <c r="F1008" s="213"/>
      <c r="G1008" s="213"/>
      <c r="H1008" s="213"/>
      <c r="I1008" s="213"/>
      <c r="J1008" s="213"/>
      <c r="K1008" s="213"/>
      <c r="L1008" s="213"/>
      <c r="M1008" s="213"/>
      <c r="N1008" s="213"/>
      <c r="O1008" s="213"/>
      <c r="P1008" s="213"/>
      <c r="Q1008" s="213"/>
      <c r="R1008" s="213"/>
      <c r="S1008" s="213"/>
      <c r="T1008" s="213"/>
      <c r="U1008" s="213"/>
      <c r="V1008" s="213"/>
      <c r="W1008" s="213"/>
      <c r="X1008" s="213"/>
      <c r="Y1008" s="213"/>
      <c r="Z1008" s="213"/>
    </row>
    <row r="1009" spans="1:26" ht="14.25">
      <c r="A1009" s="213"/>
      <c r="B1009" s="213"/>
      <c r="C1009" s="213"/>
      <c r="D1009" s="213"/>
      <c r="E1009" s="213"/>
      <c r="F1009" s="213"/>
      <c r="G1009" s="213"/>
      <c r="H1009" s="213"/>
      <c r="I1009" s="213"/>
      <c r="J1009" s="213"/>
      <c r="K1009" s="213"/>
      <c r="L1009" s="213"/>
      <c r="M1009" s="213"/>
      <c r="N1009" s="213"/>
      <c r="O1009" s="213"/>
      <c r="P1009" s="213"/>
      <c r="Q1009" s="213"/>
      <c r="R1009" s="213"/>
      <c r="S1009" s="213"/>
      <c r="T1009" s="213"/>
      <c r="U1009" s="213"/>
      <c r="V1009" s="213"/>
      <c r="W1009" s="213"/>
      <c r="X1009" s="213"/>
      <c r="Y1009" s="213"/>
      <c r="Z1009" s="213"/>
    </row>
    <row r="1010" spans="1:26" ht="14.25">
      <c r="A1010" s="213"/>
      <c r="B1010" s="213"/>
      <c r="C1010" s="213"/>
      <c r="D1010" s="213"/>
      <c r="E1010" s="213"/>
      <c r="F1010" s="213"/>
      <c r="G1010" s="213"/>
      <c r="H1010" s="213"/>
      <c r="I1010" s="213"/>
      <c r="J1010" s="213"/>
      <c r="K1010" s="213"/>
      <c r="L1010" s="213"/>
      <c r="M1010" s="213"/>
      <c r="N1010" s="213"/>
      <c r="O1010" s="213"/>
      <c r="P1010" s="213"/>
      <c r="Q1010" s="213"/>
      <c r="R1010" s="213"/>
      <c r="S1010" s="213"/>
      <c r="T1010" s="213"/>
      <c r="U1010" s="213"/>
      <c r="V1010" s="213"/>
      <c r="W1010" s="213"/>
      <c r="X1010" s="213"/>
      <c r="Y1010" s="213"/>
      <c r="Z1010" s="213"/>
    </row>
    <row r="1011" spans="1:26" ht="14.25">
      <c r="A1011" s="213"/>
      <c r="B1011" s="213"/>
      <c r="C1011" s="213"/>
      <c r="D1011" s="213"/>
      <c r="E1011" s="213"/>
      <c r="F1011" s="213"/>
      <c r="G1011" s="213"/>
      <c r="H1011" s="213"/>
      <c r="I1011" s="213"/>
      <c r="J1011" s="213"/>
      <c r="K1011" s="213"/>
      <c r="L1011" s="213"/>
      <c r="M1011" s="213"/>
      <c r="N1011" s="213"/>
      <c r="O1011" s="213"/>
      <c r="P1011" s="213"/>
      <c r="Q1011" s="213"/>
      <c r="R1011" s="213"/>
      <c r="S1011" s="213"/>
      <c r="T1011" s="213"/>
      <c r="U1011" s="213"/>
      <c r="V1011" s="213"/>
      <c r="W1011" s="213"/>
      <c r="X1011" s="213"/>
      <c r="Y1011" s="213"/>
      <c r="Z1011" s="213"/>
    </row>
    <row r="1012" spans="1:26" ht="14.25">
      <c r="A1012" s="213"/>
      <c r="B1012" s="213"/>
      <c r="C1012" s="213"/>
      <c r="D1012" s="213"/>
      <c r="E1012" s="213"/>
      <c r="F1012" s="213"/>
      <c r="G1012" s="213"/>
      <c r="H1012" s="213"/>
      <c r="I1012" s="213"/>
      <c r="J1012" s="213"/>
      <c r="K1012" s="213"/>
      <c r="L1012" s="213"/>
      <c r="M1012" s="213"/>
      <c r="N1012" s="213"/>
      <c r="O1012" s="213"/>
      <c r="P1012" s="213"/>
      <c r="Q1012" s="213"/>
      <c r="R1012" s="213"/>
      <c r="S1012" s="213"/>
      <c r="T1012" s="213"/>
      <c r="U1012" s="213"/>
      <c r="V1012" s="213"/>
      <c r="W1012" s="213"/>
      <c r="X1012" s="213"/>
      <c r="Y1012" s="213"/>
      <c r="Z1012" s="213"/>
    </row>
    <row r="1013" spans="1:26" ht="14.25">
      <c r="A1013" s="213"/>
      <c r="B1013" s="213"/>
      <c r="C1013" s="213"/>
      <c r="D1013" s="213"/>
      <c r="E1013" s="213"/>
      <c r="F1013" s="213"/>
      <c r="G1013" s="213"/>
      <c r="H1013" s="213"/>
      <c r="I1013" s="213"/>
      <c r="J1013" s="213"/>
      <c r="K1013" s="213"/>
      <c r="L1013" s="213"/>
      <c r="M1013" s="213"/>
      <c r="N1013" s="213"/>
      <c r="O1013" s="213"/>
      <c r="P1013" s="213"/>
      <c r="Q1013" s="213"/>
      <c r="R1013" s="213"/>
      <c r="S1013" s="213"/>
      <c r="T1013" s="213"/>
      <c r="U1013" s="213"/>
      <c r="V1013" s="213"/>
      <c r="W1013" s="213"/>
      <c r="X1013" s="213"/>
      <c r="Y1013" s="213"/>
      <c r="Z1013" s="213"/>
    </row>
    <row r="1014" spans="1:26" ht="14.25">
      <c r="A1014" s="213"/>
      <c r="B1014" s="213"/>
      <c r="C1014" s="213"/>
      <c r="D1014" s="213"/>
      <c r="E1014" s="213"/>
      <c r="F1014" s="213"/>
      <c r="G1014" s="213"/>
      <c r="H1014" s="213"/>
      <c r="I1014" s="213"/>
      <c r="J1014" s="213"/>
      <c r="K1014" s="213"/>
      <c r="L1014" s="213"/>
      <c r="M1014" s="213"/>
      <c r="N1014" s="213"/>
      <c r="O1014" s="213"/>
      <c r="P1014" s="213"/>
      <c r="Q1014" s="213"/>
      <c r="R1014" s="213"/>
      <c r="S1014" s="213"/>
      <c r="T1014" s="213"/>
      <c r="U1014" s="213"/>
      <c r="V1014" s="213"/>
      <c r="W1014" s="213"/>
      <c r="X1014" s="213"/>
      <c r="Y1014" s="213"/>
      <c r="Z1014" s="213"/>
    </row>
    <row r="1015" spans="1:26" ht="14.25">
      <c r="A1015" s="213"/>
      <c r="B1015" s="213"/>
      <c r="C1015" s="213"/>
      <c r="D1015" s="213"/>
      <c r="E1015" s="213"/>
      <c r="F1015" s="213"/>
      <c r="G1015" s="213"/>
      <c r="H1015" s="213"/>
      <c r="I1015" s="213"/>
      <c r="J1015" s="213"/>
      <c r="K1015" s="213"/>
      <c r="L1015" s="213"/>
      <c r="M1015" s="213"/>
      <c r="N1015" s="213"/>
      <c r="O1015" s="213"/>
      <c r="P1015" s="213"/>
      <c r="Q1015" s="213"/>
      <c r="R1015" s="213"/>
      <c r="S1015" s="213"/>
      <c r="T1015" s="213"/>
      <c r="U1015" s="213"/>
      <c r="V1015" s="213"/>
      <c r="W1015" s="213"/>
      <c r="X1015" s="213"/>
      <c r="Y1015" s="213"/>
      <c r="Z1015" s="213"/>
    </row>
    <row r="1016" spans="1:26" ht="14.25">
      <c r="A1016" s="213"/>
      <c r="B1016" s="213"/>
      <c r="C1016" s="213"/>
      <c r="D1016" s="213"/>
      <c r="E1016" s="213"/>
      <c r="F1016" s="213"/>
      <c r="G1016" s="213"/>
      <c r="H1016" s="213"/>
      <c r="I1016" s="213"/>
      <c r="J1016" s="213"/>
      <c r="K1016" s="213"/>
      <c r="L1016" s="213"/>
      <c r="M1016" s="213"/>
      <c r="N1016" s="213"/>
      <c r="O1016" s="213"/>
      <c r="P1016" s="213"/>
      <c r="Q1016" s="213"/>
      <c r="R1016" s="213"/>
      <c r="S1016" s="213"/>
      <c r="T1016" s="213"/>
      <c r="U1016" s="213"/>
      <c r="V1016" s="213"/>
      <c r="W1016" s="213"/>
      <c r="X1016" s="213"/>
      <c r="Y1016" s="213"/>
      <c r="Z1016" s="213"/>
    </row>
    <row r="1017" spans="1:26" ht="14.25">
      <c r="A1017" s="213"/>
      <c r="B1017" s="213"/>
      <c r="C1017" s="213"/>
      <c r="D1017" s="213"/>
      <c r="E1017" s="213"/>
      <c r="F1017" s="213"/>
      <c r="G1017" s="213"/>
      <c r="H1017" s="213"/>
      <c r="I1017" s="213"/>
      <c r="J1017" s="213"/>
      <c r="K1017" s="213"/>
      <c r="L1017" s="213"/>
      <c r="M1017" s="213"/>
      <c r="N1017" s="213"/>
      <c r="O1017" s="213"/>
      <c r="P1017" s="213"/>
      <c r="Q1017" s="213"/>
      <c r="R1017" s="213"/>
      <c r="S1017" s="213"/>
      <c r="T1017" s="213"/>
      <c r="U1017" s="213"/>
      <c r="V1017" s="213"/>
      <c r="W1017" s="213"/>
      <c r="X1017" s="213"/>
      <c r="Y1017" s="213"/>
      <c r="Z1017" s="21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G36"/>
  <sheetViews>
    <sheetView workbookViewId="0"/>
  </sheetViews>
  <sheetFormatPr defaultColWidth="12.7109375" defaultRowHeight="15.95" customHeight="1"/>
  <cols>
    <col min="1" max="1" width="9.7109375" customWidth="1"/>
    <col min="2" max="2" width="31.42578125" customWidth="1"/>
    <col min="3" max="3" width="27.85546875" customWidth="1"/>
    <col min="4" max="4" width="32.28515625" customWidth="1"/>
    <col min="5" max="5" width="24.42578125" customWidth="1"/>
    <col min="6" max="6" width="25.140625" customWidth="1"/>
  </cols>
  <sheetData>
    <row r="1" spans="1:7" ht="15.95" customHeight="1">
      <c r="A1" s="221" t="s">
        <v>3872</v>
      </c>
      <c r="B1" s="221" t="s">
        <v>3873</v>
      </c>
      <c r="C1" s="221" t="s">
        <v>3874</v>
      </c>
      <c r="D1" s="221" t="s">
        <v>3875</v>
      </c>
      <c r="E1" s="221" t="s">
        <v>3876</v>
      </c>
      <c r="F1" s="221" t="s">
        <v>3877</v>
      </c>
      <c r="G1" s="197"/>
    </row>
    <row r="2" spans="1:7" ht="15.95" customHeight="1">
      <c r="A2" s="222" t="s">
        <v>3878</v>
      </c>
      <c r="B2" s="222" t="s">
        <v>3879</v>
      </c>
      <c r="C2" s="197" t="s">
        <v>1267</v>
      </c>
      <c r="D2" s="222" t="s">
        <v>3880</v>
      </c>
      <c r="E2" s="188" t="s">
        <v>3881</v>
      </c>
      <c r="F2" s="81" t="s">
        <v>3882</v>
      </c>
      <c r="G2" s="197"/>
    </row>
    <row r="3" spans="1:7" ht="15.95" customHeight="1">
      <c r="A3" s="223"/>
      <c r="B3" s="223"/>
      <c r="C3" s="224" t="s">
        <v>1883</v>
      </c>
      <c r="D3" s="222" t="s">
        <v>3883</v>
      </c>
      <c r="E3" s="28" t="s">
        <v>1414</v>
      </c>
      <c r="F3" s="24" t="s">
        <v>3884</v>
      </c>
      <c r="G3" s="197"/>
    </row>
    <row r="4" spans="1:7" ht="15.95" customHeight="1">
      <c r="A4" s="223"/>
      <c r="B4" s="223"/>
      <c r="C4" s="81" t="s">
        <v>1395</v>
      </c>
      <c r="D4" s="222" t="s">
        <v>3885</v>
      </c>
      <c r="E4" s="73" t="s">
        <v>3886</v>
      </c>
      <c r="F4" s="222" t="s">
        <v>3887</v>
      </c>
      <c r="G4" s="197"/>
    </row>
    <row r="5" spans="1:7" ht="15.95" customHeight="1">
      <c r="A5" s="223"/>
      <c r="B5" s="222"/>
      <c r="C5" s="81" t="s">
        <v>1165</v>
      </c>
      <c r="D5" s="222" t="s">
        <v>3888</v>
      </c>
      <c r="E5" s="225" t="s">
        <v>1176</v>
      </c>
      <c r="F5" s="75" t="s">
        <v>3889</v>
      </c>
      <c r="G5" s="197"/>
    </row>
    <row r="6" spans="1:7" ht="15.95" customHeight="1">
      <c r="A6" s="223"/>
      <c r="B6" s="222"/>
      <c r="C6" s="81" t="s">
        <v>1160</v>
      </c>
      <c r="D6" s="222" t="s">
        <v>3890</v>
      </c>
      <c r="E6" s="225"/>
      <c r="F6" s="75"/>
      <c r="G6" s="197"/>
    </row>
    <row r="7" spans="1:7" ht="15.95" customHeight="1">
      <c r="A7" s="223"/>
      <c r="B7" s="222" t="s">
        <v>3891</v>
      </c>
      <c r="C7" s="197" t="s">
        <v>1174</v>
      </c>
      <c r="D7" s="222" t="s">
        <v>3892</v>
      </c>
      <c r="E7" s="73" t="s">
        <v>1640</v>
      </c>
      <c r="F7" s="222" t="s">
        <v>3893</v>
      </c>
      <c r="G7" s="197"/>
    </row>
    <row r="8" spans="1:7" ht="15.95" customHeight="1">
      <c r="A8" s="223"/>
      <c r="B8" s="222"/>
      <c r="C8" s="197" t="s">
        <v>1371</v>
      </c>
      <c r="D8" s="222" t="s">
        <v>3894</v>
      </c>
      <c r="E8" s="6" t="s">
        <v>1373</v>
      </c>
      <c r="F8" s="97" t="s">
        <v>1372</v>
      </c>
      <c r="G8" s="197"/>
    </row>
    <row r="9" spans="1:7" ht="15.95" customHeight="1">
      <c r="A9" s="223"/>
      <c r="B9" s="222"/>
      <c r="C9" s="197" t="s">
        <v>1177</v>
      </c>
      <c r="D9" s="222" t="s">
        <v>3895</v>
      </c>
      <c r="E9" s="28" t="s">
        <v>3896</v>
      </c>
      <c r="F9" s="24" t="s">
        <v>3897</v>
      </c>
      <c r="G9" s="197"/>
    </row>
    <row r="10" spans="1:7" ht="15.95" customHeight="1">
      <c r="A10" s="223"/>
      <c r="B10" s="222"/>
      <c r="C10" s="197" t="s">
        <v>1437</v>
      </c>
      <c r="D10" s="222" t="s">
        <v>3898</v>
      </c>
      <c r="E10" s="101" t="s">
        <v>1440</v>
      </c>
      <c r="F10" s="101" t="s">
        <v>1438</v>
      </c>
      <c r="G10" s="197"/>
    </row>
    <row r="11" spans="1:7" ht="15.95" customHeight="1">
      <c r="A11" s="223"/>
      <c r="B11" s="222"/>
      <c r="C11" s="197" t="s">
        <v>1878</v>
      </c>
      <c r="D11" s="222" t="s">
        <v>3899</v>
      </c>
      <c r="E11" s="226" t="s">
        <v>3900</v>
      </c>
      <c r="F11" s="227" t="s">
        <v>3901</v>
      </c>
      <c r="G11" s="197"/>
    </row>
    <row r="12" spans="1:7" ht="15.95" customHeight="1">
      <c r="A12" s="223"/>
      <c r="B12" s="222"/>
      <c r="C12" s="197" t="s">
        <v>1282</v>
      </c>
      <c r="D12" s="222" t="s">
        <v>3902</v>
      </c>
      <c r="E12" s="228" t="s">
        <v>1284</v>
      </c>
      <c r="F12" s="229" t="s">
        <v>3903</v>
      </c>
      <c r="G12" s="197"/>
    </row>
    <row r="13" spans="1:7" ht="15.95" customHeight="1">
      <c r="A13" s="223"/>
      <c r="B13" s="222"/>
      <c r="C13" s="197" t="s">
        <v>1472</v>
      </c>
      <c r="D13" s="222" t="s">
        <v>3904</v>
      </c>
      <c r="E13" s="73" t="s">
        <v>3905</v>
      </c>
      <c r="F13" s="229" t="s">
        <v>3906</v>
      </c>
      <c r="G13" s="197"/>
    </row>
    <row r="14" spans="1:7" ht="15.95" customHeight="1">
      <c r="A14" s="223"/>
      <c r="B14" s="222"/>
      <c r="C14" s="197" t="s">
        <v>1183</v>
      </c>
      <c r="D14" s="222" t="s">
        <v>3907</v>
      </c>
      <c r="E14" s="222" t="s">
        <v>3908</v>
      </c>
      <c r="F14" s="230" t="s">
        <v>3909</v>
      </c>
      <c r="G14" s="197"/>
    </row>
    <row r="15" spans="1:7" ht="15.95" customHeight="1">
      <c r="A15" s="223"/>
      <c r="B15" s="222" t="s">
        <v>3910</v>
      </c>
      <c r="C15" s="197" t="s">
        <v>1239</v>
      </c>
      <c r="D15" s="222" t="s">
        <v>3911</v>
      </c>
      <c r="E15" s="228" t="s">
        <v>1491</v>
      </c>
      <c r="F15" s="230" t="s">
        <v>3912</v>
      </c>
      <c r="G15" s="231"/>
    </row>
    <row r="16" spans="1:7" ht="15.95" customHeight="1">
      <c r="A16" s="223"/>
      <c r="B16" s="223"/>
      <c r="C16" s="81" t="s">
        <v>1215</v>
      </c>
      <c r="D16" s="222" t="s">
        <v>3913</v>
      </c>
      <c r="E16" s="222" t="s">
        <v>1752</v>
      </c>
      <c r="F16" s="222" t="s">
        <v>3914</v>
      </c>
      <c r="G16" s="231"/>
    </row>
    <row r="17" spans="1:7" ht="15.95" customHeight="1">
      <c r="A17" s="223"/>
      <c r="B17" s="223"/>
      <c r="C17" s="81" t="s">
        <v>1247</v>
      </c>
      <c r="D17" s="222" t="s">
        <v>3915</v>
      </c>
      <c r="E17" s="73" t="s">
        <v>3916</v>
      </c>
      <c r="F17" s="222" t="s">
        <v>3917</v>
      </c>
      <c r="G17" s="197"/>
    </row>
    <row r="18" spans="1:7" ht="15.95" customHeight="1">
      <c r="A18" s="223"/>
      <c r="B18" s="223"/>
      <c r="C18" s="81" t="s">
        <v>3779</v>
      </c>
      <c r="D18" s="222" t="s">
        <v>3918</v>
      </c>
      <c r="E18" s="228" t="s">
        <v>3919</v>
      </c>
      <c r="F18" s="222" t="s">
        <v>3920</v>
      </c>
      <c r="G18" s="197"/>
    </row>
    <row r="19" spans="1:7" ht="15.95" customHeight="1">
      <c r="A19" s="223"/>
      <c r="B19" s="223"/>
      <c r="C19" s="81" t="s">
        <v>1258</v>
      </c>
      <c r="D19" s="222" t="s">
        <v>3921</v>
      </c>
      <c r="E19" s="73" t="s">
        <v>1260</v>
      </c>
      <c r="F19" s="222" t="s">
        <v>3922</v>
      </c>
      <c r="G19" s="197"/>
    </row>
    <row r="20" spans="1:7" ht="15.95" customHeight="1">
      <c r="A20" s="222"/>
      <c r="B20" s="222"/>
      <c r="C20" s="197" t="s">
        <v>1392</v>
      </c>
      <c r="D20" s="222" t="s">
        <v>3923</v>
      </c>
      <c r="E20" s="222" t="s">
        <v>1768</v>
      </c>
      <c r="F20" s="222" t="s">
        <v>3924</v>
      </c>
      <c r="G20" s="197"/>
    </row>
    <row r="21" spans="1:7" ht="15.95" customHeight="1">
      <c r="A21" s="222" t="s">
        <v>3925</v>
      </c>
      <c r="B21" s="81" t="s">
        <v>1169</v>
      </c>
      <c r="C21" s="81" t="s">
        <v>1170</v>
      </c>
      <c r="D21" s="81" t="s">
        <v>3926</v>
      </c>
      <c r="E21" s="73" t="s">
        <v>1686</v>
      </c>
      <c r="F21" s="222" t="s">
        <v>3927</v>
      </c>
      <c r="G21" s="222"/>
    </row>
    <row r="22" spans="1:7" ht="15.95" customHeight="1">
      <c r="A22" s="223"/>
      <c r="B22" s="222"/>
      <c r="C22" s="81" t="s">
        <v>1202</v>
      </c>
      <c r="D22" s="81" t="s">
        <v>3928</v>
      </c>
      <c r="E22" s="73" t="s">
        <v>1442</v>
      </c>
      <c r="F22" s="222" t="s">
        <v>3929</v>
      </c>
      <c r="G22" s="222"/>
    </row>
    <row r="23" spans="1:7" ht="15">
      <c r="A23" s="223"/>
      <c r="B23" s="222"/>
      <c r="C23" s="81" t="s">
        <v>1367</v>
      </c>
      <c r="D23" s="81" t="s">
        <v>3930</v>
      </c>
      <c r="E23" s="222" t="s">
        <v>3931</v>
      </c>
      <c r="F23" s="222" t="s">
        <v>3932</v>
      </c>
      <c r="G23" s="222"/>
    </row>
    <row r="24" spans="1:7" ht="15">
      <c r="A24" s="223"/>
      <c r="B24" s="222"/>
      <c r="C24" s="81" t="s">
        <v>1448</v>
      </c>
      <c r="D24" s="222" t="s">
        <v>3933</v>
      </c>
      <c r="E24" s="222" t="s">
        <v>1450</v>
      </c>
      <c r="F24" s="222" t="s">
        <v>3934</v>
      </c>
      <c r="G24" s="197"/>
    </row>
    <row r="25" spans="1:7" ht="15">
      <c r="A25" s="223"/>
      <c r="B25" s="222"/>
      <c r="C25" s="81" t="s">
        <v>1297</v>
      </c>
      <c r="D25" s="222" t="s">
        <v>3935</v>
      </c>
      <c r="E25" s="222" t="s">
        <v>1706</v>
      </c>
      <c r="F25" s="222" t="s">
        <v>3936</v>
      </c>
      <c r="G25" s="197"/>
    </row>
    <row r="26" spans="1:7" ht="15">
      <c r="A26" s="223"/>
      <c r="B26" s="222" t="s">
        <v>3937</v>
      </c>
      <c r="C26" s="28" t="s">
        <v>1228</v>
      </c>
      <c r="D26" s="222" t="s">
        <v>3938</v>
      </c>
      <c r="E26" s="222" t="s">
        <v>3939</v>
      </c>
      <c r="F26" s="222" t="s">
        <v>3940</v>
      </c>
      <c r="G26" s="197"/>
    </row>
    <row r="27" spans="1:7" ht="15">
      <c r="A27" s="223"/>
      <c r="B27" s="222"/>
      <c r="C27" s="28" t="s">
        <v>1494</v>
      </c>
      <c r="D27" s="222" t="s">
        <v>3941</v>
      </c>
      <c r="E27" s="222" t="s">
        <v>1496</v>
      </c>
      <c r="F27" s="222" t="s">
        <v>3942</v>
      </c>
      <c r="G27" s="197"/>
    </row>
    <row r="28" spans="1:7" ht="15">
      <c r="A28" s="223"/>
      <c r="B28" s="222"/>
      <c r="C28" s="28" t="s">
        <v>1232</v>
      </c>
      <c r="D28" s="222" t="s">
        <v>3943</v>
      </c>
      <c r="E28" s="222" t="s">
        <v>3944</v>
      </c>
      <c r="F28" s="222" t="s">
        <v>3945</v>
      </c>
      <c r="G28" s="197"/>
    </row>
    <row r="29" spans="1:7" ht="15">
      <c r="A29" s="223"/>
      <c r="B29" s="222"/>
      <c r="C29" s="28" t="s">
        <v>2402</v>
      </c>
      <c r="D29" s="222" t="s">
        <v>3946</v>
      </c>
      <c r="E29" s="228" t="s">
        <v>3947</v>
      </c>
      <c r="F29" s="222" t="s">
        <v>3948</v>
      </c>
      <c r="G29" s="197"/>
    </row>
    <row r="30" spans="1:7" ht="15">
      <c r="A30" s="223"/>
      <c r="B30" s="222"/>
      <c r="C30" s="197" t="s">
        <v>1585</v>
      </c>
      <c r="D30" s="222" t="s">
        <v>3949</v>
      </c>
      <c r="E30" s="222" t="s">
        <v>2372</v>
      </c>
      <c r="F30" s="230" t="s">
        <v>3950</v>
      </c>
      <c r="G30" s="197"/>
    </row>
    <row r="31" spans="1:7" ht="15">
      <c r="A31" s="223"/>
      <c r="B31" s="222"/>
      <c r="C31" s="197" t="s">
        <v>1191</v>
      </c>
      <c r="D31" s="222" t="s">
        <v>3951</v>
      </c>
      <c r="E31" s="222" t="s">
        <v>3952</v>
      </c>
      <c r="F31" s="230" t="s">
        <v>3953</v>
      </c>
      <c r="G31" s="197"/>
    </row>
    <row r="32" spans="1:7" ht="12.75">
      <c r="A32" s="197"/>
      <c r="B32" s="81" t="s">
        <v>1208</v>
      </c>
      <c r="C32" s="81" t="s">
        <v>1209</v>
      </c>
      <c r="D32" s="81" t="s">
        <v>3954</v>
      </c>
      <c r="E32" s="81" t="s">
        <v>3955</v>
      </c>
      <c r="F32" s="81" t="s">
        <v>3956</v>
      </c>
      <c r="G32" s="197"/>
    </row>
    <row r="33" spans="1:7" ht="12.75">
      <c r="A33" s="197"/>
      <c r="B33" s="197"/>
      <c r="C33" s="81" t="s">
        <v>1468</v>
      </c>
      <c r="D33" s="81" t="s">
        <v>3957</v>
      </c>
      <c r="E33" s="81" t="s">
        <v>1540</v>
      </c>
      <c r="F33" s="81" t="s">
        <v>3958</v>
      </c>
      <c r="G33" s="197"/>
    </row>
    <row r="34" spans="1:7" ht="12.75">
      <c r="A34" s="197"/>
      <c r="B34" s="197"/>
      <c r="C34" s="81" t="s">
        <v>1402</v>
      </c>
      <c r="D34" s="81" t="s">
        <v>3959</v>
      </c>
      <c r="E34" s="228" t="s">
        <v>1827</v>
      </c>
      <c r="F34" s="81" t="s">
        <v>3960</v>
      </c>
      <c r="G34" s="197"/>
    </row>
    <row r="35" spans="1:7" ht="15">
      <c r="B35" s="222" t="s">
        <v>3961</v>
      </c>
      <c r="C35" s="222" t="s">
        <v>1324</v>
      </c>
      <c r="D35" s="222" t="s">
        <v>3962</v>
      </c>
      <c r="E35" s="222" t="s">
        <v>3963</v>
      </c>
      <c r="F35" s="232"/>
    </row>
    <row r="36" spans="1:7" ht="15">
      <c r="B36" s="222"/>
      <c r="C36" s="222" t="s">
        <v>2235</v>
      </c>
      <c r="D36" s="222" t="s">
        <v>3964</v>
      </c>
      <c r="E36" s="222" t="s">
        <v>3965</v>
      </c>
      <c r="F36" s="232"/>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X48"/>
  <sheetViews>
    <sheetView workbookViewId="0">
      <pane xSplit="1" topLeftCell="B1" activePane="topRight" state="frozen"/>
      <selection pane="topRight" activeCell="C2" sqref="C2"/>
    </sheetView>
  </sheetViews>
  <sheetFormatPr defaultColWidth="12.7109375" defaultRowHeight="15.95" customHeight="1"/>
  <cols>
    <col min="1" max="1" width="15.42578125" customWidth="1"/>
  </cols>
  <sheetData>
    <row r="1" spans="1:14" ht="15.95" customHeight="1">
      <c r="A1" s="233" t="s">
        <v>3966</v>
      </c>
      <c r="B1" s="234" t="s">
        <v>3979</v>
      </c>
      <c r="C1" s="234" t="s">
        <v>3988</v>
      </c>
      <c r="D1" s="234" t="s">
        <v>3996</v>
      </c>
      <c r="E1" s="234" t="s">
        <v>4006</v>
      </c>
      <c r="F1" s="234" t="s">
        <v>4014</v>
      </c>
      <c r="G1" s="234"/>
      <c r="H1" s="234"/>
      <c r="I1" s="234"/>
      <c r="J1" s="234"/>
      <c r="K1" s="234"/>
      <c r="L1" s="234"/>
      <c r="M1" s="235"/>
    </row>
    <row r="2" spans="1:14" ht="15.95" customHeight="1">
      <c r="A2" s="236" t="s">
        <v>3967</v>
      </c>
      <c r="B2" s="18" t="s">
        <v>3980</v>
      </c>
      <c r="C2" s="18" t="s">
        <v>3989</v>
      </c>
      <c r="D2" s="18" t="s">
        <v>3997</v>
      </c>
      <c r="E2" s="18" t="s">
        <v>4007</v>
      </c>
      <c r="F2" s="18" t="s">
        <v>4015</v>
      </c>
      <c r="G2" s="18" t="s">
        <v>4024</v>
      </c>
      <c r="M2" s="237"/>
    </row>
    <row r="3" spans="1:14" ht="15.95" customHeight="1">
      <c r="A3" s="236" t="s">
        <v>3968</v>
      </c>
      <c r="F3" s="18" t="s">
        <v>4016</v>
      </c>
      <c r="G3" s="18" t="s">
        <v>4025</v>
      </c>
      <c r="K3" s="18" t="s">
        <v>4038</v>
      </c>
      <c r="M3" s="237"/>
    </row>
    <row r="4" spans="1:14" ht="15.95" customHeight="1">
      <c r="A4" s="236" t="s">
        <v>3969</v>
      </c>
      <c r="B4" s="18" t="s">
        <v>3981</v>
      </c>
      <c r="C4" s="18" t="s">
        <v>3990</v>
      </c>
      <c r="D4" s="18" t="s">
        <v>3998</v>
      </c>
      <c r="E4" s="18" t="s">
        <v>4008</v>
      </c>
      <c r="F4" s="18" t="s">
        <v>4017</v>
      </c>
      <c r="G4" s="18" t="s">
        <v>4026</v>
      </c>
      <c r="H4" s="18" t="s">
        <v>618</v>
      </c>
      <c r="I4" s="18" t="s">
        <v>4035</v>
      </c>
      <c r="J4" s="18" t="s">
        <v>4039</v>
      </c>
      <c r="K4" s="18" t="s">
        <v>4042</v>
      </c>
      <c r="L4" s="18" t="s">
        <v>4044</v>
      </c>
      <c r="M4" s="238" t="s">
        <v>4047</v>
      </c>
    </row>
    <row r="5" spans="1:14" ht="15.95" customHeight="1">
      <c r="A5" s="236" t="s">
        <v>3970</v>
      </c>
      <c r="D5" s="18" t="s">
        <v>3999</v>
      </c>
      <c r="E5" s="18" t="s">
        <v>396</v>
      </c>
      <c r="F5" s="18" t="s">
        <v>4018</v>
      </c>
      <c r="G5" s="18" t="s">
        <v>4027</v>
      </c>
      <c r="M5" s="237"/>
    </row>
    <row r="6" spans="1:14" ht="15.95" customHeight="1">
      <c r="A6" s="236" t="s">
        <v>3971</v>
      </c>
      <c r="B6" s="18" t="s">
        <v>3982</v>
      </c>
      <c r="C6" s="18" t="s">
        <v>3991</v>
      </c>
      <c r="D6" s="18" t="s">
        <v>4000</v>
      </c>
      <c r="E6" s="18" t="s">
        <v>4009</v>
      </c>
      <c r="F6" s="18" t="s">
        <v>2060</v>
      </c>
      <c r="G6" s="18" t="s">
        <v>4028</v>
      </c>
      <c r="M6" s="237"/>
    </row>
    <row r="7" spans="1:14" ht="15.95" customHeight="1">
      <c r="A7" s="236" t="s">
        <v>3972</v>
      </c>
      <c r="B7" s="18" t="s">
        <v>3983</v>
      </c>
      <c r="C7" s="18" t="s">
        <v>3992</v>
      </c>
      <c r="D7" s="18" t="s">
        <v>4001</v>
      </c>
      <c r="F7" s="18" t="s">
        <v>4019</v>
      </c>
      <c r="M7" s="237"/>
    </row>
    <row r="8" spans="1:14" ht="15.95" customHeight="1">
      <c r="A8" s="236" t="s">
        <v>3973</v>
      </c>
      <c r="D8" s="18" t="s">
        <v>4002</v>
      </c>
      <c r="E8" s="18" t="s">
        <v>4010</v>
      </c>
      <c r="F8" s="18" t="s">
        <v>4020</v>
      </c>
      <c r="G8" s="18" t="s">
        <v>4029</v>
      </c>
      <c r="H8" s="18" t="s">
        <v>3973</v>
      </c>
      <c r="I8" s="28" t="s">
        <v>4033</v>
      </c>
      <c r="J8" s="18" t="s">
        <v>4036</v>
      </c>
      <c r="K8" s="18" t="s">
        <v>4040</v>
      </c>
      <c r="L8" s="18" t="s">
        <v>4041</v>
      </c>
      <c r="M8" s="237" t="s">
        <v>4043</v>
      </c>
    </row>
    <row r="9" spans="1:14" ht="15.95" customHeight="1">
      <c r="A9" s="236" t="s">
        <v>3974</v>
      </c>
      <c r="B9" s="18" t="s">
        <v>3984</v>
      </c>
      <c r="C9" s="18" t="s">
        <v>3993</v>
      </c>
      <c r="D9" s="18" t="s">
        <v>4003</v>
      </c>
      <c r="E9" s="18" t="s">
        <v>4011</v>
      </c>
      <c r="F9" s="18" t="s">
        <v>4021</v>
      </c>
      <c r="G9" s="18" t="s">
        <v>4030</v>
      </c>
      <c r="H9" s="18" t="s">
        <v>4031</v>
      </c>
      <c r="I9" s="18" t="s">
        <v>4034</v>
      </c>
      <c r="J9" s="18" t="s">
        <v>4037</v>
      </c>
      <c r="M9" s="237"/>
    </row>
    <row r="10" spans="1:14" ht="15.95" customHeight="1">
      <c r="A10" s="236" t="s">
        <v>3975</v>
      </c>
      <c r="D10" s="239" t="s">
        <v>4004</v>
      </c>
      <c r="E10" s="239" t="s">
        <v>4012</v>
      </c>
      <c r="F10" s="239" t="s">
        <v>4022</v>
      </c>
      <c r="G10" s="239"/>
      <c r="H10" s="239" t="s">
        <v>4032</v>
      </c>
      <c r="M10" s="237"/>
      <c r="N10" s="28" t="s">
        <v>4048</v>
      </c>
    </row>
    <row r="11" spans="1:14" ht="15.95" customHeight="1">
      <c r="A11" s="236" t="s">
        <v>3976</v>
      </c>
      <c r="B11" s="18" t="s">
        <v>3985</v>
      </c>
      <c r="M11" s="237"/>
    </row>
    <row r="12" spans="1:14" ht="15.95" customHeight="1">
      <c r="A12" s="236" t="s">
        <v>3977</v>
      </c>
      <c r="B12" s="18" t="s">
        <v>3986</v>
      </c>
      <c r="C12" s="18" t="s">
        <v>3994</v>
      </c>
      <c r="D12" s="18" t="s">
        <v>4023</v>
      </c>
      <c r="F12" s="18" t="s">
        <v>4045</v>
      </c>
      <c r="G12" s="18" t="s">
        <v>4046</v>
      </c>
      <c r="M12" s="237"/>
    </row>
    <row r="13" spans="1:14" ht="15.95" customHeight="1">
      <c r="A13" s="240" t="s">
        <v>3978</v>
      </c>
      <c r="B13" s="241" t="s">
        <v>3987</v>
      </c>
      <c r="C13" s="241" t="s">
        <v>3995</v>
      </c>
      <c r="D13" s="241" t="s">
        <v>4005</v>
      </c>
      <c r="E13" s="241" t="s">
        <v>4013</v>
      </c>
      <c r="F13" s="241"/>
      <c r="G13" s="241"/>
      <c r="H13" s="241"/>
      <c r="I13" s="241"/>
      <c r="J13" s="241"/>
      <c r="K13" s="241"/>
      <c r="L13" s="241"/>
      <c r="M13" s="242"/>
    </row>
    <row r="14" spans="1:14" ht="14.25">
      <c r="A14" s="228" t="s">
        <v>4049</v>
      </c>
      <c r="B14" s="228" t="s">
        <v>4049</v>
      </c>
      <c r="C14" s="243" t="s">
        <v>4050</v>
      </c>
      <c r="D14" s="228" t="s">
        <v>4051</v>
      </c>
      <c r="E14" s="244" t="s">
        <v>4052</v>
      </c>
      <c r="F14" s="244" t="s">
        <v>4053</v>
      </c>
      <c r="G14" s="245" t="s">
        <v>4054</v>
      </c>
      <c r="H14" s="244" t="s">
        <v>4055</v>
      </c>
    </row>
    <row r="16" spans="1:14" ht="15.95" customHeight="1">
      <c r="A16" s="246" t="s">
        <v>739</v>
      </c>
      <c r="B16" s="247" t="s">
        <v>4056</v>
      </c>
      <c r="C16" s="28" t="s">
        <v>4057</v>
      </c>
      <c r="D16" s="28" t="s">
        <v>4058</v>
      </c>
      <c r="E16" s="28" t="s">
        <v>4059</v>
      </c>
      <c r="F16" s="28" t="s">
        <v>4060</v>
      </c>
      <c r="G16" s="28" t="s">
        <v>772</v>
      </c>
      <c r="H16" s="28" t="s">
        <v>4061</v>
      </c>
    </row>
    <row r="17" spans="1:19" ht="15.95" customHeight="1">
      <c r="A17" s="28" t="s">
        <v>4062</v>
      </c>
      <c r="B17" s="28" t="s">
        <v>4063</v>
      </c>
      <c r="C17" s="28" t="s">
        <v>4064</v>
      </c>
      <c r="D17" s="28" t="s">
        <v>4065</v>
      </c>
      <c r="E17" s="246" t="s">
        <v>855</v>
      </c>
      <c r="F17" s="28" t="s">
        <v>4066</v>
      </c>
      <c r="G17" s="246" t="s">
        <v>4067</v>
      </c>
    </row>
    <row r="18" spans="1:19" ht="15.95" customHeight="1">
      <c r="A18" s="28" t="s">
        <v>4068</v>
      </c>
      <c r="B18" s="28" t="s">
        <v>4069</v>
      </c>
      <c r="C18" s="28" t="s">
        <v>4070</v>
      </c>
      <c r="D18" s="28" t="s">
        <v>4071</v>
      </c>
      <c r="E18" s="28" t="s">
        <v>825</v>
      </c>
      <c r="F18" s="28" t="s">
        <v>973</v>
      </c>
      <c r="G18" s="28" t="s">
        <v>4072</v>
      </c>
      <c r="H18" s="28" t="s">
        <v>783</v>
      </c>
    </row>
    <row r="19" spans="1:19" ht="15.95" customHeight="1">
      <c r="A19" s="28" t="s">
        <v>4073</v>
      </c>
      <c r="B19" s="28" t="s">
        <v>4074</v>
      </c>
      <c r="C19" s="28" t="s">
        <v>4075</v>
      </c>
      <c r="D19" s="28" t="s">
        <v>4076</v>
      </c>
      <c r="E19" s="28" t="s">
        <v>4077</v>
      </c>
    </row>
    <row r="20" spans="1:19" ht="15.95" customHeight="1">
      <c r="A20" s="28" t="s">
        <v>721</v>
      </c>
      <c r="B20" s="28" t="s">
        <v>4078</v>
      </c>
      <c r="C20" s="28" t="s">
        <v>946</v>
      </c>
      <c r="D20" s="28" t="s">
        <v>4079</v>
      </c>
    </row>
    <row r="21" spans="1:19" ht="15.95" customHeight="1">
      <c r="A21" s="28" t="s">
        <v>4080</v>
      </c>
      <c r="B21" s="28" t="s">
        <v>4081</v>
      </c>
      <c r="C21" s="28" t="s">
        <v>4082</v>
      </c>
      <c r="D21" s="28" t="s">
        <v>4083</v>
      </c>
      <c r="E21" s="28" t="s">
        <v>4084</v>
      </c>
    </row>
    <row r="22" spans="1:19" ht="15.95" customHeight="1">
      <c r="A22" s="28" t="s">
        <v>4085</v>
      </c>
      <c r="B22" s="28" t="s">
        <v>4086</v>
      </c>
      <c r="C22" s="28" t="s">
        <v>4087</v>
      </c>
      <c r="D22" s="28" t="s">
        <v>4088</v>
      </c>
      <c r="E22" s="28" t="s">
        <v>4089</v>
      </c>
      <c r="F22" s="28" t="s">
        <v>732</v>
      </c>
    </row>
    <row r="23" spans="1:19" ht="12.75">
      <c r="A23" s="28" t="s">
        <v>4090</v>
      </c>
      <c r="B23" s="28" t="s">
        <v>4091</v>
      </c>
      <c r="C23" s="28" t="s">
        <v>4092</v>
      </c>
      <c r="D23" s="28" t="s">
        <v>4093</v>
      </c>
      <c r="E23" s="28" t="s">
        <v>1059</v>
      </c>
    </row>
    <row r="24" spans="1:19" ht="12.75">
      <c r="A24" s="28" t="s">
        <v>4094</v>
      </c>
      <c r="B24" s="28" t="s">
        <v>4095</v>
      </c>
      <c r="C24" s="28" t="s">
        <v>4096</v>
      </c>
      <c r="D24" s="28" t="s">
        <v>4097</v>
      </c>
      <c r="E24" s="28" t="s">
        <v>4098</v>
      </c>
      <c r="F24" s="28" t="s">
        <v>4099</v>
      </c>
    </row>
    <row r="25" spans="1:19" ht="12.75">
      <c r="A25" s="28" t="s">
        <v>4100</v>
      </c>
      <c r="B25" s="28" t="s">
        <v>4101</v>
      </c>
      <c r="C25" s="28" t="s">
        <v>4102</v>
      </c>
      <c r="D25" s="28" t="s">
        <v>4103</v>
      </c>
      <c r="E25" s="28" t="s">
        <v>4104</v>
      </c>
      <c r="F25" s="28" t="s">
        <v>4105</v>
      </c>
      <c r="G25" s="28" t="s">
        <v>4106</v>
      </c>
      <c r="H25" s="28" t="s">
        <v>4107</v>
      </c>
      <c r="I25" s="28" t="s">
        <v>4108</v>
      </c>
      <c r="J25" s="28" t="s">
        <v>4109</v>
      </c>
      <c r="K25" s="28" t="s">
        <v>4110</v>
      </c>
      <c r="L25" s="28" t="s">
        <v>4111</v>
      </c>
      <c r="M25" s="28" t="s">
        <v>4112</v>
      </c>
      <c r="N25" s="28" t="s">
        <v>4113</v>
      </c>
      <c r="O25" s="28" t="s">
        <v>4114</v>
      </c>
      <c r="P25" s="28" t="s">
        <v>4115</v>
      </c>
      <c r="Q25" s="28" t="s">
        <v>4116</v>
      </c>
      <c r="R25" s="28" t="s">
        <v>4117</v>
      </c>
      <c r="S25" s="28" t="s">
        <v>4118</v>
      </c>
    </row>
    <row r="26" spans="1:19" ht="12.75">
      <c r="A26" s="28" t="s">
        <v>4119</v>
      </c>
      <c r="B26" s="28" t="s">
        <v>4120</v>
      </c>
      <c r="C26" s="28" t="s">
        <v>4121</v>
      </c>
      <c r="D26" s="28" t="s">
        <v>4122</v>
      </c>
      <c r="E26" s="28" t="s">
        <v>4123</v>
      </c>
      <c r="F26" s="28" t="s">
        <v>4124</v>
      </c>
      <c r="G26" s="28" t="s">
        <v>4125</v>
      </c>
      <c r="H26" s="28" t="s">
        <v>4126</v>
      </c>
      <c r="I26" s="28" t="s">
        <v>4127</v>
      </c>
      <c r="J26" s="28" t="s">
        <v>536</v>
      </c>
      <c r="K26" s="28" t="s">
        <v>4128</v>
      </c>
      <c r="L26" s="28" t="s">
        <v>4129</v>
      </c>
      <c r="M26" s="28" t="s">
        <v>4130</v>
      </c>
      <c r="N26" s="28" t="s">
        <v>955</v>
      </c>
      <c r="O26" s="28" t="s">
        <v>4131</v>
      </c>
    </row>
    <row r="27" spans="1:19" ht="12.75">
      <c r="A27" s="28" t="s">
        <v>523</v>
      </c>
      <c r="B27" s="28" t="s">
        <v>4132</v>
      </c>
      <c r="C27" s="28" t="s">
        <v>4133</v>
      </c>
      <c r="D27" s="28" t="s">
        <v>4134</v>
      </c>
      <c r="E27" s="28" t="s">
        <v>4135</v>
      </c>
      <c r="F27" s="28" t="s">
        <v>585</v>
      </c>
    </row>
    <row r="28" spans="1:19" ht="12.75">
      <c r="A28" s="28" t="s">
        <v>4136</v>
      </c>
      <c r="B28" s="28" t="s">
        <v>4137</v>
      </c>
      <c r="C28" s="28" t="s">
        <v>4138</v>
      </c>
      <c r="D28" s="28" t="s">
        <v>4139</v>
      </c>
      <c r="E28" s="28" t="s">
        <v>4140</v>
      </c>
      <c r="F28" s="28" t="s">
        <v>4141</v>
      </c>
      <c r="G28" s="28" t="s">
        <v>4142</v>
      </c>
    </row>
    <row r="29" spans="1:19" ht="12.75">
      <c r="A29" s="28" t="s">
        <v>4143</v>
      </c>
      <c r="B29" s="28" t="s">
        <v>4144</v>
      </c>
      <c r="C29" s="28" t="s">
        <v>711</v>
      </c>
      <c r="D29" s="28" t="s">
        <v>4145</v>
      </c>
      <c r="E29" s="28" t="s">
        <v>4146</v>
      </c>
      <c r="F29" s="28" t="s">
        <v>4147</v>
      </c>
      <c r="G29" s="28" t="s">
        <v>4148</v>
      </c>
    </row>
    <row r="30" spans="1:19" ht="12.75">
      <c r="A30" s="28" t="s">
        <v>4149</v>
      </c>
      <c r="B30" s="28" t="s">
        <v>4150</v>
      </c>
      <c r="C30" s="28" t="s">
        <v>4151</v>
      </c>
      <c r="D30" s="28" t="s">
        <v>4152</v>
      </c>
      <c r="E30" s="28" t="s">
        <v>4153</v>
      </c>
    </row>
    <row r="31" spans="1:19" ht="12.75">
      <c r="A31" s="28" t="s">
        <v>4154</v>
      </c>
      <c r="B31" s="28" t="s">
        <v>4155</v>
      </c>
      <c r="C31" s="28" t="s">
        <v>4156</v>
      </c>
    </row>
    <row r="32" spans="1:19" ht="12.75">
      <c r="A32" s="28" t="s">
        <v>4157</v>
      </c>
      <c r="B32" s="28" t="s">
        <v>4158</v>
      </c>
      <c r="C32" s="28" t="s">
        <v>4159</v>
      </c>
      <c r="D32" s="28" t="s">
        <v>1029</v>
      </c>
      <c r="E32" s="28" t="s">
        <v>4160</v>
      </c>
    </row>
    <row r="33" spans="1:24" ht="12.75">
      <c r="A33" s="28" t="s">
        <v>4161</v>
      </c>
      <c r="B33" s="28" t="s">
        <v>4162</v>
      </c>
      <c r="C33" s="28" t="s">
        <v>4163</v>
      </c>
    </row>
    <row r="34" spans="1:24" ht="12.75">
      <c r="A34" s="28" t="s">
        <v>4164</v>
      </c>
      <c r="B34" s="28" t="s">
        <v>4165</v>
      </c>
      <c r="C34" s="28" t="s">
        <v>4166</v>
      </c>
      <c r="D34" s="28" t="s">
        <v>4167</v>
      </c>
      <c r="E34" s="28" t="s">
        <v>4168</v>
      </c>
      <c r="F34" s="28" t="s">
        <v>4169</v>
      </c>
    </row>
    <row r="35" spans="1:24" ht="12.75">
      <c r="A35" s="28" t="s">
        <v>4170</v>
      </c>
      <c r="B35" s="28" t="s">
        <v>4171</v>
      </c>
      <c r="C35" s="28" t="s">
        <v>4172</v>
      </c>
      <c r="D35" s="28" t="s">
        <v>4173</v>
      </c>
      <c r="E35" s="28" t="s">
        <v>4174</v>
      </c>
    </row>
    <row r="36" spans="1:24" ht="12.75">
      <c r="A36" s="28" t="s">
        <v>918</v>
      </c>
      <c r="B36" s="28" t="s">
        <v>4175</v>
      </c>
      <c r="C36" s="28" t="s">
        <v>1072</v>
      </c>
      <c r="D36" s="28" t="s">
        <v>701</v>
      </c>
      <c r="E36" s="28" t="s">
        <v>951</v>
      </c>
      <c r="F36" s="28" t="s">
        <v>4176</v>
      </c>
    </row>
    <row r="37" spans="1:24" ht="12.75">
      <c r="A37" s="28" t="s">
        <v>484</v>
      </c>
      <c r="B37" s="28" t="s">
        <v>922</v>
      </c>
      <c r="C37" s="28" t="s">
        <v>4177</v>
      </c>
      <c r="D37" s="28" t="s">
        <v>706</v>
      </c>
      <c r="E37" s="28" t="s">
        <v>4178</v>
      </c>
      <c r="F37" s="28" t="s">
        <v>4179</v>
      </c>
    </row>
    <row r="38" spans="1:24" ht="12.75">
      <c r="A38" s="28" t="s">
        <v>4180</v>
      </c>
      <c r="B38" s="28" t="s">
        <v>3868</v>
      </c>
      <c r="C38" s="28" t="s">
        <v>3870</v>
      </c>
      <c r="D38" s="28" t="s">
        <v>3871</v>
      </c>
    </row>
    <row r="39" spans="1:24" ht="12.75">
      <c r="A39" s="28" t="s">
        <v>4181</v>
      </c>
      <c r="B39" s="28" t="s">
        <v>4182</v>
      </c>
      <c r="C39" s="28" t="s">
        <v>4183</v>
      </c>
    </row>
    <row r="40" spans="1:24" ht="12.75">
      <c r="A40" s="28" t="s">
        <v>4184</v>
      </c>
      <c r="B40" s="28" t="s">
        <v>4185</v>
      </c>
    </row>
    <row r="41" spans="1:24" ht="12.75">
      <c r="A41" s="28" t="s">
        <v>4186</v>
      </c>
      <c r="B41" s="28" t="s">
        <v>4187</v>
      </c>
      <c r="C41" s="28" t="s">
        <v>4188</v>
      </c>
      <c r="D41" s="28" t="s">
        <v>4189</v>
      </c>
      <c r="E41" s="28" t="s">
        <v>1019</v>
      </c>
      <c r="F41" s="28" t="s">
        <v>4190</v>
      </c>
      <c r="G41" s="28" t="s">
        <v>4191</v>
      </c>
      <c r="H41" s="28" t="s">
        <v>4192</v>
      </c>
      <c r="I41" s="28" t="s">
        <v>4193</v>
      </c>
    </row>
    <row r="42" spans="1:24" ht="12.75">
      <c r="A42" s="28" t="s">
        <v>4194</v>
      </c>
      <c r="B42" s="28" t="s">
        <v>4195</v>
      </c>
      <c r="C42" s="28" t="s">
        <v>4196</v>
      </c>
      <c r="D42" s="28" t="s">
        <v>4197</v>
      </c>
    </row>
    <row r="43" spans="1:24" ht="12.75">
      <c r="A43" s="28" t="s">
        <v>4198</v>
      </c>
      <c r="B43" s="28" t="s">
        <v>4199</v>
      </c>
      <c r="C43" s="28" t="s">
        <v>4200</v>
      </c>
      <c r="D43" s="28" t="s">
        <v>4201</v>
      </c>
      <c r="E43" s="28" t="s">
        <v>4202</v>
      </c>
      <c r="F43" s="28" t="s">
        <v>4203</v>
      </c>
      <c r="G43" s="28" t="s">
        <v>4204</v>
      </c>
      <c r="H43" s="28" t="s">
        <v>4205</v>
      </c>
      <c r="I43" s="28" t="s">
        <v>4206</v>
      </c>
      <c r="J43" s="28" t="s">
        <v>4207</v>
      </c>
    </row>
    <row r="44" spans="1:24" ht="12.75">
      <c r="A44" s="28" t="s">
        <v>4208</v>
      </c>
      <c r="B44" s="28" t="s">
        <v>4209</v>
      </c>
      <c r="C44" s="28" t="s">
        <v>4210</v>
      </c>
      <c r="D44" s="28" t="s">
        <v>4211</v>
      </c>
      <c r="E44" s="28" t="s">
        <v>4212</v>
      </c>
      <c r="F44" s="28" t="s">
        <v>4213</v>
      </c>
      <c r="G44" s="28" t="s">
        <v>4214</v>
      </c>
      <c r="H44" s="28" t="s">
        <v>4215</v>
      </c>
      <c r="I44" s="28" t="s">
        <v>4216</v>
      </c>
      <c r="J44" s="28" t="s">
        <v>4217</v>
      </c>
      <c r="K44" s="28" t="s">
        <v>4218</v>
      </c>
      <c r="L44" s="28" t="s">
        <v>4219</v>
      </c>
    </row>
    <row r="45" spans="1:24" ht="12.75">
      <c r="A45" s="28" t="s">
        <v>1105</v>
      </c>
      <c r="B45" s="28" t="s">
        <v>661</v>
      </c>
      <c r="C45" s="28" t="s">
        <v>501</v>
      </c>
      <c r="D45" s="28" t="s">
        <v>4220</v>
      </c>
      <c r="E45" s="28" t="s">
        <v>4221</v>
      </c>
      <c r="F45" s="28" t="s">
        <v>542</v>
      </c>
      <c r="G45" s="28" t="s">
        <v>464</v>
      </c>
    </row>
    <row r="46" spans="1:24" ht="12.75">
      <c r="A46" s="28" t="s">
        <v>4222</v>
      </c>
      <c r="B46" s="28" t="s">
        <v>4223</v>
      </c>
      <c r="C46" s="28" t="s">
        <v>4224</v>
      </c>
    </row>
    <row r="48" spans="1:24" ht="12.75">
      <c r="A48" s="28" t="s">
        <v>3968</v>
      </c>
      <c r="B48" s="28" t="s">
        <v>4225</v>
      </c>
      <c r="C48" s="28" t="s">
        <v>848</v>
      </c>
      <c r="D48" s="28" t="s">
        <v>4226</v>
      </c>
      <c r="E48" s="28" t="s">
        <v>4227</v>
      </c>
      <c r="F48" s="28" t="s">
        <v>4228</v>
      </c>
      <c r="G48" s="28" t="s">
        <v>4229</v>
      </c>
      <c r="H48" s="28" t="s">
        <v>1031</v>
      </c>
      <c r="I48" s="28" t="s">
        <v>4230</v>
      </c>
      <c r="J48" s="28" t="s">
        <v>4231</v>
      </c>
      <c r="K48" s="28" t="s">
        <v>652</v>
      </c>
      <c r="L48" s="28" t="s">
        <v>460</v>
      </c>
      <c r="M48" s="28" t="s">
        <v>4232</v>
      </c>
      <c r="N48" s="28" t="s">
        <v>4233</v>
      </c>
      <c r="O48" s="28" t="s">
        <v>4234</v>
      </c>
      <c r="P48" s="28" t="s">
        <v>4235</v>
      </c>
      <c r="Q48" s="28" t="s">
        <v>4236</v>
      </c>
      <c r="R48" s="28" t="s">
        <v>4237</v>
      </c>
      <c r="S48" s="28" t="s">
        <v>4238</v>
      </c>
      <c r="T48" s="28" t="s">
        <v>4239</v>
      </c>
      <c r="U48" s="28" t="s">
        <v>4240</v>
      </c>
      <c r="V48" s="28" t="s">
        <v>4241</v>
      </c>
      <c r="W48" s="28" t="s">
        <v>4242</v>
      </c>
      <c r="X48" s="28" t="s">
        <v>4243</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7</vt:i4>
      </vt:variant>
    </vt:vector>
  </HeadingPairs>
  <TitlesOfParts>
    <vt:vector size="7" baseType="lpstr">
      <vt:lpstr>gen_inf</vt:lpstr>
      <vt:lpstr>cnstruct</vt:lpstr>
      <vt:lpstr>ch</vt:lpstr>
      <vt:lpstr>alginstr</vt:lpstr>
      <vt:lpstr>taginstr</vt:lpstr>
      <vt:lpstr>chinstr</vt:lpstr>
      <vt:lpstr>tag x constr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Kirill Vasilev</dc:creator>
  <cp:lastModifiedBy>Дарья Харламова</cp:lastModifiedBy>
  <dcterms:created xsi:type="dcterms:W3CDTF">2026-03-17T18:59:27Z</dcterms:created>
  <dcterms:modified xsi:type="dcterms:W3CDTF">2026-03-17T18:59:27Z</dcterms:modified>
</cp:coreProperties>
</file>